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12.xml" ContentType="application/vnd.openxmlformats-officedocument.spreadsheetml.worksheet+xml"/>
  <Override PartName="/xl/worksheets/sheet1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a1eb61267fc4065" /></Relationships>
</file>

<file path=xl/workbook.xml><?xml version="1.0" encoding="utf-8"?>
<x:workbook xmlns:x="http://schemas.openxmlformats.org/spreadsheetml/2006/main">
  <x:sheets>
    <x:sheet xmlns:r="http://schemas.openxmlformats.org/officeDocument/2006/relationships" name="Dashboard" sheetId="1" r:id="R7096c086dace414f"/>
    <x:sheet xmlns:r="http://schemas.openxmlformats.org/officeDocument/2006/relationships" name="Read Me" sheetId="2" r:id="Re6ef80587c3f4810"/>
    <x:sheet xmlns:r="http://schemas.openxmlformats.org/officeDocument/2006/relationships" name="Commercial Inputs" sheetId="3" r:id="R7708d3a7777e499d"/>
    <x:sheet xmlns:r="http://schemas.openxmlformats.org/officeDocument/2006/relationships" name="Scenario Inputs" sheetId="4" r:id="Rc53756ab8e2b4cf1"/>
    <x:sheet xmlns:r="http://schemas.openxmlformats.org/officeDocument/2006/relationships" name="Annual Summary" sheetId="5" r:id="R2e53b987ee1f4e59"/>
    <x:sheet xmlns:r="http://schemas.openxmlformats.org/officeDocument/2006/relationships" name="Unit Targets" sheetId="6" r:id="R904ce1a072804616"/>
    <x:sheet xmlns:r="http://schemas.openxmlformats.org/officeDocument/2006/relationships" name="Monthly Downside" sheetId="7" r:id="R2c145ea47845404d"/>
    <x:sheet xmlns:r="http://schemas.openxmlformats.org/officeDocument/2006/relationships" name="Monthly Base" sheetId="8" r:id="R230dac0bf93842e3"/>
    <x:sheet xmlns:r="http://schemas.openxmlformats.org/officeDocument/2006/relationships" name="Monthly Strong" sheetId="9" r:id="R3a2bf059c5b14457"/>
    <x:sheet xmlns:r="http://schemas.openxmlformats.org/officeDocument/2006/relationships" name="Sensitivity" sheetId="10" r:id="R46d536d827ef496e"/>
    <x:sheet xmlns:r="http://schemas.openxmlformats.org/officeDocument/2006/relationships" name="Stress Inputs" sheetId="11" r:id="R8e2bc7ac0c904d01"/>
    <x:sheet xmlns:r="http://schemas.openxmlformats.org/officeDocument/2006/relationships" name="Stress Engine" sheetId="12" r:id="R4f830bbb621049bd"/>
    <x:sheet xmlns:r="http://schemas.openxmlformats.org/officeDocument/2006/relationships" name="Sources" sheetId="13" r:id="R9698581d643f4366"/>
  </x:sheets>
</x:workbook>
</file>

<file path=xl/comments1.xml><?xml version="1.0" encoding="utf-8"?>
<x:comments xmlns:x="http://schemas.openxmlformats.org/spreadsheetml/2006/main">
  <x:authors>
    <x:author>tc={AC4CD731-4DBF-9F69-32C7-EA857CAFC0A6}</x:author>
    <x:author>tc={1B6A9B48-416C-1FAC-E17B-FA9AC583642B}</x:author>
    <x:author>tc={E1EEF7AC-8870-4397-D431-121D7F207C47}</x:author>
    <x:author>tc={22018D89-45D2-0D84-8D00-18AA6E5E5DC9}</x:author>
    <x:author>tc={606DDBA6-A91B-1D7F-2EFE-DD089407CFC4}</x:author>
    <x:author>tc={9784404E-50AE-60EC-5081-82089CF7883E}</x:author>
    <x:author>tc={2075A801-47A2-1F63-64D9-C3CC8BDDA824}</x:author>
    <x:author>tc={AB0E4237-112E-4068-D86E-EA811DD55F96}</x:author>
    <x:author>tc={C5DE07C9-47C7-9190-E1E6-93B84EFA2932}</x:author>
    <x:author>tc={78BEC4FE-56E8-0A35-DDA1-5610A1B13BF3}</x:author>
    <x:author>tc={3E89DEE4-1AC1-9FC1-25DD-8FEC0A21FEA8}</x:author>
    <x:author>tc={C161200A-D62A-F74A-E59E-E3AAFBD456A0}</x:author>
    <x:author>tc={1137BCB7-8863-5139-5737-FD9162EC4D5A}</x:author>
    <x:author>tc={93741BA3-7229-F002-781B-414AE82CB841}</x:author>
    <x:author>tc={EC3C0172-8C0D-D38B-EBCB-1F4955CE0E7A}</x:author>
    <x:author>tc={4B3B00AC-FA3F-BE36-3AFD-3650239E317D}</x:author>
    <x:author>tc={52DF9F1B-988B-2873-154A-95620B2753F3}</x:author>
    <x:author>tc={F87B6479-C634-FB26-88A1-2D8DE9908387}</x:author>
    <x:author>tc={499001C6-8FB6-D663-7AB3-1A198E042B6D}</x:author>
    <x:author>tc={0EB63A3C-15B4-AF8B-F613-403E6A609EB2}</x:author>
    <x:author>tc={489090E9-1BC3-E4BE-2804-6C318EE17CF1}</x:author>
    <x:author>tc={0A89D0C7-6B88-CCC1-1CAD-04C303614868}</x:author>
    <x:author>tc={6C5DC5B1-E4AC-59D7-626F-FFDDC7918419}</x:author>
    <x:author>tc={3BC56D4F-A64F-3F7C-D466-58F78C2F2E87}</x:author>
    <x:author>tc={BEBB860A-07B5-8C42-5D41-5876C2B0F2CB}</x:author>
    <x:author>tc={471D956F-D5B7-0110-880B-A9955F6B6323}</x:author>
    <x:author>tc={F7FD0ADB-1C06-E413-0B91-80F2FBB1FB1D}</x:author>
    <x:author>tc={D991345F-4FB0-322E-103D-5FC7C19F27E0}</x:author>
    <x:author>tc={12E8CF1F-61FF-6EB4-F1FC-77A55F060703}</x:author>
    <x:author>tc={72DB373F-B137-AC02-9A47-6C9F08186DFB}</x:author>
    <x:author>tc={167EFA6A-32B7-2974-47A0-4983A0207C4C}</x:author>
    <x:author>tc={D12A0A6E-3602-F9EB-1E74-1325A50EF875}</x:author>
    <x:author>tc={CE381497-4769-CCC7-9454-F09F93E5E556}</x:author>
    <x:author>tc={446DB164-17A8-24F1-A31F-25103687BAF5}</x:author>
    <x:author>tc={05B6732E-8E8A-3687-BFDF-8DA49D03004B}</x:author>
    <x:author>tc={FCDF5369-E78D-1FD5-D4A5-1DF1A83608D7}</x:author>
    <x:author>tc={39D6D807-E8B9-B9C5-6095-8902E569C5C9}</x:author>
    <x:author>tc={81B9A627-192F-5F0C-DCD6-27CDEC99A5AB}</x:author>
    <x:author>tc={FCBC1464-88ED-1688-04DC-BB88E445C647}</x:author>
    <x:author>tc={B3B7DE57-07CE-1927-3859-4396E2662066}</x:author>
    <x:author>tc={058417C8-73DE-7648-D305-EDAED45B6969}</x:author>
    <x:author>tc={DCAC5598-3E11-0095-E216-D47747EC7D90}</x:author>
    <x:author>tc={95822E82-AB65-AEC4-ADDF-39AB731D77BB}</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Planning convention, not a current market quote.
Model date: 2026-09-27.</x:t>
        </x:r>
      </x:text>
    </x:comment>
    <x:comment ref="B6" authorId="1">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Proposed; inclusive of assumed India sales tax.
Model date: 2026-09-27.</x:t>
        </x:r>
      </x:text>
    </x:comment>
    <x:comment ref="B7" authorId="2">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Proposed; inclusive of assumed India sales tax.
Model date: 2026-09-27.</x:t>
        </x:r>
      </x:text>
    </x:comment>
    <x:comment ref="B8" authorId="3">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Before local tax; regional prices may differ.
Model date: 2026-09-27.</x:t>
        </x:r>
      </x:text>
    </x:comment>
    <x:comment ref="B9" authorId="4">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Before local tax; standard fixed transaction fee modeled.
Model date: 2026-09-27.</x:t>
        </x:r>
      </x:text>
    </x:comment>
    <x:comment ref="B10" authorId="5">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Planning only; accountant must confirm actual treatment.
Model date: 2026-09-27.</x:t>
        </x:r>
      </x:text>
    </x:comment>
    <x:comment ref="B11" authorId="6">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Zero = quoted global price before tax. Stress tax-inclusive prices separately.
Model date: 2026-09-27.</x:t>
        </x:r>
      </x:text>
    </x:comment>
    <x:comment ref="B12" authorId="7">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Remaining share sold through native app stores.
Model date: 2026-09-27.</x:t>
        </x:r>
      </x:text>
    </x:comment>
    <x:comment ref="B13" authorId="8">
      <x:text>
        <x:r>
          <x:t>[Threaded comment]
Your version of Excel allows you to read this threaded comment; however, any edits to it will get removed if the file is opened in a newer version of Excel. Learn more: https://go.microsoft.com/fwlink/?linkid=870924
Comment:
    S2: https://developer.apple.com/app-store/small-business-program/
Standard 15% modeling assumption; verify eligibility and regional contracts.
Model date: 2026-09-27.</x:t>
        </x:r>
      </x:text>
    </x:comment>
    <x:comment ref="B14" authorId="9">
      <x:text>
        <x:r>
          <x:t>[Threaded comment]
Your version of Excel allows you to read this threaded comment; however, any edits to it will get removed if the file is opened in a newer version of Excel. Learn more: https://go.microsoft.com/fwlink/?linkid=870924
Comment:
    S5: https://razorpay.com/pricing/
Standard 2% + assumed 18% GST on fee; no input-credit benefit.
Model date: 2026-09-27.</x:t>
        </x:r>
      </x:text>
    </x:comment>
    <x:comment ref="B15" authorId="10">
      <x:text>
        <x:r>
          <x:t>[Threaded comment]
Your version of Excel allows you to read this threaded comment; however, any edits to it will get removed if the file is opened in a newer version of Excel. Learn more: https://go.microsoft.com/fwlink/?linkid=870924
Comment:
    S4: https://www.paddle.com/pricing
No fee refunds assumed; custom small-transaction terms not included.
Model date: 2026-09-27.</x:t>
        </x:r>
      </x:text>
    </x:comment>
    <x:comment ref="B16" authorId="11">
      <x:text>
        <x:r>
          <x:t>[Threaded comment]
Your version of Excel allows you to read this threaded comment; however, any edits to it will get removed if the file is opened in a newer version of Excel. Learn more: https://go.microsoft.com/fwlink/?linkid=870924
Comment:
    S4: https://www.paddle.com/pricing
One charge per annual renewal or monthly payment.
Model date: 2026-09-27.</x:t>
        </x:r>
      </x:text>
    </x:comment>
    <x:comment ref="B17" authorId="12">
      <x:text>
        <x:r>
          <x:t>[Threaded comment]
Your version of Excel allows you to read this threaded comment; however, any edits to it will get removed if the file is opened in a newer version of Excel. Learn more: https://go.microsoft.com/fwlink/?linkid=870924
Comment:
    S6: https://www.revenuecat.com/pricing
Conservative 1% at all scales; counts native/web alike.
Model date: 2026-09-27.</x:t>
        </x:r>
      </x:text>
    </x:comment>
    <x:comment ref="B18" authorId="13">
      <x:text>
        <x:r>
          <x:t>[Threaded comment]
Your version of Excel allows you to read this threaded comment; however, any edits to it will get removed if the file is opened in a newer version of Excel. Learn more: https://go.microsoft.com/fwlink/?linkid=870924
Comment:
    S1: https://developers.openai.com/api/docs/models/gpt-5.6-luna
Published input price; no cache saving assumed.
Model date: 2026-09-27.</x:t>
        </x:r>
      </x:text>
    </x:comment>
    <x:comment ref="B19" authorId="14">
      <x:text>
        <x:r>
          <x:t>[Threaded comment]
Your version of Excel allows you to read this threaded comment; however, any edits to it will get removed if the file is opened in a newer version of Excel. Learn more: https://go.microsoft.com/fwlink/?linkid=870924
Comment:
    S1: https://developers.openai.com/api/docs/models/gpt-5.6-luna
Includes any billed reasoning/output tokens in usage assumption.
Model date: 2026-09-27.</x:t>
        </x:r>
      </x:text>
    </x:comment>
    <x:comment ref="B20" authorId="15">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Schema + bounded context. Not measured.
Model date: 2026-09-27.</x:t>
        </x:r>
      </x:text>
    </x:comment>
    <x:comment ref="B21" authorId="16">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Not measured; instruction planning only.
Model date: 2026-09-27.</x:t>
        </x:r>
      </x:text>
    </x:comment>
    <x:comment ref="B22" authorId="17">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Applies to model usage, not customer quota.
Model date: 2026-09-27.</x:t>
        </x:r>
      </x:text>
    </x:comment>
    <x:comment ref="B23" authorId="18">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Additional 10% buffer versus prior model; actual fee taxes may differ.
Model date: 2026-09-27.</x:t>
        </x:r>
      </x:text>
    </x:comment>
    <x:comment ref="B24" authorId="19">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Usage assumption, not 300-job allowance.
Model date: 2026-09-27.</x:t>
        </x:r>
      </x:text>
    </x:comment>
    <x:comment ref="B25" authorId="20">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Conservative use of full allowance.
Model date: 2026-09-27.</x:t>
        </x:r>
      </x:text>
    </x:comment>
    <x:comment ref="B26" authorId="21">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Free MAU proxy, not download conversion; independent sensitivity.
Model date: 2026-09-27.</x:t>
        </x:r>
      </x:text>
    </x:comment>
    <x:comment ref="B27" authorId="22">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Free usage does not disappear if paid conversion fails.
Model date: 2026-09-27.</x:t>
        </x:r>
      </x:text>
    </x:comment>
    <x:comment ref="B28" authorId="23">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Cash allowance; founder labor not priced here.
Model date: 2026-09-27.</x:t>
        </x:r>
      </x:text>
    </x:comment>
    <x:comment ref="B29" authorId="24">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Illustrative opening funds, not approved spending.
Model date: 2026-09-27.</x:t>
        </x:r>
      </x:text>
    </x:comment>
    <x:comment ref="B30" authorId="25">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Expensed in M1; prelaunch development and devices excluded.
Model date: 2026-09-27.</x:t>
        </x:r>
      </x:text>
    </x:comment>
    <x:comment ref="B31" authorId="26">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Weighted settlement assumption. Not a provider payout promise.
Model date: 2026-09-27.</x:t>
        </x:r>
      </x:text>
    </x:comment>
    <x:comment ref="B32" authorId="27">
      <x:text>
        <x:r>
          <x:t>[Threaded comment]
Your version of Excel allows you to read this threaded comment; however, any edits to it will get removed if the file is opened in a newer version of Excel. Learn more: https://go.microsoft.com/fwlink/?linkid=870924
Comment:
    User: User
Solo model with zero payroll; change to actual cash pay.
Model date: 2026-09-27.</x:t>
        </x:r>
      </x:text>
    </x:comment>
    <x:comment ref="B33" authorId="28">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Economic sensitivity only, not an extra cash expense.
Model date: 2026-09-27.</x:t>
        </x:r>
      </x:text>
    </x:comment>
    <x:comment ref="B34" authorId="29">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Model reserves current overhead, marketing and free-AI cost.
Model date: 2026-09-27.</x:t>
        </x:r>
      </x:text>
    </x:comment>
    <x:comment ref="B35" authorId="30">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Not a technical limit.
Model date: 2026-09-27.</x:t>
        </x:r>
      </x:text>
    </x:comment>
    <x:comment ref="B36" authorId="31">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Not a technical limit.
Model date: 2026-09-27.</x:t>
        </x:r>
      </x:text>
    </x:comment>
    <x:comment ref="B37" authorId="32">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Not a technical limit.
Model date: 2026-09-27.</x:t>
        </x:r>
      </x:text>
    </x:comment>
    <x:comment ref="B38" authorId="33">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Not a technical limit.
Model date: 2026-09-27.</x:t>
        </x:r>
      </x:text>
    </x:comment>
    <x:comment ref="B39" authorId="34">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Technical/device/security contractors; not employees.
Model date: 2026-09-27.</x:t>
        </x:r>
      </x:text>
    </x:comment>
    <x:comment ref="B40" authorId="35">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Only highest applicable tier is used; not cumulative.
Model date: 2026-09-27.</x:t>
        </x:r>
      </x:text>
    </x:comment>
    <x:comment ref="B41" authorId="36">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Quality/maintenance reserve at scale.
Model date: 2026-09-27.</x:t>
        </x:r>
      </x:text>
    </x:comment>
    <x:comment ref="B42" authorId="37">
      <x:text>
        <x:r>
          <x:t>[Threaded comment]
Your version of Excel allows you to read this threaded comment; however, any edits to it will get removed if the file is opened in a newer version of Excel. Learn more: https://go.microsoft.com/fwlink/?linkid=870924
Comment:
    A1: Not observed / not an approved budget
May be insufficient for unusually high support load.
Model date: 2026-09-27.</x:t>
        </x:r>
      </x:text>
    </x:comment>
    <x:comment ref="B43" authorId="38">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Used ONLY in Unit Targets; growth sheets derive CAC from traffic/spend.
Model date: 2026-09-27.</x:t>
        </x:r>
      </x:text>
    </x:comment>
    <x:comment ref="B44" authorId="39">
      <x:text>
        <x:r>
          <x:t>[Threaded comment]
Your version of Excel allows you to read this threaded comment; however, any edits to it will get removed if the file is opened in a newer version of Excel. Learn more: https://go.microsoft.com/fwlink/?linkid=870924
Comment:
    P1: Attenlo_PDF_Monetization_and_Growth_Plan_2026-09-27.md
Conservative flat renewal in Unit Targets only.
Model date: 2026-09-27.</x:t>
        </x:r>
      </x:text>
    </x:comment>
    <x:comment ref="B45" authorId="40">
      <x:text>
        <x:r>
          <x:t>[Threaded comment]
Your version of Excel allows you to read this threaded comment; however, any edits to it will get removed if the file is opened in a newer version of Excel. Learn more: https://go.microsoft.com/fwlink/?linkid=870924
Comment:
    Constant: Constant
Presentation conversion.
Model date: 2026-09-27.</x:t>
        </x:r>
      </x:text>
    </x:comment>
    <x:comment ref="B46" authorId="41">
      <x:text>
        <x:r>
          <x:t>[Threaded comment]
Your version of Excel allows you to read this threaded comment; however, any edits to it will get removed if the file is opened in a newer version of Excel. Learn more: https://go.microsoft.com/fwlink/?linkid=870924
Comment:
    Constant: Constant
Calendar constant.
Model date: 2026-09-27.</x:t>
        </x:r>
      </x:text>
    </x:comment>
    <x:comment ref="B47" authorId="42">
      <x:text>
        <x:r>
          <x:t>[Threaded comment]
Your version of Excel allows you to read this threaded comment; however, any edits to it will get removed if the file is opened in a newer version of Excel. Learn more: https://go.microsoft.com/fwlink/?linkid=870924
Comment:
    Constant: Constant
Rate denominator.
Model date: 2026-09-27.</x:t>
        </x:r>
      </x:text>
    </x:comment>
  </x:commentList>
</x:comments>
</file>

<file path=xl/comments2.xml><?xml version="1.0" encoding="utf-8"?>
<x:comments xmlns:x="http://schemas.openxmlformats.org/spreadsheetml/2006/main">
  <x:authors>
    <x:author>tc={F8B98C56-1E2C-07A2-60D2-971A03A3D151}</x:author>
    <x:author>tc={39A167FF-A582-7BC5-2125-B5229B752CE0}</x:author>
    <x:author>tc={290863F8-A149-E055-AD0D-C323AED1FDCC}</x:author>
    <x:author>tc={D16E3A29-094D-ECEB-59A7-858C8048E78D}</x:author>
    <x:author>tc={EA52EF7A-8315-43FF-1EB1-05E65A5CBEE7}</x:author>
    <x:author>tc={6B68CD8B-E037-98D8-DD2C-DF518CC99BA9}</x:author>
    <x:author>tc={8D5BB539-FEB7-684D-F5B4-6220596866F1}</x:author>
    <x:author>tc={3C6554AD-F45A-BE0B-3C9E-01F586F77B0E}</x:author>
    <x:author>tc={5F67177B-179A-02DD-02B1-CBDDE5C7CEE5}</x:author>
    <x:author>tc={12952F90-EAB5-90FE-8317-E2E1B7F4706B}</x:author>
    <x:author>tc={551EF7E8-DC09-AC6B-E53D-8F1D03FF8721}</x:author>
    <x:author>tc={F0CC8D98-685D-61F3-B55E-361B95859079}</x:author>
    <x:author>tc={47534136-CB6C-191C-1992-0CADA12A4208}</x:author>
    <x:author>tc={B54012D5-B118-2A04-E0E7-5BACC25471E2}</x:author>
    <x:author>tc={F9D8273C-AA66-407A-131D-26968A57D724}</x:author>
    <x:author>tc={BB29D084-4F6C-E314-426C-71DDBF58E181}</x:author>
    <x:author>tc={439BC2CB-8A21-3E99-0084-DD6212770BC7}</x:author>
    <x:author>tc={A691AB4D-4303-4685-8EF7-8E507968903F}</x:author>
    <x:author>tc={F0571A2C-B08A-3682-FF3E-B9658D7AAB3F}</x:author>
    <x:author>tc={12D2CF1E-5C61-E9AD-DB94-3F19E7112DE8}</x:author>
    <x:author>tc={3B1E7A94-4E55-E671-36FD-7888EC86484D}</x:author>
    <x:author>tc={464578D3-DF23-8AA2-A1DE-27957C83E052}</x:author>
    <x:author>tc={63625C41-B935-ACC6-63D6-06EDACCD30E6}</x:author>
    <x:author>tc={9FF52DFF-E840-77F0-9070-5D370F632DD5}</x:author>
    <x:author>tc={CA78B4A1-4A1F-C484-A2FB-928AC989E37A}</x:author>
    <x:author>tc={7540BC8F-09C1-A3A2-DEF4-3F37EA05BC16}</x:author>
    <x:author>tc={341DD8DA-BB9B-0D38-05AB-C78E916A5C21}</x:author>
    <x:author>tc={835E8B20-40FD-8497-D641-CD4EF782B382}</x:author>
    <x:author>tc={DF4DB74F-C438-2C07-D72C-ACA616292266}</x:author>
    <x:author>tc={E8BA3820-1A5F-B3EC-CCA3-A8DBDB2B1B2E}</x:author>
    <x:author>tc={E4C71948-4B1A-848F-7DBE-CBE5D37D8E19}</x:author>
    <x:author>tc={FEF36C05-97D7-6E6E-5F4C-F1F1424FE707}</x:author>
    <x:author>tc={AAA58457-7949-B0B3-96B6-EE9B414E0C7E}</x:author>
    <x:author>tc={ECD2F54B-799A-EC86-3FFB-265E69A67779}</x:author>
    <x:author>tc={8A5134BC-8686-DDB1-BA0B-1A52C4EA4F84}</x:author>
    <x:author>tc={1B4227AB-F0D0-6FB9-953C-7CD694E3CA99}</x:author>
    <x:author>tc={51344CD0-57B1-31D3-C809-3AAB1C0B4C0B}</x:author>
    <x:author>tc={DC666CAB-96D8-D332-0D1B-8E362E39BE20}</x:author>
    <x:author>tc={A0D2903B-421D-EAC2-18E2-976E3961818D}</x:author>
    <x:author>tc={86977134-4EDE-D8A0-FC55-7FF5CEA51821}</x:author>
    <x:author>tc={1A0DB8DD-BF7C-19BF-CF36-CF902771D44D}</x:author>
    <x:author>tc={50111E38-D01B-68AD-A984-DA1C311AAECE}</x:author>
    <x:author>tc={E318DE97-C109-6F95-6185-037260D96071}</x:author>
    <x:author>tc={C20DEB80-A364-05CB-6924-B1656102F63B}</x:author>
    <x:author>tc={7E55031E-76A9-DA29-60BB-C6D6A9B2F553}</x:author>
    <x:author>tc={F647E7E9-3E45-D661-7EDD-0D8EE15CEE25}</x:author>
    <x:author>tc={0167EB3C-8769-0ACB-D492-08F333380BED}</x:author>
    <x:author>tc={86C26951-4272-AC77-5EFD-41FAD850BC7A}</x:author>
    <x:author>tc={F3C502F5-75B1-EB24-27B0-90C256592EAB}</x:author>
    <x:author>tc={5D251D03-52E7-93E1-F57E-F1E7D51C65A6}</x:author>
    <x:author>tc={D8218047-60E5-66A1-7FF1-7C19DEDF51F7}</x:author>
    <x:author>tc={AB656A07-B78B-F381-4198-5D5D5FBAB169}</x:author>
    <x:author>tc={2A89F08D-AE5C-6C6F-CB94-EC75239096CB}</x:author>
    <x:author>tc={73C86B10-2452-2AE4-1DCD-943D256D675A}</x:author>
    <x:author>tc={095BEC5F-00B5-73E9-4CDA-A6B0FBE172EC}</x:author>
    <x:author>tc={E561E92F-6CFE-0923-1A6C-742A270D28F5}</x:author>
    <x:author>tc={9707E7C3-6BED-CE41-722B-0DE93E15B8E0}</x:author>
    <x:author>tc={52D083FD-A839-EE8E-FBDB-003572C7A7C2}</x:author>
    <x:author>tc={0A2BAF7D-95E7-9CB8-423E-3858F0612641}</x:author>
    <x:author>tc={440960A4-A290-B578-BC09-26D21B79A4D5}</x:author>
    <x:author>tc={95128F44-BE3A-68C1-45F8-782202A7D199}</x:author>
    <x:author>tc={5DE25CCE-AB57-0180-BE99-CB6EEB94290C}</x:author>
    <x:author>tc={78A05AC4-0999-AF94-5E30-75D5CD9C4FB4}</x:author>
    <x:author>tc={B9217A6F-1F4D-01CB-5EF7-837FDD65CA16}</x:author>
    <x:author>tc={B59A57E0-C97F-6D8A-816D-4E3744F30E7F}</x:author>
    <x:author>tc={0DB55AC8-5CA6-6284-E9E3-A9BD3A8FB4FB}</x:author>
    <x:author>tc={AFD6712F-2323-E052-218A-08B71925D247}</x:author>
    <x:author>tc={17B6E777-D979-2D62-F99D-309791E67C4B}</x:author>
    <x:author>tc={67BF6612-B55D-A64D-0BCC-411E4D26954C}</x:author>
    <x:author>tc={2DD1AF54-6CE3-A547-8F59-EE532BDD7E9A}</x:author>
    <x:author>tc={B85C830F-E04D-773F-4D9A-1F17D70C8E7F}</x:author>
    <x:author>tc={CECD3787-D7A7-D283-49AF-3B3DF9368FA5}</x:author>
    <x:author>tc={C51C7803-DE81-9E79-72FB-EA687CF6FC49}</x:author>
    <x:author>tc={A075D021-8F46-B8BE-EF93-CF7C10FB9AFF}</x:author>
    <x:author>tc={A6196F0D-47E2-9513-3639-C301F6D988A7}</x:author>
    <x:author>tc={D8F36141-5872-5DBD-BEBB-C5096AB4A2C2}</x:author>
    <x:author>tc={606B2C57-1DBE-97B5-BBDE-FC59AAFFF1B6}</x:author>
    <x:author>tc={80667B1C-DD9F-42FA-5DA1-4F3F525CD2A0}</x:author>
    <x:author>tc={5DF1C02A-5D72-0351-8458-B19723470008}</x:author>
    <x:author>tc={03698C7A-6757-2715-4405-C836A4087163}</x:author>
    <x:author>tc={4F2EF072-61BA-0BE0-5270-B8DDF542974C}</x:author>
    <x:author>tc={C4CDDADC-C7B0-1DC8-E277-7D6B962B6834}</x:author>
    <x:author>tc={60D1A80B-F9E1-4BAA-EB5B-9B5DFC039FFE}</x:author>
    <x:author>tc={DDF41BE0-7025-746B-90D9-422C7025ED34}</x:author>
    <x:author>tc={121306FE-F528-94B9-24AE-B48D55F9EB80}</x:author>
    <x:author>tc={176A7108-8BFD-751F-4F77-066169E373BA}</x:author>
    <x:author>tc={1C84D4A0-D91B-0FB0-9644-12B3D82A7E20}</x:author>
    <x:author>tc={09EB1070-1C1F-FA90-EE41-0F69F8EF7B19}</x:author>
    <x:author>tc={8D3B5A7B-A573-66EC-992E-C69C882EC4B7}</x:author>
    <x:author>tc={60374383-652C-F62B-9964-D8C28889776F}</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Unique new-prospect equivalents, not raw sessions or free MAU.</x:t>
        </x:r>
      </x:text>
    </x:comment>
    <x:comment ref="C5" authorId="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Unique new-prospect equivalents, not raw sessions or free MAU.</x:t>
        </x:r>
      </x:text>
    </x:comment>
    <x:comment ref="D5" authorId="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Unique new-prospect equivalents, not raw sessions or free MAU.</x:t>
        </x:r>
      </x:text>
    </x:comment>
    <x:comment ref="B6" authorId="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Unproven assumption; no guaranteed compounding.</x:t>
        </x:r>
      </x:text>
    </x:comment>
    <x:comment ref="C6" authorId="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Unproven assumption; no guaranteed compounding.</x:t>
        </x:r>
      </x:text>
    </x:comment>
    <x:comment ref="D6" authorId="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Unproven assumption; no guaranteed compounding.</x:t>
        </x:r>
      </x:text>
    </x:comment>
    <x:comment ref="B7" authorId="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Not a market benchmark.</x:t>
        </x:r>
      </x:text>
    </x:comment>
    <x:comment ref="C7" authorId="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Not a market benchmark.</x:t>
        </x:r>
      </x:text>
    </x:comment>
    <x:comment ref="D7" authorId="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Not a market benchmark.</x:t>
        </x:r>
      </x:text>
    </x:comment>
    <x:comment ref="B8" authorId="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traffic from launching more platforms.</x:t>
        </x:r>
      </x:text>
    </x:comment>
    <x:comment ref="C8" authorId="1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traffic from launching more platforms.</x:t>
        </x:r>
      </x:text>
    </x:comment>
    <x:comment ref="D8" authorId="1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traffic from launching more platforms.</x:t>
        </x:r>
      </x:text>
    </x:comment>
    <x:comment ref="B9" authorId="1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Gross first purchasers; refunds reduce retained payers.</x:t>
        </x:r>
      </x:text>
    </x:comment>
    <x:comment ref="C9" authorId="1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Gross first purchasers; refunds reduce retained payers.</x:t>
        </x:r>
      </x:text>
    </x:comment>
    <x:comment ref="D9" authorId="1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Gross first purchasers; refunds reduce retained payers.</x:t>
        </x:r>
      </x:text>
    </x:comment>
    <x:comment ref="B10" authorId="1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Illustrative only; includes neither creative nor content.</x:t>
        </x:r>
      </x:text>
    </x:comment>
    <x:comment ref="C10" authorId="1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Illustrative only; includes neither creative nor content.</x:t>
        </x:r>
      </x:text>
    </x:comment>
    <x:comment ref="D10" authorId="1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Illustrative only; includes neither creative nor content.</x:t>
        </x:r>
      </x:text>
    </x:comment>
    <x:comment ref="B11" authorId="1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CPC is 10% higher in Y2 and 21% higher in Y3.</x:t>
        </x:r>
      </x:text>
    </x:comment>
    <x:comment ref="C11" authorId="1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CPC is 10% higher in Y2 and 21% higher in Y3.</x:t>
        </x:r>
      </x:text>
    </x:comment>
    <x:comment ref="D11" authorId="2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CPC is 10% higher in Y2 and 21% higher in Y3.</x:t>
        </x:r>
      </x:text>
    </x:comment>
    <x:comment ref="B12" authorId="2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Track paid CAC separately from organic/blended.</x:t>
        </x:r>
      </x:text>
    </x:comment>
    <x:comment ref="C12" authorId="2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Track paid CAC separately from organic/blended.</x:t>
        </x:r>
      </x:text>
    </x:comment>
    <x:comment ref="D12" authorId="2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Track paid CAC separately from organic/blended.</x:t>
        </x:r>
      </x:text>
    </x:comment>
    <x:comment ref="B13" authorId="2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Media plus this allowance forms loaded paid-channel CAC.</x:t>
        </x:r>
      </x:text>
    </x:comment>
    <x:comment ref="C13" authorId="2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Media plus this allowance forms loaded paid-channel CAC.</x:t>
        </x:r>
      </x:text>
    </x:comment>
    <x:comment ref="D13" authorId="2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Media plus this allowance forms loaded paid-channel CAC.</x:t>
        </x:r>
      </x:text>
    </x:comment>
    <x:comment ref="B14" authorId="2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Unapproved schedule; spending requires conversion evidence.</x:t>
        </x:r>
      </x:text>
    </x:comment>
    <x:comment ref="C14" authorId="2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Unapproved schedule; spending requires conversion evidence.</x:t>
        </x:r>
      </x:text>
    </x:comment>
    <x:comment ref="D14" authorId="2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Unapproved schedule; spending requires conversion evidence.</x:t>
        </x:r>
      </x:text>
    </x:comment>
    <x:comment ref="B15" authorId="3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Downside runs a second test, then stops paid spend.</x:t>
        </x:r>
      </x:text>
    </x:comment>
    <x:comment ref="C15" authorId="3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Downside runs a second test, then stops paid spend.</x:t>
        </x:r>
      </x:text>
    </x:comment>
    <x:comment ref="D15" authorId="3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Downside runs a second test, then stops paid spend.</x:t>
        </x:r>
      </x:text>
    </x:comment>
    <x:comment ref="B16" authorId="3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Gate on repeat use, purchase and observed CAC.</x:t>
        </x:r>
      </x:text>
    </x:comment>
    <x:comment ref="C16" authorId="3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Gate on repeat use, purchase and observed CAC.</x:t>
        </x:r>
      </x:text>
    </x:comment>
    <x:comment ref="D16" authorId="3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Gate on repeat use, purchase and observed CAC.</x:t>
        </x:r>
      </x:text>
    </x:comment>
    <x:comment ref="B17" authorId="3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C17" authorId="3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D17" authorId="3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B18" authorId="3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C18" authorId="4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D18" authorId="4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B19" authorId="4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C19" authorId="4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D19" authorId="4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B20" authorId="4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C20" authorId="4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D20" authorId="4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automatic spend authority.</x:t>
        </x:r>
      </x:text>
    </x:comment>
    <x:comment ref="B21" authorId="4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Additional to paid creative; founder time excluded.</x:t>
        </x:r>
      </x:text>
    </x:comment>
    <x:comment ref="C21" authorId="4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Additional to paid creative; founder time excluded.</x:t>
        </x:r>
      </x:text>
    </x:comment>
    <x:comment ref="D21" authorId="5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Additional to paid creative; founder time excluded.</x:t>
        </x:r>
      </x:text>
    </x:comment>
    <x:comment ref="B22" authorId="5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All included in blended cash CAC.</x:t>
        </x:r>
      </x:text>
    </x:comment>
    <x:comment ref="C22" authorId="5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All included in blended cash CAC.</x:t>
        </x:r>
      </x:text>
    </x:comment>
    <x:comment ref="D22" authorId="5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All included in blended cash CAC.</x:t>
        </x:r>
      </x:text>
    </x:comment>
    <x:comment ref="B23" authorId="5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Does not guarantee organic traffic.</x:t>
        </x:r>
      </x:text>
    </x:comment>
    <x:comment ref="C23" authorId="5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Does not guarantee organic traffic.</x:t>
        </x:r>
      </x:text>
    </x:comment>
    <x:comment ref="D23" authorId="5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Does not guarantee organic traffic.</x:t>
        </x:r>
      </x:text>
    </x:comment>
    <x:comment ref="B24" authorId="5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Hosting, admin, email, monitoring, domains and allocated tools.</x:t>
        </x:r>
      </x:text>
    </x:comment>
    <x:comment ref="C24" authorId="5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Hosting, admin, email, monitoring, domains and allocated tools.</x:t>
        </x:r>
      </x:text>
    </x:comment>
    <x:comment ref="D24" authorId="5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Hosting, admin, email, monitoring, domains and allocated tools.</x:t>
        </x:r>
      </x:text>
    </x:comment>
    <x:comment ref="B25" authorId="6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Separate scale QA reserve is added.</x:t>
        </x:r>
      </x:text>
    </x:comment>
    <x:comment ref="C25" authorId="6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Separate scale QA reserve is added.</x:t>
        </x:r>
      </x:text>
    </x:comment>
    <x:comment ref="D25" authorId="6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Separate scale QA reserve is added.</x:t>
        </x:r>
      </x:text>
    </x:comment>
    <x:comment ref="B26" authorId="6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servers processing customer PDFs.</x:t>
        </x:r>
      </x:text>
    </x:comment>
    <x:comment ref="C26" authorId="6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servers processing customer PDFs.</x:t>
        </x:r>
      </x:text>
    </x:comment>
    <x:comment ref="D26" authorId="6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 servers processing customer PDFs.</x:t>
        </x:r>
      </x:text>
    </x:comment>
    <x:comment ref="B27" authorId="6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Not the share of active subscribers after churn.</x:t>
        </x:r>
      </x:text>
    </x:comment>
    <x:comment ref="C27" authorId="6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Not the share of active subscribers after churn.</x:t>
        </x:r>
      </x:text>
    </x:comment>
    <x:comment ref="D27" authorId="6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Not the share of active subscribers after churn.</x:t>
        </x:r>
      </x:text>
    </x:comment>
    <x:comment ref="B28" authorId="6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Same mix by channel/plan. Price benefit requires obtaining international customers.</x:t>
        </x:r>
      </x:text>
    </x:comment>
    <x:comment ref="C28" authorId="7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Same mix by channel/plan. Price benefit requires obtaining international customers.</x:t>
        </x:r>
      </x:text>
    </x:comment>
    <x:comment ref="D28" authorId="7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Same mix by channel/plan. Price benefit requires obtaining international customers.</x:t>
        </x:r>
      </x:text>
    </x:comment>
    <x:comment ref="B29" authorId="7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Immediate same-month full refund model; fees not refunded.</x:t>
        </x:r>
      </x:text>
    </x:comment>
    <x:comment ref="C29" authorId="7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Immediate same-month full refund model; fees not refunded.</x:t>
        </x:r>
      </x:text>
    </x:comment>
    <x:comment ref="D29" authorId="7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Immediate same-month full refund model; fees not refunded.</x:t>
        </x:r>
      </x:text>
    </x:comment>
    <x:comment ref="B30" authorId="7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Before modeled refunds; net retention is slightly lower.</x:t>
        </x:r>
      </x:text>
    </x:comment>
    <x:comment ref="C30" authorId="7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Before modeled refunds; net retention is slightly lower.</x:t>
        </x:r>
      </x:text>
    </x:comment>
    <x:comment ref="D30" authorId="7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Before modeled refunds; net retention is slightly lower.</x:t>
        </x:r>
      </x:text>
    </x:comment>
    <x:comment ref="B31" authorId="7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Before modeled refunds; survivors can retain better.</x:t>
        </x:r>
      </x:text>
    </x:comment>
    <x:comment ref="C31" authorId="7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Before modeled refunds; survivors can retain better.</x:t>
        </x:r>
      </x:text>
    </x:comment>
    <x:comment ref="D31" authorId="80">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Before modeled refunds; survivors can retain better.</x:t>
        </x:r>
      </x:text>
    </x:comment>
    <x:comment ref="B32" authorId="81">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at age 1 month, then refunds.</x:t>
        </x:r>
      </x:text>
    </x:comment>
    <x:comment ref="C32" authorId="82">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at age 1 month, then refunds.</x:t>
        </x:r>
      </x:text>
    </x:comment>
    <x:comment ref="D32" authorId="83">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at age 1 month, then refunds.</x:t>
        </x:r>
      </x:text>
    </x:comment>
    <x:comment ref="B33" authorId="84">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at age 2 months, then refunds.</x:t>
        </x:r>
      </x:text>
    </x:comment>
    <x:comment ref="C33" authorId="85">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at age 2 months, then refunds.</x:t>
        </x:r>
      </x:text>
    </x:comment>
    <x:comment ref="D33" authorId="86">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at age 2 months, then refunds.</x:t>
        </x:r>
      </x:text>
    </x:comment>
    <x:comment ref="B34" authorId="87">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from age 3 onward, then refunds.</x:t>
        </x:r>
      </x:text>
    </x:comment>
    <x:comment ref="C34" authorId="88">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from age 3 onward, then refunds.</x:t>
        </x:r>
      </x:text>
    </x:comment>
    <x:comment ref="D34" authorId="89">
      <x:text>
        <x:r>
          <x:t>[Threaded comment]
Your version of Excel allows you to read this threaded comment; however, any edits to it will get removed if the file is opened in a newer version of Excel. Learn more: https://go.microsoft.com/fwlink/?linkid=870924
Comment:
    Analyst scenario assumption, not observed or approved spending.
Applies from age 3 onward, then refunds.</x:t>
        </x:r>
      </x:text>
    </x:comment>
  </x:commentList>
</x:comments>
</file>

<file path=xl/comments3.xml><?xml version="1.0" encoding="utf-8"?>
<x:comments xmlns:x="http://schemas.openxmlformats.org/spreadsheetml/2006/main">
  <x:authors>
    <x:author>tc={DA3D56AF-8E46-5A36-B12D-7291AF00EF35}</x:author>
    <x:author>tc={0DD5AC03-97FD-B593-E779-B1BB77E879C9}</x:author>
    <x:author>tc={72F5529C-03B2-D3DC-27BE-7C9AAD882AE8}</x:author>
    <x:author>tc={61C51E21-359C-2C4B-7225-9329E9910A65}</x:author>
    <x:author>tc={BF7AF4D3-2474-447E-76B1-81A549F2A5B9}</x:author>
    <x:author>tc={64923F0D-445E-94EF-1D89-2FDB22BF3DCF}</x:author>
    <x:author>tc={C0BCA9A0-FFD4-EEB0-A035-A99B2575BC6E}</x:author>
  </x:authors>
  <x:commentList>
    <x:comment ref="C5" authorId="0">
      <x:text>
        <x:r>
          <x:t>[Threaded comment]
Your version of Excel allows you to read this threaded comment; however, any edits to it will get removed if the file is opened in a newer version of Excel. Learn more: https://go.microsoft.com/fwlink/?linkid=870924
Comment:
    Analyst stress assumption, not observed. Organic growth stops after year 1; not all organic traffic disappears.</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Analyst stress assumption, not observed. Same media budget, half as many paid first purchases; conversion unchanged.</x:t>
        </x:r>
      </x:text>
    </x:comment>
    <x:comment ref="C7" authorId="2">
      <x:text>
        <x:r>
          <x:t>[Threaded comment]
Your version of Excel allows you to read this threaded comment; however, any edits to it will get removed if the file is opened in a newer version of Excel. Learn more: https://go.microsoft.com/fwlink/?linkid=870924
Comment:
    Analyst stress assumption, not observed. 100% India prices, holding traffic and conversion constant.</x:t>
        </x:r>
      </x:text>
    </x:comment>
    <x:comment ref="C8" authorId="3">
      <x:text>
        <x:r>
          <x:t>[Threaded comment]
Your version of Excel allows you to read this threaded comment; however, any edits to it will get removed if the file is opened in a newer version of Excel. Learn more: https://go.microsoft.com/fwlink/?linkid=870924
Comment:
    Analyst stress assumption, not observed. 15% first annual renewal before refunds.</x:t>
        </x:r>
      </x:text>
    </x:comment>
    <x:comment ref="C9" authorId="4">
      <x:text>
        <x:r>
          <x:t>[Threaded comment]
Your version of Excel allows you to read this threaded comment; however, any edits to it will get removed if the file is opened in a newer version of Excel. Learn more: https://go.microsoft.com/fwlink/?linkid=870924
Comment:
    Analyst stress assumption, not observed. 100 active free users per paying subscriber.</x:t>
        </x:r>
      </x:text>
    </x:comment>
    <x:comment ref="C10" authorId="5">
      <x:text>
        <x:r>
          <x:t>[Threaded comment]
Your version of Excel allows you to read this threaded comment; however, any edits to it will get removed if the file is opened in a newer version of Excel. Learn more: https://go.microsoft.com/fwlink/?linkid=870924
Comment:
    Analyst stress assumption, not observed. Only 40% choose annual; remaining 60% are monthly.</x:t>
        </x:r>
      </x:text>
    </x:comment>
    <x:comment ref="C11" authorId="6">
      <x:text>
        <x:r>
          <x:t>[Threaded comment]
Your version of Excel allows you to read this threaded comment; however, any edits to it will get removed if the file is opened in a newer version of Excel. Learn more: https://go.microsoft.com/fwlink/?linkid=870924
Comment:
    Analyst stress assumption, not observed. 30% on store sales; web fees unchanged.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Red](#,##0);&quot;-&quot;"/>
    <x:numFmt numFmtId="201" formatCode="0.00;[Red](0.00);&quot;-&quot;"/>
    <x:numFmt numFmtId="202" formatCode="0.0%;[Red](0.0%);&quot;-&quot;"/>
    <x:numFmt numFmtId="203" formatCode="0.0&quot;x&quot;;[Red](0.0&quot;x&quot;);&quot;-&quot;"/>
    <x:numFmt numFmtId="204" formatCode="#,##0.000;[Red](#,##0.000);&quot;-&quot;"/>
    <x:numFmt numFmtId="205" formatCode="#,##0.0;[Red](#,##0.0);&quot;-&quot;"/>
  </x:numFmts>
  <x:fonts count="14">
    <x:font>
      <x:sz val="11"/>
      <x:name val="Carlito"/>
    </x:font>
    <x:font>
      <x:sz val="11"/>
      <x:name val="Aptos"/>
    </x:font>
    <x:font>
      <x:sz val="10"/>
      <x:name val="Aptos"/>
    </x:font>
    <x:font>
      <x:b/>
      <x:sz val="19"/>
      <x:color rgb="FFFFFFFF"/>
      <x:name val="Aptos"/>
    </x:font>
    <x:font>
      <x:sz val="10"/>
      <x:color rgb="FF526272"/>
      <x:name val="Aptos"/>
    </x:font>
    <x:font>
      <x:b/>
      <x:sz val="10"/>
      <x:color rgb="FFFFFFFF"/>
      <x:name val="Aptos"/>
    </x:font>
    <x:font>
      <x:sz val="10"/>
      <x:color rgb="FF0000FF"/>
      <x:name val="Aptos"/>
    </x:font>
    <x:font>
      <x:b/>
      <x:sz val="16"/>
      <x:color rgb="FFFFFFFF"/>
      <x:name val="Aptos"/>
    </x:font>
    <x:font>
      <x:sz val="10"/>
      <x:color rgb="FF008000"/>
      <x:name val="Aptos"/>
    </x:font>
    <x:font>
      <x:sz val="10"/>
      <x:color rgb="FF000000"/>
      <x:name val="Aptos"/>
    </x:font>
    <x:font>
      <x:b/>
      <x:sz val="10"/>
      <x:name val="Aptos"/>
    </x:font>
    <x:font>
      <x:b/>
      <x:sz val="10"/>
      <x:color rgb="FF000000"/>
      <x:name val="Aptos"/>
    </x:font>
    <x:font>
      <x:b/>
      <x:sz val="10"/>
      <x:color rgb="FF0000FF"/>
      <x:name val="Aptos"/>
    </x:font>
    <x:font>
      <x:b/>
      <x:sz val="10"/>
      <x:color rgb="FF008000"/>
      <x:name val="Aptos"/>
    </x:font>
  </x:fonts>
  <x:fills count="6">
    <x:fill>
      <x:patternFill patternType="none"/>
    </x:fill>
    <x:fill>
      <x:patternFill patternType="gray125"/>
    </x:fill>
    <x:fill>
      <x:patternFill patternType="solid">
        <x:fgColor rgb="FF182B42"/>
      </x:patternFill>
    </x:fill>
    <x:fill>
      <x:patternFill patternType="solid">
        <x:fgColor rgb="FF157A82"/>
      </x:patternFill>
    </x:fill>
    <x:fill>
      <x:patternFill patternType="solid">
        <x:fgColor rgb="FFFFF3C4"/>
      </x:patternFill>
    </x:fill>
    <x:fill>
      <x:patternFill patternType="solid">
        <x:fgColor rgb="FFEEF5F6"/>
      </x:patternFill>
    </x:fill>
  </x:fills>
  <x:borders count="4">
    <x:border/>
    <x:border/>
    <x:border>
      <x:top style="thin">
        <x:color rgb="FFB9C9CD"/>
      </x:top>
    </x:border>
    <x:border>
      <x:top style="thin">
        <x:color rgb="FFB9C9CD"/>
      </x:top>
    </x:border>
  </x:borders>
  <x:cellStyleXfs count="1">
    <x:xf numFmtId="0" fontId="0" fillId="0" borderId="0"/>
  </x:cellStyleXfs>
  <x:cellXfs count="1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2" fillId="2" borderId="1" xfId="0" applyNumberFormat="1" applyFont="1" applyFill="1" applyBorder="1"/>
    <x:xf numFmtId="0" fontId="3" fillId="2" borderId="1"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2"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2"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202" fontId="6" fillId="0" borderId="0" xfId="0" applyNumberFormat="1" applyFont="1" applyFill="1" applyBorder="1"/>
    <x:xf numFmtId="202"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0" fontId="2"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2" fontId="6" fillId="0" borderId="0" xfId="0" applyNumberFormat="1" applyFont="1" applyFill="1" applyBorder="1" applyAlignment="1">
      <x:alignment wrapText="1"/>
    </x:xf>
    <x:xf numFmtId="203" fontId="6" fillId="0" borderId="0" xfId="0" applyNumberFormat="1" applyFont="1" applyFill="1" applyBorder="1" applyAlignment="1">
      <x:alignment wrapText="1"/>
    </x:xf>
    <x:xf numFmtId="0" fontId="2" fillId="0" borderId="1" xfId="0" applyNumberFormat="1" applyFont="1" applyFill="1" applyBorder="1" applyAlignment="1">
      <x:alignment wrapText="1"/>
    </x:xf>
    <x:xf numFmtId="201" fontId="6" fillId="0" borderId="1" xfId="0" applyNumberFormat="1" applyFont="1" applyFill="1" applyBorder="1" applyAlignment="1">
      <x:alignment wrapText="1"/>
    </x:xf>
    <x:xf numFmtId="200" fontId="6" fillId="0" borderId="1" xfId="0" applyNumberFormat="1" applyFont="1" applyFill="1" applyBorder="1" applyAlignment="1">
      <x:alignment wrapText="1"/>
    </x:xf>
    <x:xf numFmtId="202" fontId="6" fillId="0" borderId="1" xfId="0" applyNumberFormat="1" applyFont="1" applyFill="1" applyBorder="1" applyAlignment="1">
      <x:alignment wrapText="1"/>
    </x:xf>
    <x:xf numFmtId="203" fontId="6" fillId="0" borderId="1" xfId="0" applyNumberFormat="1" applyFont="1" applyFill="1" applyBorder="1" applyAlignment="1">
      <x:alignment wrapText="1"/>
    </x:xf>
    <x:xf numFmtId="202" fontId="6" fillId="4" borderId="0" xfId="0" applyNumberFormat="1" applyFont="1" applyFill="1" applyBorder="1" applyAlignment="1">
      <x:alignment wrapText="1"/>
    </x:xf>
    <x:xf numFmtId="202" fontId="6" fillId="4" borderId="1" xfId="0" applyNumberFormat="1" applyFont="1" applyFill="1" applyBorder="1" applyAlignment="1">
      <x:alignment wrapText="1"/>
    </x:xf>
    <x:xf numFmtId="0" fontId="6" fillId="4" borderId="0" xfId="0" applyNumberFormat="1" applyFont="1" applyFill="1" applyBorder="1"/>
    <x:xf numFmtId="0" fontId="6" fillId="4" borderId="1" xfId="0" applyNumberFormat="1" applyFont="1" applyFill="1" applyBorder="1"/>
    <x:xf numFmtId="202" fontId="6" fillId="4" borderId="0" xfId="0" applyNumberFormat="1" applyFont="1" applyFill="1" applyBorder="1"/>
    <x:xf numFmtId="202" fontId="6" fillId="4" borderId="1" xfId="0" applyNumberFormat="1" applyFont="1" applyFill="1" applyBorder="1"/>
    <x:xf numFmtId="203" fontId="6" fillId="4" borderId="0" xfId="0" applyNumberFormat="1" applyFont="1" applyFill="1" applyBorder="1"/>
    <x:xf numFmtId="203" fontId="6" fillId="4" borderId="1" xfId="0" applyNumberFormat="1" applyFont="1" applyFill="1" applyBorder="1"/>
    <x:xf numFmtId="203" fontId="6" fillId="4" borderId="0" xfId="0" applyNumberFormat="1" applyFont="1" applyFill="1" applyBorder="1" applyAlignment="1">
      <x:alignment wrapText="1"/>
    </x:xf>
    <x:xf numFmtId="203" fontId="6" fillId="4" borderId="1" xfId="0" applyNumberFormat="1" applyFont="1" applyFill="1" applyBorder="1" applyAlignment="1">
      <x:alignment wrapText="1"/>
    </x:xf>
    <x:xf numFmtId="0" fontId="7" fillId="2" borderId="0" xfId="0" applyNumberFormat="1" applyFont="1" applyFill="1" applyBorder="1"/>
    <x:xf numFmtId="0" fontId="7" fillId="2"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204" fontId="8" fillId="0" borderId="0" xfId="0" applyNumberFormat="1" applyFont="1" applyFill="1" applyBorder="1"/>
    <x:xf numFmtId="204" fontId="8" fillId="0" borderId="1" xfId="0" applyNumberFormat="1" applyFont="1" applyFill="1" applyBorder="1"/>
    <x:xf numFmtId="200" fontId="9" fillId="0" borderId="0" xfId="0" applyNumberFormat="1" applyFont="1" applyFill="1" applyBorder="1"/>
    <x:xf numFmtId="200" fontId="9" fillId="0" borderId="1" xfId="0" applyNumberFormat="1" applyFont="1" applyFill="1" applyBorder="1"/>
    <x:xf numFmtId="200" fontId="8" fillId="0" borderId="0" xfId="0" applyNumberFormat="1" applyFont="1" applyFill="1" applyBorder="1"/>
    <x:xf numFmtId="200" fontId="8" fillId="0" borderId="1" xfId="0" applyNumberFormat="1" applyFont="1" applyFill="1" applyBorder="1"/>
    <x:xf numFmtId="202" fontId="9" fillId="0" borderId="0" xfId="0" applyNumberFormat="1" applyFont="1" applyFill="1" applyBorder="1"/>
    <x:xf numFmtId="202" fontId="9" fillId="0" borderId="1" xfId="0" applyNumberFormat="1" applyFont="1" applyFill="1" applyBorder="1"/>
    <x:xf numFmtId="205" fontId="9" fillId="0" borderId="0" xfId="0" applyNumberFormat="1" applyFont="1" applyFill="1" applyBorder="1"/>
    <x:xf numFmtId="205" fontId="9" fillId="0" borderId="1" xfId="0" applyNumberFormat="1" applyFont="1" applyFill="1" applyBorder="1"/>
    <x:xf numFmtId="0" fontId="2" fillId="5" borderId="0" xfId="0" applyNumberFormat="1" applyFont="1" applyFill="1" applyBorder="1"/>
    <x:xf numFmtId="200" fontId="9" fillId="5" borderId="0" xfId="0" applyNumberFormat="1" applyFont="1" applyFill="1" applyBorder="1"/>
    <x:xf numFmtId="0" fontId="2" fillId="5" borderId="1" xfId="0" applyNumberFormat="1" applyFont="1" applyFill="1" applyBorder="1"/>
    <x:xf numFmtId="200" fontId="9" fillId="5" borderId="1" xfId="0" applyNumberFormat="1" applyFont="1" applyFill="1" applyBorder="1"/>
    <x:xf numFmtId="0" fontId="10" fillId="5" borderId="0" xfId="0" applyNumberFormat="1" applyFont="1" applyFill="1" applyBorder="1"/>
    <x:xf numFmtId="200" fontId="11" fillId="5" borderId="0" xfId="0" applyNumberFormat="1" applyFont="1" applyFill="1" applyBorder="1"/>
    <x:xf numFmtId="0" fontId="10" fillId="5" borderId="1" xfId="0" applyNumberFormat="1" applyFont="1" applyFill="1" applyBorder="1"/>
    <x:xf numFmtId="200" fontId="11" fillId="5" borderId="1" xfId="0" applyNumberFormat="1" applyFont="1" applyFill="1" applyBorder="1"/>
    <x:xf numFmtId="0" fontId="10" fillId="5" borderId="2" xfId="0" applyNumberFormat="1" applyFont="1" applyFill="1" applyBorder="1"/>
    <x:xf numFmtId="200" fontId="11" fillId="5" borderId="2" xfId="0" applyNumberFormat="1" applyFont="1" applyFill="1" applyBorder="1"/>
    <x:xf numFmtId="0" fontId="10" fillId="5" borderId="3" xfId="0" applyNumberFormat="1" applyFont="1" applyFill="1" applyBorder="1"/>
    <x:xf numFmtId="200" fontId="11" fillId="5" borderId="3" xfId="0" applyNumberFormat="1" applyFont="1" applyFill="1" applyBorder="1"/>
    <x:xf numFmtId="201" fontId="2" fillId="0" borderId="0" xfId="0" applyNumberFormat="1" applyFont="1" applyFill="1" applyBorder="1"/>
    <x:xf numFmtId="201" fontId="2" fillId="0" borderId="1" xfId="0" applyNumberFormat="1" applyFont="1" applyFill="1" applyBorder="1"/>
    <x:xf numFmtId="202" fontId="2" fillId="0" borderId="0" xfId="0" applyNumberFormat="1" applyFont="1" applyFill="1" applyBorder="1"/>
    <x:xf numFmtId="202" fontId="2" fillId="0" borderId="1" xfId="0" applyNumberFormat="1" applyFont="1" applyFill="1" applyBorder="1"/>
    <x:xf numFmtId="201" fontId="8" fillId="0" borderId="0" xfId="0" applyNumberFormat="1" applyFont="1" applyFill="1" applyBorder="1"/>
    <x:xf numFmtId="202" fontId="8" fillId="0" borderId="0" xfId="0" applyNumberFormat="1" applyFont="1" applyFill="1" applyBorder="1"/>
    <x:xf numFmtId="201" fontId="8" fillId="0" borderId="1" xfId="0" applyNumberFormat="1" applyFont="1" applyFill="1" applyBorder="1"/>
    <x:xf numFmtId="202" fontId="8" fillId="0" borderId="1" xfId="0" applyNumberFormat="1" applyFont="1" applyFill="1" applyBorder="1"/>
    <x:xf numFmtId="200" fontId="8" fillId="5" borderId="0" xfId="0" applyNumberFormat="1" applyFont="1" applyFill="1" applyBorder="1"/>
    <x:xf numFmtId="201" fontId="8" fillId="5" borderId="0" xfId="0" applyNumberFormat="1" applyFont="1" applyFill="1" applyBorder="1"/>
    <x:xf numFmtId="202" fontId="8" fillId="5" borderId="0" xfId="0" applyNumberFormat="1" applyFont="1" applyFill="1" applyBorder="1"/>
    <x:xf numFmtId="200" fontId="8" fillId="5" borderId="1" xfId="0" applyNumberFormat="1" applyFont="1" applyFill="1" applyBorder="1"/>
    <x:xf numFmtId="201" fontId="8" fillId="5" borderId="1" xfId="0" applyNumberFormat="1" applyFont="1" applyFill="1" applyBorder="1"/>
    <x:xf numFmtId="202" fontId="8" fillId="5" borderId="1" xfId="0" applyNumberFormat="1" applyFont="1" applyFill="1" applyBorder="1"/>
    <x:xf numFmtId="200" fontId="2" fillId="0" borderId="0" xfId="0" applyNumberFormat="1" applyFont="1" applyFill="1" applyBorder="1" applyAlignment="1">
      <x:alignment wrapText="1"/>
    </x:xf>
    <x:xf numFmtId="201" fontId="2" fillId="0" borderId="0" xfId="0" applyNumberFormat="1" applyFont="1" applyFill="1" applyBorder="1" applyAlignment="1">
      <x:alignment wrapText="1"/>
    </x:xf>
    <x:xf numFmtId="200" fontId="2" fillId="0" borderId="1" xfId="0" applyNumberFormat="1" applyFont="1" applyFill="1" applyBorder="1" applyAlignment="1">
      <x:alignment wrapText="1"/>
    </x:xf>
    <x:xf numFmtId="201" fontId="2" fillId="0" borderId="1" xfId="0" applyNumberFormat="1" applyFont="1" applyFill="1" applyBorder="1" applyAlignment="1">
      <x:alignment wrapText="1"/>
    </x:xf>
    <x:xf numFmtId="0" fontId="12" fillId="3" borderId="0" xfId="0" applyNumberFormat="1" applyFont="1" applyFill="1" applyBorder="1" applyAlignment="1">
      <x:alignment wrapText="1"/>
    </x:xf>
    <x:xf numFmtId="0" fontId="12" fillId="3" borderId="1" xfId="0" applyNumberFormat="1" applyFont="1" applyFill="1" applyBorder="1" applyAlignment="1">
      <x:alignment wrapText="1"/>
    </x:xf>
    <x:xf numFmtId="202" fontId="2" fillId="0" borderId="0" xfId="0" applyNumberFormat="1" applyFont="1" applyFill="1" applyBorder="1" applyAlignment="1">
      <x:alignment wrapText="1"/>
    </x:xf>
    <x:xf numFmtId="202" fontId="2" fillId="0" borderId="1" xfId="0" applyNumberFormat="1" applyFont="1" applyFill="1" applyBorder="1" applyAlignment="1">
      <x:alignment wrapText="1"/>
    </x:xf>
    <x:xf numFmtId="0" fontId="10" fillId="5" borderId="0" xfId="0" applyNumberFormat="1" applyFont="1" applyFill="1" applyBorder="1" applyAlignment="1">
      <x:alignment wrapText="1"/>
    </x:xf>
    <x:xf numFmtId="0" fontId="10" fillId="5" borderId="1" xfId="0" applyNumberFormat="1" applyFont="1" applyFill="1" applyBorder="1" applyAlignment="1">
      <x:alignment wrapText="1"/>
    </x:xf>
    <x:xf numFmtId="0" fontId="13" fillId="3" borderId="0" xfId="0" applyNumberFormat="1" applyFont="1" applyFill="1" applyBorder="1" applyAlignment="1">
      <x:alignment wrapText="1"/>
    </x:xf>
    <x:xf numFmtId="0" fontId="13" fillId="3" borderId="1" xfId="0" applyNumberFormat="1" applyFont="1" applyFill="1" applyBorder="1" applyAlignment="1">
      <x:alignment wrapText="1"/>
    </x:xf>
    <x:xf numFmtId="0" fontId="5" fillId="3"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200" fontId="8"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13" fillId="3" borderId="0" xfId="0" applyNumberFormat="1" applyFont="1" applyFill="1" applyBorder="1" applyAlignment="1">
      <x:alignment vertical="center" wrapText="1"/>
    </x:xf>
    <x:xf numFmtId="201" fontId="8" fillId="0" borderId="0" xfId="0" applyNumberFormat="1" applyFont="1" applyFill="1" applyBorder="1" applyAlignment="1">
      <x:alignment vertical="center"/>
    </x:xf>
    <x:xf numFmtId="0" fontId="5" fillId="3"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200" fontId="8" fillId="0" borderId="1" xfId="0" applyNumberFormat="1" applyFont="1" applyFill="1" applyBorder="1" applyAlignment="1">
      <x:alignment vertical="center"/>
    </x:xf>
    <x:xf numFmtId="0" fontId="2" fillId="0" borderId="1" xfId="0" applyNumberFormat="1" applyFont="1" applyFill="1" applyBorder="1" applyAlignment="1">
      <x:alignment vertical="center"/>
    </x:xf>
    <x:xf numFmtId="0" fontId="8" fillId="0" borderId="1" xfId="0" applyNumberFormat="1" applyFont="1" applyFill="1" applyBorder="1" applyAlignment="1">
      <x:alignment vertical="center"/>
    </x:xf>
    <x:xf numFmtId="0" fontId="13" fillId="3" borderId="1" xfId="0" applyNumberFormat="1" applyFont="1" applyFill="1" applyBorder="1" applyAlignment="1">
      <x:alignment vertical="center" wrapText="1"/>
    </x:xf>
    <x:xf numFmtId="201" fontId="8" fillId="0"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cellXfs>
  <x:cellStyles count="1">
    <x:cellStyle name="Normal" xfId="0"/>
  </x:cellStyles>
  <x:dxfs count="30">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5e0c4175114fb3" /><Relationship Type="http://schemas.openxmlformats.org/officeDocument/2006/relationships/theme" Target="/xl/theme/theme1.xml" Id="R72d2da72db3842fb" /><Relationship Type="http://schemas.openxmlformats.org/officeDocument/2006/relationships/sharedStrings" Target="/xl/sharedStrings.xml" Id="R16ca3eb593e44954" /><Relationship Type="http://schemas.openxmlformats.org/officeDocument/2006/relationships/worksheet" Target="/xl/worksheets/sheet1.xml" Id="R7096c086dace414f" /><Relationship Type="http://schemas.openxmlformats.org/officeDocument/2006/relationships/worksheet" Target="/xl/worksheets/sheet2.xml" Id="Re6ef80587c3f4810" /><Relationship Type="http://schemas.openxmlformats.org/officeDocument/2006/relationships/worksheet" Target="/xl/worksheets/sheet3.xml" Id="R7708d3a7777e499d" /><Relationship Type="http://schemas.openxmlformats.org/officeDocument/2006/relationships/worksheet" Target="/xl/worksheets/sheet4.xml" Id="Rc53756ab8e2b4cf1" /><Relationship Type="http://schemas.openxmlformats.org/officeDocument/2006/relationships/worksheet" Target="/xl/worksheets/sheet5.xml" Id="R2e53b987ee1f4e59" /><Relationship Type="http://schemas.openxmlformats.org/officeDocument/2006/relationships/worksheet" Target="/xl/worksheets/sheet6.xml" Id="R904ce1a072804616" /><Relationship Type="http://schemas.openxmlformats.org/officeDocument/2006/relationships/worksheet" Target="/xl/worksheets/sheet7.xml" Id="R2c145ea47845404d" /><Relationship Type="http://schemas.openxmlformats.org/officeDocument/2006/relationships/worksheet" Target="/xl/worksheets/sheet8.xml" Id="R230dac0bf93842e3" /><Relationship Type="http://schemas.openxmlformats.org/officeDocument/2006/relationships/worksheet" Target="/xl/worksheets/sheet9.xml" Id="R3a2bf059c5b14457" /><Relationship Type="http://schemas.openxmlformats.org/officeDocument/2006/relationships/worksheet" Target="/xl/worksheets/sheet10.xml" Id="R46d536d827ef496e" /><Relationship Type="http://schemas.openxmlformats.org/officeDocument/2006/relationships/worksheet" Target="/xl/worksheets/sheet11.xml" Id="R8e2bc7ac0c904d01" /><Relationship Type="http://schemas.openxmlformats.org/officeDocument/2006/relationships/worksheet" Target="/xl/worksheets/sheet12.xml" Id="R4f830bbb621049bd" /><Relationship Type="http://schemas.openxmlformats.org/officeDocument/2006/relationships/worksheet" Target="/xl/worksheets/sheet13.xml" Id="R9698581d643f4366" /><Relationship Type="http://schemas.microsoft.com/office/2017/10/relationships/person" Target="/xl/persons/person.xml" Id="R242a74a7b8cf49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36571c8e6a184562" /><Relationship Type="http://schemas.openxmlformats.org/officeDocument/2006/relationships/chart" Target="/xl/drawings/charts/chart2.xml" Id="R5e98a626a31140d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Monthly operating profit (₹ lakh)</a:t>
            </a:r>
          </a:p>
        </c:rich>
      </c:tx>
    </c:title>
    <c:plotArea>
      <c:lineChart>
        <c:grouping val="standard"/>
        <c:ser>
          <c:idx val="0"/>
          <c:order val="0"/>
          <c:tx>
            <c:v>Downside profit (₹ lakh)</c:v>
          </c:tx>
          <c:marker>
            <c:symbol val="none"/>
          </c:marker>
          <c:cat>
            <c:strRef>
              <c:f>'Dashboard'!$A$65:$A$100</c:f>
              <c:strCache>
                <c:ptCount val="0"/>
              </c:strCache>
            </c:strRef>
          </c:cat>
          <c:val>
            <c:numRef>
              <c:f>'Dashboard'!$B$65:$B$100</c:f>
              <c:numCache>
                <c:formatCode>General</c:formatCode>
                <c:ptCount val="0"/>
              </c:numCache>
            </c:numRef>
          </c:val>
        </c:ser>
        <c:ser>
          <c:idx val="1"/>
          <c:order val="1"/>
          <c:tx>
            <c:v>Base profit (₹ lakh)</c:v>
          </c:tx>
          <c:marker>
            <c:symbol val="none"/>
          </c:marker>
          <c:cat>
            <c:strRef>
              <c:f>'Dashboard'!$A$65:$A$100</c:f>
              <c:strCache>
                <c:ptCount val="0"/>
              </c:strCache>
            </c:strRef>
          </c:cat>
          <c:val>
            <c:numRef>
              <c:f>'Dashboard'!$C$65:$C$100</c:f>
              <c:numCache>
                <c:formatCode>General</c:formatCode>
                <c:ptCount val="0"/>
              </c:numCache>
            </c:numRef>
          </c:val>
        </c:ser>
        <c:ser>
          <c:idx val="2"/>
          <c:order val="2"/>
          <c:tx>
            <c:v>Strong profit (₹ lakh)</c:v>
          </c:tx>
          <c:marker>
            <c:symbol val="none"/>
          </c:marker>
          <c:cat>
            <c:strRef>
              <c:f>'Dashboard'!$A$65:$A$100</c:f>
              <c:strCache>
                <c:ptCount val="0"/>
              </c:strCache>
            </c:strRef>
          </c:cat>
          <c:val>
            <c:numRef>
              <c:f>'Dashboard'!$D$65:$D$100</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ser>
          <c:idx val="0"/>
          <c:order val="0"/>
          <c:tx>
            <c:v>Downside</c:v>
          </c:tx>
          <c:marker>
            <c:symbol val="none"/>
          </c:marker>
          <c:cat>
            <c:strRef>
              <c:f>'Dashboard'!$A$65:$A$100</c:f>
              <c:strCache>
                <c:ptCount val="0"/>
              </c:strCache>
            </c:strRef>
          </c:cat>
          <c:val>
            <c:numRef>
              <c:f>'Dashboard'!$E$65:$E$100</c:f>
              <c:numCache>
                <c:formatCode>General</c:formatCode>
                <c:ptCount val="0"/>
              </c:numCache>
            </c:numRef>
          </c:val>
        </c:ser>
        <c:ser>
          <c:idx val="1"/>
          <c:order val="1"/>
          <c:tx>
            <c:v>Base</c:v>
          </c:tx>
          <c:marker>
            <c:symbol val="none"/>
          </c:marker>
          <c:cat>
            <c:strRef>
              <c:f>'Dashboard'!$A$65:$A$100</c:f>
              <c:strCache>
                <c:ptCount val="0"/>
              </c:strCache>
            </c:strRef>
          </c:cat>
          <c:val>
            <c:numRef>
              <c:f>'Dashboard'!$F$65:$F$100</c:f>
              <c:numCache>
                <c:formatCode>General</c:formatCode>
                <c:ptCount val="0"/>
              </c:numCache>
            </c:numRef>
          </c:val>
        </c:ser>
        <c:ser>
          <c:idx val="2"/>
          <c:order val="2"/>
          <c:tx>
            <c:v>Strong</c:v>
          </c:tx>
          <c:marker>
            <c:symbol val="none"/>
          </c:marker>
          <c:cat>
            <c:strRef>
              <c:f>'Dashboard'!$A$65:$A$100</c:f>
              <c:strCache>
                <c:ptCount val="0"/>
              </c:strCache>
            </c:strRef>
          </c:cat>
          <c:val>
            <c:numRef>
              <c:f>'Dashboard'!$G$65:$G$100</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6</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571c8e6a184562"/>
        </a:graphicData>
      </a:graphic>
    </xdr:graphicFrame>
    <xdr:clientData/>
  </xdr:twoCellAnchor>
  <xdr:twoCellAnchor>
    <xdr:from>
      <xdr:col>6</xdr:col>
      <xdr:colOff>0</xdr:colOff>
      <xdr:row>23</xdr:row>
      <xdr:rowOff>0</xdr:rowOff>
    </xdr:from>
    <xdr:to>
      <xdr:col>12</xdr:col>
      <xdr:colOff>0</xdr:colOff>
      <xdr:row>41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98a626a31140d4"/>
        </a:graphicData>
      </a:graphic>
    </xdr:graphicFrame>
    <xdr:clientData/>
  </xdr:twoCellAnchor>
</xdr:wsDr>
</file>

<file path=xl/persons/person.xml><?xml version="1.0" encoding="utf-8"?>
<xltc:personList xmlns:xltc="http://schemas.microsoft.com/office/spreadsheetml/2018/threadedcomments">
  <xltc:person displayName="Model sources" id="{4F7CA91B-9520-4101-B91E-C54C24E668FA}"/>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9-27T18:01:38.606" personId="{4F7CA91B-9520-4101-B91E-C54C24E668FA}" id="{AC4CD731-4DBF-9F69-32C7-EA857CAFC0A6}">
    <xltc:text>A1: Not observed / not an approved budget
Planning convention, not a current market quote.
Model date: 2026-09-27.</xltc:text>
  </xltc:threadedComment>
  <xltc:threadedComment ref="B6" dT="2026-09-27T18:01:38.61" personId="{4F7CA91B-9520-4101-B91E-C54C24E668FA}" id="{1B6A9B48-416C-1FAC-E17B-FA9AC583642B}">
    <xltc:text>P1: Attenlo_PDF_Monetization_and_Growth_Plan_2026-09-27.md
Proposed; inclusive of assumed India sales tax.
Model date: 2026-09-27.</xltc:text>
  </xltc:threadedComment>
  <xltc:threadedComment ref="B7" dT="2026-09-27T18:01:38.613" personId="{4F7CA91B-9520-4101-B91E-C54C24E668FA}" id="{E1EEF7AC-8870-4397-D431-121D7F207C47}">
    <xltc:text>P1: Attenlo_PDF_Monetization_and_Growth_Plan_2026-09-27.md
Proposed; inclusive of assumed India sales tax.
Model date: 2026-09-27.</xltc:text>
  </xltc:threadedComment>
  <xltc:threadedComment ref="B8" dT="2026-09-27T18:01:38.615" personId="{4F7CA91B-9520-4101-B91E-C54C24E668FA}" id="{22018D89-45D2-0D84-8D00-18AA6E5E5DC9}">
    <xltc:text>P1: Attenlo_PDF_Monetization_and_Growth_Plan_2026-09-27.md
Before local tax; regional prices may differ.
Model date: 2026-09-27.</xltc:text>
  </xltc:threadedComment>
  <xltc:threadedComment ref="B9" dT="2026-09-27T18:01:38.618" personId="{4F7CA91B-9520-4101-B91E-C54C24E668FA}" id="{606DDBA6-A91B-1D7F-2EFE-DD089407CFC4}">
    <xltc:text>P1: Attenlo_PDF_Monetization_and_Growth_Plan_2026-09-27.md
Before local tax; standard fixed transaction fee modeled.
Model date: 2026-09-27.</xltc:text>
  </xltc:threadedComment>
  <xltc:threadedComment ref="B10" dT="2026-09-27T18:01:38.62" personId="{4F7CA91B-9520-4101-B91E-C54C24E668FA}" id="{9784404E-50AE-60EC-5081-82089CF7883E}">
    <xltc:text>A1: Not observed / not an approved budget
Planning only; accountant must confirm actual treatment.
Model date: 2026-09-27.</xltc:text>
  </xltc:threadedComment>
  <xltc:threadedComment ref="B11" dT="2026-09-27T18:01:38.622" personId="{4F7CA91B-9520-4101-B91E-C54C24E668FA}" id="{2075A801-47A2-1F63-64D9-C3CC8BDDA824}">
    <xltc:text>A1: Not observed / not an approved budget
Zero = quoted global price before tax. Stress tax-inclusive prices separately.
Model date: 2026-09-27.</xltc:text>
  </xltc:threadedComment>
  <xltc:threadedComment ref="B12" dT="2026-09-27T18:01:38.626" personId="{4F7CA91B-9520-4101-B91E-C54C24E668FA}" id="{AB0E4237-112E-4068-D86E-EA811DD55F96}">
    <xltc:text>A1: Not observed / not an approved budget
Remaining share sold through native app stores.
Model date: 2026-09-27.</xltc:text>
  </xltc:threadedComment>
  <xltc:threadedComment ref="B13" dT="2026-09-27T18:01:38.628" personId="{4F7CA91B-9520-4101-B91E-C54C24E668FA}" id="{C5DE07C9-47C7-9190-E1E6-93B84EFA2932}">
    <xltc:text>S2: https://developer.apple.com/app-store/small-business-program/
Standard 15% modeling assumption; verify eligibility and regional contracts.
Model date: 2026-09-27.</xltc:text>
  </xltc:threadedComment>
  <xltc:threadedComment ref="B14" dT="2026-09-27T18:01:38.631" personId="{4F7CA91B-9520-4101-B91E-C54C24E668FA}" id="{78BEC4FE-56E8-0A35-DDA1-5610A1B13BF3}">
    <xltc:text>S5: https://razorpay.com/pricing/
Standard 2% + assumed 18% GST on fee; no input-credit benefit.
Model date: 2026-09-27.</xltc:text>
  </xltc:threadedComment>
  <xltc:threadedComment ref="B15" dT="2026-09-27T18:01:38.633" personId="{4F7CA91B-9520-4101-B91E-C54C24E668FA}" id="{3E89DEE4-1AC1-9FC1-25DD-8FEC0A21FEA8}">
    <xltc:text>S4: https://www.paddle.com/pricing
No fee refunds assumed; custom small-transaction terms not included.
Model date: 2026-09-27.</xltc:text>
  </xltc:threadedComment>
  <xltc:threadedComment ref="B16" dT="2026-09-27T18:01:38.635" personId="{4F7CA91B-9520-4101-B91E-C54C24E668FA}" id="{C161200A-D62A-F74A-E59E-E3AAFBD456A0}">
    <xltc:text>S4: https://www.paddle.com/pricing
One charge per annual renewal or monthly payment.
Model date: 2026-09-27.</xltc:text>
  </xltc:threadedComment>
  <xltc:threadedComment ref="B17" dT="2026-09-27T18:01:38.638" personId="{4F7CA91B-9520-4101-B91E-C54C24E668FA}" id="{1137BCB7-8863-5139-5737-FD9162EC4D5A}">
    <xltc:text>S6: https://www.revenuecat.com/pricing
Conservative 1% at all scales; counts native/web alike.
Model date: 2026-09-27.</xltc:text>
  </xltc:threadedComment>
  <xltc:threadedComment ref="B18" dT="2026-09-27T18:01:38.641" personId="{4F7CA91B-9520-4101-B91E-C54C24E668FA}" id="{93741BA3-7229-F002-781B-414AE82CB841}">
    <xltc:text>S1: https://developers.openai.com/api/docs/models/gpt-5.6-luna
Published input price; no cache saving assumed.
Model date: 2026-09-27.</xltc:text>
  </xltc:threadedComment>
  <xltc:threadedComment ref="B19" dT="2026-09-27T18:01:38.643" personId="{4F7CA91B-9520-4101-B91E-C54C24E668FA}" id="{EC3C0172-8C0D-D38B-EBCB-1F4955CE0E7A}">
    <xltc:text>S1: https://developers.openai.com/api/docs/models/gpt-5.6-luna
Includes any billed reasoning/output tokens in usage assumption.
Model date: 2026-09-27.</xltc:text>
  </xltc:threadedComment>
  <xltc:threadedComment ref="B20" dT="2026-09-27T18:01:38.646" personId="{4F7CA91B-9520-4101-B91E-C54C24E668FA}" id="{4B3B00AC-FA3F-BE36-3AFD-3650239E317D}">
    <xltc:text>A1: Not observed / not an approved budget
Schema + bounded context. Not measured.
Model date: 2026-09-27.</xltc:text>
  </xltc:threadedComment>
  <xltc:threadedComment ref="B21" dT="2026-09-27T18:01:38.648" personId="{4F7CA91B-9520-4101-B91E-C54C24E668FA}" id="{52DF9F1B-988B-2873-154A-95620B2753F3}">
    <xltc:text>A1: Not observed / not an approved budget
Not measured; instruction planning only.
Model date: 2026-09-27.</xltc:text>
  </xltc:threadedComment>
  <xltc:threadedComment ref="B22" dT="2026-09-27T18:01:38.65" personId="{4F7CA91B-9520-4101-B91E-C54C24E668FA}" id="{F87B6479-C634-FB26-88A1-2D8DE9908387}">
    <xltc:text>A1: Not observed / not an approved budget
Applies to model usage, not customer quota.
Model date: 2026-09-27.</xltc:text>
  </xltc:threadedComment>
  <xltc:threadedComment ref="B23" dT="2026-09-27T18:01:38.652" personId="{4F7CA91B-9520-4101-B91E-C54C24E668FA}" id="{499001C6-8FB6-D663-7AB3-1A198E042B6D}">
    <xltc:text>A1: Not observed / not an approved budget
Additional 10% buffer versus prior model; actual fee taxes may differ.
Model date: 2026-09-27.</xltc:text>
  </xltc:threadedComment>
  <xltc:threadedComment ref="B24" dT="2026-09-27T18:01:38.654" personId="{4F7CA91B-9520-4101-B91E-C54C24E668FA}" id="{0EB63A3C-15B4-AF8B-F613-403E6A609EB2}">
    <xltc:text>P1: Attenlo_PDF_Monetization_and_Growth_Plan_2026-09-27.md
Usage assumption, not 300-job allowance.
Model date: 2026-09-27.</xltc:text>
  </xltc:threadedComment>
  <xltc:threadedComment ref="B25" dT="2026-09-27T18:01:38.659" personId="{4F7CA91B-9520-4101-B91E-C54C24E668FA}" id="{489090E9-1BC3-E4BE-2804-6C318EE17CF1}">
    <xltc:text>P1: Attenlo_PDF_Monetization_and_Growth_Plan_2026-09-27.md
Conservative use of full allowance.
Model date: 2026-09-27.</xltc:text>
  </xltc:threadedComment>
  <xltc:threadedComment ref="B26" dT="2026-09-27T18:01:38.661" personId="{4F7CA91B-9520-4101-B91E-C54C24E668FA}" id="{0A89D0C7-6B88-CCC1-1CAD-04C303614868}">
    <xltc:text>P1: Attenlo_PDF_Monetization_and_Growth_Plan_2026-09-27.md
Free MAU proxy, not download conversion; independent sensitivity.
Model date: 2026-09-27.</xltc:text>
  </xltc:threadedComment>
  <xltc:threadedComment ref="B27" dT="2026-09-27T18:01:38.663" personId="{4F7CA91B-9520-4101-B91E-C54C24E668FA}" id="{6C5DC5B1-E4AC-59D7-626F-FFDDC7918419}">
    <xltc:text>A1: Not observed / not an approved budget
Free usage does not disappear if paid conversion fails.
Model date: 2026-09-27.</xltc:text>
  </xltc:threadedComment>
  <xltc:threadedComment ref="B28" dT="2026-09-27T18:01:38.666" personId="{4F7CA91B-9520-4101-B91E-C54C24E668FA}" id="{3BC56D4F-A64F-3F7C-D466-58F78C2F2E87}">
    <xltc:text>P1: Attenlo_PDF_Monetization_and_Growth_Plan_2026-09-27.md
Cash allowance; founder labor not priced here.
Model date: 2026-09-27.</xltc:text>
  </xltc:threadedComment>
  <xltc:threadedComment ref="B29" dT="2026-09-27T18:01:38.668" personId="{4F7CA91B-9520-4101-B91E-C54C24E668FA}" id="{BEBB860A-07B5-8C42-5D41-5876C2B0F2CB}">
    <xltc:text>P1: Attenlo_PDF_Monetization_and_Growth_Plan_2026-09-27.md
Illustrative opening funds, not approved spending.
Model date: 2026-09-27.</xltc:text>
  </xltc:threadedComment>
  <xltc:threadedComment ref="B30" dT="2026-09-27T18:01:38.671" personId="{4F7CA91B-9520-4101-B91E-C54C24E668FA}" id="{471D956F-D5B7-0110-880B-A9955F6B6323}">
    <xltc:text>P1: Attenlo_PDF_Monetization_and_Growth_Plan_2026-09-27.md
Expensed in M1; prelaunch development and devices excluded.
Model date: 2026-09-27.</xltc:text>
  </xltc:threadedComment>
  <xltc:threadedComment ref="B31" dT="2026-09-27T18:01:38.674" personId="{4F7CA91B-9520-4101-B91E-C54C24E668FA}" id="{F7FD0ADB-1C06-E413-0B91-80F2FBB1FB1D}">
    <xltc:text>A1: Not observed / not an approved budget
Weighted settlement assumption. Not a provider payout promise.
Model date: 2026-09-27.</xltc:text>
  </xltc:threadedComment>
  <xltc:threadedComment ref="B32" dT="2026-09-27T18:01:38.676" personId="{4F7CA91B-9520-4101-B91E-C54C24E668FA}" id="{D991345F-4FB0-322E-103D-5FC7C19F27E0}">
    <xltc:text>User: User
Solo model with zero payroll; change to actual cash pay.
Model date: 2026-09-27.</xltc:text>
  </xltc:threadedComment>
  <xltc:threadedComment ref="B33" dT="2026-09-27T18:01:38.678" personId="{4F7CA91B-9520-4101-B91E-C54C24E668FA}" id="{12E8CF1F-61FF-6EB4-F1FC-77A55F060703}">
    <xltc:text>A1: Not observed / not an approved budget
Economic sensitivity only, not an extra cash expense.
Model date: 2026-09-27.</xltc:text>
  </xltc:threadedComment>
  <xltc:threadedComment ref="B34" dT="2026-09-27T18:01:38.681" personId="{4F7CA91B-9520-4101-B91E-C54C24E668FA}" id="{72DB373F-B137-AC02-9A47-6C9F08186DFB}">
    <xltc:text>A1: Not observed / not an approved budget
Model reserves current overhead, marketing and free-AI cost.
Model date: 2026-09-27.</xltc:text>
  </xltc:threadedComment>
  <xltc:threadedComment ref="B35" dT="2026-09-27T18:01:38.683" personId="{4F7CA91B-9520-4101-B91E-C54C24E668FA}" id="{167EFA6A-32B7-2974-47A0-4983A0207C4C}">
    <xltc:text>A1: Not observed / not an approved budget
Not a technical limit.
Model date: 2026-09-27.</xltc:text>
  </xltc:threadedComment>
  <xltc:threadedComment ref="B36" dT="2026-09-27T18:01:38.685" personId="{4F7CA91B-9520-4101-B91E-C54C24E668FA}" id="{D12A0A6E-3602-F9EB-1E74-1325A50EF875}">
    <xltc:text>A1: Not observed / not an approved budget
Not a technical limit.
Model date: 2026-09-27.</xltc:text>
  </xltc:threadedComment>
  <xltc:threadedComment ref="B37" dT="2026-09-27T18:01:38.69" personId="{4F7CA91B-9520-4101-B91E-C54C24E668FA}" id="{CE381497-4769-CCC7-9454-F09F93E5E556}">
    <xltc:text>A1: Not observed / not an approved budget
Not a technical limit.
Model date: 2026-09-27.</xltc:text>
  </xltc:threadedComment>
  <xltc:threadedComment ref="B38" dT="2026-09-27T18:01:38.692" personId="{4F7CA91B-9520-4101-B91E-C54C24E668FA}" id="{446DB164-17A8-24F1-A31F-25103687BAF5}">
    <xltc:text>A1: Not observed / not an approved budget
Not a technical limit.
Model date: 2026-09-27.</xltc:text>
  </xltc:threadedComment>
  <xltc:threadedComment ref="B39" dT="2026-09-27T18:01:38.695" personId="{4F7CA91B-9520-4101-B91E-C54C24E668FA}" id="{05B6732E-8E8A-3687-BFDF-8DA49D03004B}">
    <xltc:text>A1: Not observed / not an approved budget
Technical/device/security contractors; not employees.
Model date: 2026-09-27.</xltc:text>
  </xltc:threadedComment>
  <xltc:threadedComment ref="B40" dT="2026-09-27T18:01:38.698" personId="{4F7CA91B-9520-4101-B91E-C54C24E668FA}" id="{FCDF5369-E78D-1FD5-D4A5-1DF1A83608D7}">
    <xltc:text>A1: Not observed / not an approved budget
Only highest applicable tier is used; not cumulative.
Model date: 2026-09-27.</xltc:text>
  </xltc:threadedComment>
  <xltc:threadedComment ref="B41" dT="2026-09-27T18:01:38.701" personId="{4F7CA91B-9520-4101-B91E-C54C24E668FA}" id="{39D6D807-E8B9-B9C5-6095-8902E569C5C9}">
    <xltc:text>A1: Not observed / not an approved budget
Quality/maintenance reserve at scale.
Model date: 2026-09-27.</xltc:text>
  </xltc:threadedComment>
  <xltc:threadedComment ref="B42" dT="2026-09-27T18:01:38.705" personId="{4F7CA91B-9520-4101-B91E-C54C24E668FA}" id="{81B9A627-192F-5F0C-DCD6-27CDEC99A5AB}">
    <xltc:text>A1: Not observed / not an approved budget
May be insufficient for unusually high support load.
Model date: 2026-09-27.</xltc:text>
  </xltc:threadedComment>
  <xltc:threadedComment ref="B43" dT="2026-09-27T18:01:38.709" personId="{4F7CA91B-9520-4101-B91E-C54C24E668FA}" id="{FCBC1464-88ED-1688-04DC-BB88E445C647}">
    <xltc:text>P1: Attenlo_PDF_Monetization_and_Growth_Plan_2026-09-27.md
Used ONLY in Unit Targets; growth sheets derive CAC from traffic/spend.
Model date: 2026-09-27.</xltc:text>
  </xltc:threadedComment>
  <xltc:threadedComment ref="B44" dT="2026-09-27T18:01:38.711" personId="{4F7CA91B-9520-4101-B91E-C54C24E668FA}" id="{B3B7DE57-07CE-1927-3859-4396E2662066}">
    <xltc:text>P1: Attenlo_PDF_Monetization_and_Growth_Plan_2026-09-27.md
Conservative flat renewal in Unit Targets only.
Model date: 2026-09-27.</xltc:text>
  </xltc:threadedComment>
  <xltc:threadedComment ref="B45" dT="2026-09-27T18:01:38.714" personId="{4F7CA91B-9520-4101-B91E-C54C24E668FA}" id="{058417C8-73DE-7648-D305-EDAED45B6969}">
    <xltc:text>Constant: Constant
Presentation conversion.
Model date: 2026-09-27.</xltc:text>
  </xltc:threadedComment>
  <xltc:threadedComment ref="B46" dT="2026-09-27T18:01:38.717" personId="{4F7CA91B-9520-4101-B91E-C54C24E668FA}" id="{DCAC5598-3E11-0095-E216-D47747EC7D90}">
    <xltc:text>Constant: Constant
Calendar constant.
Model date: 2026-09-27.</xltc:text>
  </xltc:threadedComment>
  <xltc:threadedComment ref="B47" dT="2026-09-27T18:01:38.721" personId="{4F7CA91B-9520-4101-B91E-C54C24E668FA}" id="{95822E82-AB65-AEC4-ADDF-39AB731D77BB}">
    <xltc:text>Constant: Constant
Rate denominator.
Model date: 2026-09-27.</xltc:text>
  </xltc:threadedComment>
</xltc:ThreadedComments>
</file>

<file path=xl/threadedcomments/threadedcomment2.xml><?xml version="1.0" encoding="utf-8"?>
<xltc:ThreadedComments xmlns:xltc="http://schemas.microsoft.com/office/spreadsheetml/2018/threadedcomments">
  <xltc:threadedComment ref="B5" dT="2026-09-27T18:01:38.724" personId="{4F7CA91B-9520-4101-B91E-C54C24E668FA}" id="{F8B98C56-1E2C-07A2-60D2-971A03A3D151}">
    <xltc:text>Analyst scenario assumption, not observed or approved spending.
Unique new-prospect equivalents, not raw sessions or free MAU.</xltc:text>
  </xltc:threadedComment>
  <xltc:threadedComment ref="C5" dT="2026-09-27T18:01:38.726" personId="{4F7CA91B-9520-4101-B91E-C54C24E668FA}" id="{39A167FF-A582-7BC5-2125-B5229B752CE0}">
    <xltc:text>Analyst scenario assumption, not observed or approved spending.
Unique new-prospect equivalents, not raw sessions or free MAU.</xltc:text>
  </xltc:threadedComment>
  <xltc:threadedComment ref="D5" dT="2026-09-27T18:01:38.729" personId="{4F7CA91B-9520-4101-B91E-C54C24E668FA}" id="{290863F8-A149-E055-AD0D-C323AED1FDCC}">
    <xltc:text>Analyst scenario assumption, not observed or approved spending.
Unique new-prospect equivalents, not raw sessions or free MAU.</xltc:text>
  </xltc:threadedComment>
  <xltc:threadedComment ref="B6" dT="2026-09-27T18:01:38.731" personId="{4F7CA91B-9520-4101-B91E-C54C24E668FA}" id="{D16E3A29-094D-ECEB-59A7-858C8048E78D}">
    <xltc:text>Analyst scenario assumption, not observed or approved spending.
Unproven assumption; no guaranteed compounding.</xltc:text>
  </xltc:threadedComment>
  <xltc:threadedComment ref="C6" dT="2026-09-27T18:01:38.734" personId="{4F7CA91B-9520-4101-B91E-C54C24E668FA}" id="{EA52EF7A-8315-43FF-1EB1-05E65A5CBEE7}">
    <xltc:text>Analyst scenario assumption, not observed or approved spending.
Unproven assumption; no guaranteed compounding.</xltc:text>
  </xltc:threadedComment>
  <xltc:threadedComment ref="D6" dT="2026-09-27T18:01:38.738" personId="{4F7CA91B-9520-4101-B91E-C54C24E668FA}" id="{6B68CD8B-E037-98D8-DD2C-DF518CC99BA9}">
    <xltc:text>Analyst scenario assumption, not observed or approved spending.
Unproven assumption; no guaranteed compounding.</xltc:text>
  </xltc:threadedComment>
  <xltc:threadedComment ref="B7" dT="2026-09-27T18:01:38.741" personId="{4F7CA91B-9520-4101-B91E-C54C24E668FA}" id="{8D5BB539-FEB7-684D-F5B4-6220596866F1}">
    <xltc:text>Analyst scenario assumption, not observed or approved spending.
Not a market benchmark.</xltc:text>
  </xltc:threadedComment>
  <xltc:threadedComment ref="C7" dT="2026-09-27T18:01:38.744" personId="{4F7CA91B-9520-4101-B91E-C54C24E668FA}" id="{3C6554AD-F45A-BE0B-3C9E-01F586F77B0E}">
    <xltc:text>Analyst scenario assumption, not observed or approved spending.
Not a market benchmark.</xltc:text>
  </xltc:threadedComment>
  <xltc:threadedComment ref="D7" dT="2026-09-27T18:01:38.747" personId="{4F7CA91B-9520-4101-B91E-C54C24E668FA}" id="{5F67177B-179A-02DD-02B1-CBDDE5C7CEE5}">
    <xltc:text>Analyst scenario assumption, not observed or approved spending.
Not a market benchmark.</xltc:text>
  </xltc:threadedComment>
  <xltc:threadedComment ref="B8" dT="2026-09-27T18:01:38.749" personId="{4F7CA91B-9520-4101-B91E-C54C24E668FA}" id="{12952F90-EAB5-90FE-8317-E2E1B7F4706B}">
    <xltc:text>Analyst scenario assumption, not observed or approved spending.
No automatic traffic from launching more platforms.</xltc:text>
  </xltc:threadedComment>
  <xltc:threadedComment ref="C8" dT="2026-09-27T18:01:38.753" personId="{4F7CA91B-9520-4101-B91E-C54C24E668FA}" id="{551EF7E8-DC09-AC6B-E53D-8F1D03FF8721}">
    <xltc:text>Analyst scenario assumption, not observed or approved spending.
No automatic traffic from launching more platforms.</xltc:text>
  </xltc:threadedComment>
  <xltc:threadedComment ref="D8" dT="2026-09-27T18:01:38.756" personId="{4F7CA91B-9520-4101-B91E-C54C24E668FA}" id="{F0CC8D98-685D-61F3-B55E-361B95859079}">
    <xltc:text>Analyst scenario assumption, not observed or approved spending.
No automatic traffic from launching more platforms.</xltc:text>
  </xltc:threadedComment>
  <xltc:threadedComment ref="B9" dT="2026-09-27T18:01:38.758" personId="{4F7CA91B-9520-4101-B91E-C54C24E668FA}" id="{47534136-CB6C-191C-1992-0CADA12A4208}">
    <xltc:text>Analyst scenario assumption, not observed or approved spending.
Gross first purchasers; refunds reduce retained payers.</xltc:text>
  </xltc:threadedComment>
  <xltc:threadedComment ref="C9" dT="2026-09-27T18:01:38.761" personId="{4F7CA91B-9520-4101-B91E-C54C24E668FA}" id="{B54012D5-B118-2A04-E0E7-5BACC25471E2}">
    <xltc:text>Analyst scenario assumption, not observed or approved spending.
Gross first purchasers; refunds reduce retained payers.</xltc:text>
  </xltc:threadedComment>
  <xltc:threadedComment ref="D9" dT="2026-09-27T18:01:38.763" personId="{4F7CA91B-9520-4101-B91E-C54C24E668FA}" id="{F9D8273C-AA66-407A-131D-26968A57D724}">
    <xltc:text>Analyst scenario assumption, not observed or approved spending.
Gross first purchasers; refunds reduce retained payers.</xltc:text>
  </xltc:threadedComment>
  <xltc:threadedComment ref="B10" dT="2026-09-27T18:01:38.765" personId="{4F7CA91B-9520-4101-B91E-C54C24E668FA}" id="{BB29D084-4F6C-E314-426C-71DDBF58E181}">
    <xltc:text>Analyst scenario assumption, not observed or approved spending.
Illustrative only; includes neither creative nor content.</xltc:text>
  </xltc:threadedComment>
  <xltc:threadedComment ref="C10" dT="2026-09-27T18:01:38.769" personId="{4F7CA91B-9520-4101-B91E-C54C24E668FA}" id="{439BC2CB-8A21-3E99-0084-DD6212770BC7}">
    <xltc:text>Analyst scenario assumption, not observed or approved spending.
Illustrative only; includes neither creative nor content.</xltc:text>
  </xltc:threadedComment>
  <xltc:threadedComment ref="D10" dT="2026-09-27T18:01:38.776" personId="{4F7CA91B-9520-4101-B91E-C54C24E668FA}" id="{A691AB4D-4303-4685-8EF7-8E507968903F}">
    <xltc:text>Analyst scenario assumption, not observed or approved spending.
Illustrative only; includes neither creative nor content.</xltc:text>
  </xltc:threadedComment>
  <xltc:threadedComment ref="B11" dT="2026-09-27T18:01:38.792" personId="{4F7CA91B-9520-4101-B91E-C54C24E668FA}" id="{F0571A2C-B08A-3682-FF3E-B9658D7AAB3F}">
    <xltc:text>Analyst scenario assumption, not observed or approved spending.
CPC is 10% higher in Y2 and 21% higher in Y3.</xltc:text>
  </xltc:threadedComment>
  <xltc:threadedComment ref="C11" dT="2026-09-27T18:01:38.796" personId="{4F7CA91B-9520-4101-B91E-C54C24E668FA}" id="{12D2CF1E-5C61-E9AD-DB94-3F19E7112DE8}">
    <xltc:text>Analyst scenario assumption, not observed or approved spending.
CPC is 10% higher in Y2 and 21% higher in Y3.</xltc:text>
  </xltc:threadedComment>
  <xltc:threadedComment ref="D11" dT="2026-09-27T18:01:38.8" personId="{4F7CA91B-9520-4101-B91E-C54C24E668FA}" id="{3B1E7A94-4E55-E671-36FD-7888EC86484D}">
    <xltc:text>Analyst scenario assumption, not observed or approved spending.
CPC is 10% higher in Y2 and 21% higher in Y3.</xltc:text>
  </xltc:threadedComment>
  <xltc:threadedComment ref="B12" dT="2026-09-27T18:01:38.803" personId="{4F7CA91B-9520-4101-B91E-C54C24E668FA}" id="{464578D3-DF23-8AA2-A1DE-27957C83E052}">
    <xltc:text>Analyst scenario assumption, not observed or approved spending.
Track paid CAC separately from organic/blended.</xltc:text>
  </xltc:threadedComment>
  <xltc:threadedComment ref="C12" dT="2026-09-27T18:01:38.808" personId="{4F7CA91B-9520-4101-B91E-C54C24E668FA}" id="{63625C41-B935-ACC6-63D6-06EDACCD30E6}">
    <xltc:text>Analyst scenario assumption, not observed or approved spending.
Track paid CAC separately from organic/blended.</xltc:text>
  </xltc:threadedComment>
  <xltc:threadedComment ref="D12" dT="2026-09-27T18:01:38.811" personId="{4F7CA91B-9520-4101-B91E-C54C24E668FA}" id="{9FF52DFF-E840-77F0-9070-5D370F632DD5}">
    <xltc:text>Analyst scenario assumption, not observed or approved spending.
Track paid CAC separately from organic/blended.</xltc:text>
  </xltc:threadedComment>
  <xltc:threadedComment ref="B13" dT="2026-09-27T18:01:38.814" personId="{4F7CA91B-9520-4101-B91E-C54C24E668FA}" id="{CA78B4A1-4A1F-C484-A2FB-928AC989E37A}">
    <xltc:text>Analyst scenario assumption, not observed or approved spending.
Media plus this allowance forms loaded paid-channel CAC.</xltc:text>
  </xltc:threadedComment>
  <xltc:threadedComment ref="C13" dT="2026-09-27T18:01:38.816" personId="{4F7CA91B-9520-4101-B91E-C54C24E668FA}" id="{7540BC8F-09C1-A3A2-DEF4-3F37EA05BC16}">
    <xltc:text>Analyst scenario assumption, not observed or approved spending.
Media plus this allowance forms loaded paid-channel CAC.</xltc:text>
  </xltc:threadedComment>
  <xltc:threadedComment ref="D13" dT="2026-09-27T18:01:38.82" personId="{4F7CA91B-9520-4101-B91E-C54C24E668FA}" id="{341DD8DA-BB9B-0D38-05AB-C78E916A5C21}">
    <xltc:text>Analyst scenario assumption, not observed or approved spending.
Media plus this allowance forms loaded paid-channel CAC.</xltc:text>
  </xltc:threadedComment>
  <xltc:threadedComment ref="B14" dT="2026-09-27T18:01:38.824" personId="{4F7CA91B-9520-4101-B91E-C54C24E668FA}" id="{835E8B20-40FD-8497-D641-CD4EF782B382}">
    <xltc:text>Analyst scenario assumption, not observed or approved spending.
Unapproved schedule; spending requires conversion evidence.</xltc:text>
  </xltc:threadedComment>
  <xltc:threadedComment ref="C14" dT="2026-09-27T18:01:38.829" personId="{4F7CA91B-9520-4101-B91E-C54C24E668FA}" id="{DF4DB74F-C438-2C07-D72C-ACA616292266}">
    <xltc:text>Analyst scenario assumption, not observed or approved spending.
Unapproved schedule; spending requires conversion evidence.</xltc:text>
  </xltc:threadedComment>
  <xltc:threadedComment ref="D14" dT="2026-09-27T18:01:38.831" personId="{4F7CA91B-9520-4101-B91E-C54C24E668FA}" id="{E8BA3820-1A5F-B3EC-CCA3-A8DBDB2B1B2E}">
    <xltc:text>Analyst scenario assumption, not observed or approved spending.
Unapproved schedule; spending requires conversion evidence.</xltc:text>
  </xltc:threadedComment>
  <xltc:threadedComment ref="B15" dT="2026-09-27T18:01:38.834" personId="{4F7CA91B-9520-4101-B91E-C54C24E668FA}" id="{E4C71948-4B1A-848F-7DBE-CBE5D37D8E19}">
    <xltc:text>Analyst scenario assumption, not observed or approved spending.
Downside runs a second test, then stops paid spend.</xltc:text>
  </xltc:threadedComment>
  <xltc:threadedComment ref="C15" dT="2026-09-27T18:01:38.839" personId="{4F7CA91B-9520-4101-B91E-C54C24E668FA}" id="{FEF36C05-97D7-6E6E-5F4C-F1F1424FE707}">
    <xltc:text>Analyst scenario assumption, not observed or approved spending.
Downside runs a second test, then stops paid spend.</xltc:text>
  </xltc:threadedComment>
  <xltc:threadedComment ref="D15" dT="2026-09-27T18:01:38.842" personId="{4F7CA91B-9520-4101-B91E-C54C24E668FA}" id="{AAA58457-7949-B0B3-96B6-EE9B414E0C7E}">
    <xltc:text>Analyst scenario assumption, not observed or approved spending.
Downside runs a second test, then stops paid spend.</xltc:text>
  </xltc:threadedComment>
  <xltc:threadedComment ref="B16" dT="2026-09-27T18:01:38.845" personId="{4F7CA91B-9520-4101-B91E-C54C24E668FA}" id="{ECD2F54B-799A-EC86-3FFB-265E69A67779}">
    <xltc:text>Analyst scenario assumption, not observed or approved spending.
Gate on repeat use, purchase and observed CAC.</xltc:text>
  </xltc:threadedComment>
  <xltc:threadedComment ref="C16" dT="2026-09-27T18:01:38.848" personId="{4F7CA91B-9520-4101-B91E-C54C24E668FA}" id="{8A5134BC-8686-DDB1-BA0B-1A52C4EA4F84}">
    <xltc:text>Analyst scenario assumption, not observed or approved spending.
Gate on repeat use, purchase and observed CAC.</xltc:text>
  </xltc:threadedComment>
  <xltc:threadedComment ref="D16" dT="2026-09-27T18:01:38.851" personId="{4F7CA91B-9520-4101-B91E-C54C24E668FA}" id="{1B4227AB-F0D0-6FB9-953C-7CD694E3CA99}">
    <xltc:text>Analyst scenario assumption, not observed or approved spending.
Gate on repeat use, purchase and observed CAC.</xltc:text>
  </xltc:threadedComment>
  <xltc:threadedComment ref="B17" dT="2026-09-27T18:01:38.856" personId="{4F7CA91B-9520-4101-B91E-C54C24E668FA}" id="{51344CD0-57B1-31D3-C809-3AAB1C0B4C0B}">
    <xltc:text>Analyst scenario assumption, not observed or approved spending.
No automatic spend authority.</xltc:text>
  </xltc:threadedComment>
  <xltc:threadedComment ref="C17" dT="2026-09-27T18:01:38.859" personId="{4F7CA91B-9520-4101-B91E-C54C24E668FA}" id="{DC666CAB-96D8-D332-0D1B-8E362E39BE20}">
    <xltc:text>Analyst scenario assumption, not observed or approved spending.
No automatic spend authority.</xltc:text>
  </xltc:threadedComment>
  <xltc:threadedComment ref="D17" dT="2026-09-27T18:01:38.862" personId="{4F7CA91B-9520-4101-B91E-C54C24E668FA}" id="{A0D2903B-421D-EAC2-18E2-976E3961818D}">
    <xltc:text>Analyst scenario assumption, not observed or approved spending.
No automatic spend authority.</xltc:text>
  </xltc:threadedComment>
  <xltc:threadedComment ref="B18" dT="2026-09-27T18:01:38.865" personId="{4F7CA91B-9520-4101-B91E-C54C24E668FA}" id="{86977134-4EDE-D8A0-FC55-7FF5CEA51821}">
    <xltc:text>Analyst scenario assumption, not observed or approved spending.
No automatic spend authority.</xltc:text>
  </xltc:threadedComment>
  <xltc:threadedComment ref="C18" dT="2026-09-27T18:01:38.868" personId="{4F7CA91B-9520-4101-B91E-C54C24E668FA}" id="{1A0DB8DD-BF7C-19BF-CF36-CF902771D44D}">
    <xltc:text>Analyst scenario assumption, not observed or approved spending.
No automatic spend authority.</xltc:text>
  </xltc:threadedComment>
  <xltc:threadedComment ref="D18" dT="2026-09-27T18:01:38.872" personId="{4F7CA91B-9520-4101-B91E-C54C24E668FA}" id="{50111E38-D01B-68AD-A984-DA1C311AAECE}">
    <xltc:text>Analyst scenario assumption, not observed or approved spending.
No automatic spend authority.</xltc:text>
  </xltc:threadedComment>
  <xltc:threadedComment ref="B19" dT="2026-09-27T18:01:38.875" personId="{4F7CA91B-9520-4101-B91E-C54C24E668FA}" id="{E318DE97-C109-6F95-6185-037260D96071}">
    <xltc:text>Analyst scenario assumption, not observed or approved spending.
No automatic spend authority.</xltc:text>
  </xltc:threadedComment>
  <xltc:threadedComment ref="C19" dT="2026-09-27T18:01:38.878" personId="{4F7CA91B-9520-4101-B91E-C54C24E668FA}" id="{C20DEB80-A364-05CB-6924-B1656102F63B}">
    <xltc:text>Analyst scenario assumption, not observed or approved spending.
No automatic spend authority.</xltc:text>
  </xltc:threadedComment>
  <xltc:threadedComment ref="D19" dT="2026-09-27T18:01:38.881" personId="{4F7CA91B-9520-4101-B91E-C54C24E668FA}" id="{7E55031E-76A9-DA29-60BB-C6D6A9B2F553}">
    <xltc:text>Analyst scenario assumption, not observed or approved spending.
No automatic spend authority.</xltc:text>
  </xltc:threadedComment>
  <xltc:threadedComment ref="B20" dT="2026-09-27T18:01:38.884" personId="{4F7CA91B-9520-4101-B91E-C54C24E668FA}" id="{F647E7E9-3E45-D661-7EDD-0D8EE15CEE25}">
    <xltc:text>Analyst scenario assumption, not observed or approved spending.
No automatic spend authority.</xltc:text>
  </xltc:threadedComment>
  <xltc:threadedComment ref="C20" dT="2026-09-27T18:01:38.889" personId="{4F7CA91B-9520-4101-B91E-C54C24E668FA}" id="{0167EB3C-8769-0ACB-D492-08F333380BED}">
    <xltc:text>Analyst scenario assumption, not observed or approved spending.
No automatic spend authority.</xltc:text>
  </xltc:threadedComment>
  <xltc:threadedComment ref="D20" dT="2026-09-27T18:01:38.892" personId="{4F7CA91B-9520-4101-B91E-C54C24E668FA}" id="{86C26951-4272-AC77-5EFD-41FAD850BC7A}">
    <xltc:text>Analyst scenario assumption, not observed or approved spending.
No automatic spend authority.</xltc:text>
  </xltc:threadedComment>
  <xltc:threadedComment ref="B21" dT="2026-09-27T18:01:38.895" personId="{4F7CA91B-9520-4101-B91E-C54C24E668FA}" id="{F3C502F5-75B1-EB24-27B0-90C256592EAB}">
    <xltc:text>Analyst scenario assumption, not observed or approved spending.
Additional to paid creative; founder time excluded.</xltc:text>
  </xltc:threadedComment>
  <xltc:threadedComment ref="C21" dT="2026-09-27T18:01:38.899" personId="{4F7CA91B-9520-4101-B91E-C54C24E668FA}" id="{5D251D03-52E7-93E1-F57E-F1E7D51C65A6}">
    <xltc:text>Analyst scenario assumption, not observed or approved spending.
Additional to paid creative; founder time excluded.</xltc:text>
  </xltc:threadedComment>
  <xltc:threadedComment ref="D21" dT="2026-09-27T18:01:38.901" personId="{4F7CA91B-9520-4101-B91E-C54C24E668FA}" id="{D8218047-60E5-66A1-7FF1-7C19DEDF51F7}">
    <xltc:text>Analyst scenario assumption, not observed or approved spending.
Additional to paid creative; founder time excluded.</xltc:text>
  </xltc:threadedComment>
  <xltc:threadedComment ref="B22" dT="2026-09-27T18:01:38.905" personId="{4F7CA91B-9520-4101-B91E-C54C24E668FA}" id="{AB656A07-B78B-F381-4198-5D5D5FBAB169}">
    <xltc:text>Analyst scenario assumption, not observed or approved spending.
All included in blended cash CAC.</xltc:text>
  </xltc:threadedComment>
  <xltc:threadedComment ref="C22" dT="2026-09-27T18:01:38.927" personId="{4F7CA91B-9520-4101-B91E-C54C24E668FA}" id="{2A89F08D-AE5C-6C6F-CB94-EC75239096CB}">
    <xltc:text>Analyst scenario assumption, not observed or approved spending.
All included in blended cash CAC.</xltc:text>
  </xltc:threadedComment>
  <xltc:threadedComment ref="D22" dT="2026-09-27T18:01:38.932" personId="{4F7CA91B-9520-4101-B91E-C54C24E668FA}" id="{73C86B10-2452-2AE4-1DCD-943D256D675A}">
    <xltc:text>Analyst scenario assumption, not observed or approved spending.
All included in blended cash CAC.</xltc:text>
  </xltc:threadedComment>
  <xltc:threadedComment ref="B23" dT="2026-09-27T18:01:38.938" personId="{4F7CA91B-9520-4101-B91E-C54C24E668FA}" id="{095BEC5F-00B5-73E9-4CDA-A6B0FBE172EC}">
    <xltc:text>Analyst scenario assumption, not observed or approved spending.
Does not guarantee organic traffic.</xltc:text>
  </xltc:threadedComment>
  <xltc:threadedComment ref="C23" dT="2026-09-27T18:01:38.941" personId="{4F7CA91B-9520-4101-B91E-C54C24E668FA}" id="{E561E92F-6CFE-0923-1A6C-742A270D28F5}">
    <xltc:text>Analyst scenario assumption, not observed or approved spending.
Does not guarantee organic traffic.</xltc:text>
  </xltc:threadedComment>
  <xltc:threadedComment ref="D23" dT="2026-09-27T18:01:38.945" personId="{4F7CA91B-9520-4101-B91E-C54C24E668FA}" id="{9707E7C3-6BED-CE41-722B-0DE93E15B8E0}">
    <xltc:text>Analyst scenario assumption, not observed or approved spending.
Does not guarantee organic traffic.</xltc:text>
  </xltc:threadedComment>
  <xltc:threadedComment ref="B24" dT="2026-09-27T18:01:38.948" personId="{4F7CA91B-9520-4101-B91E-C54C24E668FA}" id="{52D083FD-A839-EE8E-FBDB-003572C7A7C2}">
    <xltc:text>Analyst scenario assumption, not observed or approved spending.
Hosting, admin, email, monitoring, domains and allocated tools.</xltc:text>
  </xltc:threadedComment>
  <xltc:threadedComment ref="C24" dT="2026-09-27T18:01:38.955" personId="{4F7CA91B-9520-4101-B91E-C54C24E668FA}" id="{0A2BAF7D-95E7-9CB8-423E-3858F0612641}">
    <xltc:text>Analyst scenario assumption, not observed or approved spending.
Hosting, admin, email, monitoring, domains and allocated tools.</xltc:text>
  </xltc:threadedComment>
  <xltc:threadedComment ref="D24" dT="2026-09-27T18:01:38.959" personId="{4F7CA91B-9520-4101-B91E-C54C24E668FA}" id="{440960A4-A290-B578-BC09-26D21B79A4D5}">
    <xltc:text>Analyst scenario assumption, not observed or approved spending.
Hosting, admin, email, monitoring, domains and allocated tools.</xltc:text>
  </xltc:threadedComment>
  <xltc:threadedComment ref="B25" dT="2026-09-27T18:01:38.963" personId="{4F7CA91B-9520-4101-B91E-C54C24E668FA}" id="{95128F44-BE3A-68C1-45F8-782202A7D199}">
    <xltc:text>Analyst scenario assumption, not observed or approved spending.
Separate scale QA reserve is added.</xltc:text>
  </xltc:threadedComment>
  <xltc:threadedComment ref="C25" dT="2026-09-27T18:01:38.969" personId="{4F7CA91B-9520-4101-B91E-C54C24E668FA}" id="{5DE25CCE-AB57-0180-BE99-CB6EEB94290C}">
    <xltc:text>Analyst scenario assumption, not observed or approved spending.
Separate scale QA reserve is added.</xltc:text>
  </xltc:threadedComment>
  <xltc:threadedComment ref="D25" dT="2026-09-27T18:01:38.972" personId="{4F7CA91B-9520-4101-B91E-C54C24E668FA}" id="{78A05AC4-0999-AF94-5E30-75D5CD9C4FB4}">
    <xltc:text>Analyst scenario assumption, not observed or approved spending.
Separate scale QA reserve is added.</xltc:text>
  </xltc:threadedComment>
  <xltc:threadedComment ref="B26" dT="2026-09-27T18:01:38.977" personId="{4F7CA91B-9520-4101-B91E-C54C24E668FA}" id="{B9217A6F-1F4D-01CB-5EF7-837FDD65CA16}">
    <xltc:text>Analyst scenario assumption, not observed or approved spending.
No servers processing customer PDFs.</xltc:text>
  </xltc:threadedComment>
  <xltc:threadedComment ref="C26" dT="2026-09-27T18:01:38.981" personId="{4F7CA91B-9520-4101-B91E-C54C24E668FA}" id="{B59A57E0-C97F-6D8A-816D-4E3744F30E7F}">
    <xltc:text>Analyst scenario assumption, not observed or approved spending.
No servers processing customer PDFs.</xltc:text>
  </xltc:threadedComment>
  <xltc:threadedComment ref="D26" dT="2026-09-27T18:01:38.985" personId="{4F7CA91B-9520-4101-B91E-C54C24E668FA}" id="{0DB55AC8-5CA6-6284-E9E3-A9BD3A8FB4FB}">
    <xltc:text>Analyst scenario assumption, not observed or approved spending.
No servers processing customer PDFs.</xltc:text>
  </xltc:threadedComment>
  <xltc:threadedComment ref="B27" dT="2026-09-27T18:01:38.988" personId="{4F7CA91B-9520-4101-B91E-C54C24E668FA}" id="{AFD6712F-2323-E052-218A-08B71925D247}">
    <xltc:text>Analyst scenario assumption, not observed or approved spending.
Not the share of active subscribers after churn.</xltc:text>
  </xltc:threadedComment>
  <xltc:threadedComment ref="C27" dT="2026-09-27T18:01:38.991" personId="{4F7CA91B-9520-4101-B91E-C54C24E668FA}" id="{17B6E777-D979-2D62-F99D-309791E67C4B}">
    <xltc:text>Analyst scenario assumption, not observed or approved spending.
Not the share of active subscribers after churn.</xltc:text>
  </xltc:threadedComment>
  <xltc:threadedComment ref="D27" dT="2026-09-27T18:01:38.993" personId="{4F7CA91B-9520-4101-B91E-C54C24E668FA}" id="{67BF6612-B55D-A64D-0BCC-411E4D26954C}">
    <xltc:text>Analyst scenario assumption, not observed or approved spending.
Not the share of active subscribers after churn.</xltc:text>
  </xltc:threadedComment>
  <xltc:threadedComment ref="B28" dT="2026-09-27T18:01:38.996" personId="{4F7CA91B-9520-4101-B91E-C54C24E668FA}" id="{2DD1AF54-6CE3-A547-8F59-EE532BDD7E9A}">
    <xltc:text>Analyst scenario assumption, not observed or approved spending.
Same mix by channel/plan. Price benefit requires obtaining international customers.</xltc:text>
  </xltc:threadedComment>
  <xltc:threadedComment ref="C28" dT="2026-09-27T18:01:39.001" personId="{4F7CA91B-9520-4101-B91E-C54C24E668FA}" id="{B85C830F-E04D-773F-4D9A-1F17D70C8E7F}">
    <xltc:text>Analyst scenario assumption, not observed or approved spending.
Same mix by channel/plan. Price benefit requires obtaining international customers.</xltc:text>
  </xltc:threadedComment>
  <xltc:threadedComment ref="D28" dT="2026-09-27T18:01:39.003" personId="{4F7CA91B-9520-4101-B91E-C54C24E668FA}" id="{CECD3787-D7A7-D283-49AF-3B3DF9368FA5}">
    <xltc:text>Analyst scenario assumption, not observed or approved spending.
Same mix by channel/plan. Price benefit requires obtaining international customers.</xltc:text>
  </xltc:threadedComment>
  <xltc:threadedComment ref="B29" dT="2026-09-27T18:01:39.007" personId="{4F7CA91B-9520-4101-B91E-C54C24E668FA}" id="{C51C7803-DE81-9E79-72FB-EA687CF6FC49}">
    <xltc:text>Analyst scenario assumption, not observed or approved spending.
Immediate same-month full refund model; fees not refunded.</xltc:text>
  </xltc:threadedComment>
  <xltc:threadedComment ref="C29" dT="2026-09-27T18:01:39.009" personId="{4F7CA91B-9520-4101-B91E-C54C24E668FA}" id="{A075D021-8F46-B8BE-EF93-CF7C10FB9AFF}">
    <xltc:text>Analyst scenario assumption, not observed or approved spending.
Immediate same-month full refund model; fees not refunded.</xltc:text>
  </xltc:threadedComment>
  <xltc:threadedComment ref="D29" dT="2026-09-27T18:01:39.012" personId="{4F7CA91B-9520-4101-B91E-C54C24E668FA}" id="{A6196F0D-47E2-9513-3639-C301F6D988A7}">
    <xltc:text>Analyst scenario assumption, not observed or approved spending.
Immediate same-month full refund model; fees not refunded.</xltc:text>
  </xltc:threadedComment>
  <xltc:threadedComment ref="B30" dT="2026-09-27T18:01:39.017" personId="{4F7CA91B-9520-4101-B91E-C54C24E668FA}" id="{D8F36141-5872-5DBD-BEBB-C5096AB4A2C2}">
    <xltc:text>Analyst scenario assumption, not observed or approved spending.
Before modeled refunds; net retention is slightly lower.</xltc:text>
  </xltc:threadedComment>
  <xltc:threadedComment ref="C30" dT="2026-09-27T18:01:39.02" personId="{4F7CA91B-9520-4101-B91E-C54C24E668FA}" id="{606B2C57-1DBE-97B5-BBDE-FC59AAFFF1B6}">
    <xltc:text>Analyst scenario assumption, not observed or approved spending.
Before modeled refunds; net retention is slightly lower.</xltc:text>
  </xltc:threadedComment>
  <xltc:threadedComment ref="D30" dT="2026-09-27T18:01:39.022" personId="{4F7CA91B-9520-4101-B91E-C54C24E668FA}" id="{80667B1C-DD9F-42FA-5DA1-4F3F525CD2A0}">
    <xltc:text>Analyst scenario assumption, not observed or approved spending.
Before modeled refunds; net retention is slightly lower.</xltc:text>
  </xltc:threadedComment>
  <xltc:threadedComment ref="B31" dT="2026-09-27T18:01:39.026" personId="{4F7CA91B-9520-4101-B91E-C54C24E668FA}" id="{5DF1C02A-5D72-0351-8458-B19723470008}">
    <xltc:text>Analyst scenario assumption, not observed or approved spending.
Before modeled refunds; survivors can retain better.</xltc:text>
  </xltc:threadedComment>
  <xltc:threadedComment ref="C31" dT="2026-09-27T18:01:39.029" personId="{4F7CA91B-9520-4101-B91E-C54C24E668FA}" id="{03698C7A-6757-2715-4405-C836A4087163}">
    <xltc:text>Analyst scenario assumption, not observed or approved spending.
Before modeled refunds; survivors can retain better.</xltc:text>
  </xltc:threadedComment>
  <xltc:threadedComment ref="D31" dT="2026-09-27T18:01:39.033" personId="{4F7CA91B-9520-4101-B91E-C54C24E668FA}" id="{4F2EF072-61BA-0BE0-5270-B8DDF542974C}">
    <xltc:text>Analyst scenario assumption, not observed or approved spending.
Before modeled refunds; survivors can retain better.</xltc:text>
  </xltc:threadedComment>
  <xltc:threadedComment ref="B32" dT="2026-09-27T18:01:39.037" personId="{4F7CA91B-9520-4101-B91E-C54C24E668FA}" id="{C4CDDADC-C7B0-1DC8-E277-7D6B962B6834}">
    <xltc:text>Analyst scenario assumption, not observed or approved spending.
Applies at age 1 month, then refunds.</xltc:text>
  </xltc:threadedComment>
  <xltc:threadedComment ref="C32" dT="2026-09-27T18:01:39.04" personId="{4F7CA91B-9520-4101-B91E-C54C24E668FA}" id="{60D1A80B-F9E1-4BAA-EB5B-9B5DFC039FFE}">
    <xltc:text>Analyst scenario assumption, not observed or approved spending.
Applies at age 1 month, then refunds.</xltc:text>
  </xltc:threadedComment>
  <xltc:threadedComment ref="D32" dT="2026-09-27T18:01:39.043" personId="{4F7CA91B-9520-4101-B91E-C54C24E668FA}" id="{DDF41BE0-7025-746B-90D9-422C7025ED34}">
    <xltc:text>Analyst scenario assumption, not observed or approved spending.
Applies at age 1 month, then refunds.</xltc:text>
  </xltc:threadedComment>
  <xltc:threadedComment ref="B33" dT="2026-09-27T18:01:39.046" personId="{4F7CA91B-9520-4101-B91E-C54C24E668FA}" id="{121306FE-F528-94B9-24AE-B48D55F9EB80}">
    <xltc:text>Analyst scenario assumption, not observed or approved spending.
Applies at age 2 months, then refunds.</xltc:text>
  </xltc:threadedComment>
  <xltc:threadedComment ref="C33" dT="2026-09-27T18:01:39.049" personId="{4F7CA91B-9520-4101-B91E-C54C24E668FA}" id="{176A7108-8BFD-751F-4F77-066169E373BA}">
    <xltc:text>Analyst scenario assumption, not observed or approved spending.
Applies at age 2 months, then refunds.</xltc:text>
  </xltc:threadedComment>
  <xltc:threadedComment ref="D33" dT="2026-09-27T18:01:39.052" personId="{4F7CA91B-9520-4101-B91E-C54C24E668FA}" id="{1C84D4A0-D91B-0FB0-9644-12B3D82A7E20}">
    <xltc:text>Analyst scenario assumption, not observed or approved spending.
Applies at age 2 months, then refunds.</xltc:text>
  </xltc:threadedComment>
  <xltc:threadedComment ref="B34" dT="2026-09-27T18:01:39.055" personId="{4F7CA91B-9520-4101-B91E-C54C24E668FA}" id="{09EB1070-1C1F-FA90-EE41-0F69F8EF7B19}">
    <xltc:text>Analyst scenario assumption, not observed or approved spending.
Applies from age 3 onward, then refunds.</xltc:text>
  </xltc:threadedComment>
  <xltc:threadedComment ref="C34" dT="2026-09-27T18:01:39.058" personId="{4F7CA91B-9520-4101-B91E-C54C24E668FA}" id="{8D3B5A7B-A573-66EC-992E-C69C882EC4B7}">
    <xltc:text>Analyst scenario assumption, not observed or approved spending.
Applies from age 3 onward, then refunds.</xltc:text>
  </xltc:threadedComment>
  <xltc:threadedComment ref="D34" dT="2026-09-27T18:01:39.061" personId="{4F7CA91B-9520-4101-B91E-C54C24E668FA}" id="{60374383-652C-F62B-9964-D8C28889776F}">
    <xltc:text>Analyst scenario assumption, not observed or approved spending.
Applies from age 3 onward, then refunds.</xltc:text>
  </xltc:threadedComment>
</xltc:ThreadedComments>
</file>

<file path=xl/threadedcomments/threadedcomment3.xml><?xml version="1.0" encoding="utf-8"?>
<xltc:ThreadedComments xmlns:xltc="http://schemas.microsoft.com/office/spreadsheetml/2018/threadedcomments">
  <xltc:threadedComment ref="C5" dT="2026-09-27T18:02:56.193" personId="{4F7CA91B-9520-4101-B91E-C54C24E668FA}" id="{DA3D56AF-8E46-5A36-B12D-7291AF00EF35}">
    <xltc:text>Analyst stress assumption, not observed. Organic growth stops after year 1; not all organic traffic disappears.</xltc:text>
  </xltc:threadedComment>
  <xltc:threadedComment ref="C6" dT="2026-09-27T18:02:56.2" personId="{4F7CA91B-9520-4101-B91E-C54C24E668FA}" id="{0DD5AC03-97FD-B593-E779-B1BB77E879C9}">
    <xltc:text>Analyst stress assumption, not observed. Same media budget, half as many paid first purchases; conversion unchanged.</xltc:text>
  </xltc:threadedComment>
  <xltc:threadedComment ref="C7" dT="2026-09-27T18:02:56.209" personId="{4F7CA91B-9520-4101-B91E-C54C24E668FA}" id="{72F5529C-03B2-D3DC-27BE-7C9AAD882AE8}">
    <xltc:text>Analyst stress assumption, not observed. 100% India prices, holding traffic and conversion constant.</xltc:text>
  </xltc:threadedComment>
  <xltc:threadedComment ref="C8" dT="2026-09-27T18:02:56.215" personId="{4F7CA91B-9520-4101-B91E-C54C24E668FA}" id="{61C51E21-359C-2C4B-7225-9329E9910A65}">
    <xltc:text>Analyst stress assumption, not observed. 15% first annual renewal before refunds.</xltc:text>
  </xltc:threadedComment>
  <xltc:threadedComment ref="C9" dT="2026-09-27T18:02:56.224" personId="{4F7CA91B-9520-4101-B91E-C54C24E668FA}" id="{BF7AF4D3-2474-447E-76B1-81A549F2A5B9}">
    <xltc:text>Analyst stress assumption, not observed. 100 active free users per paying subscriber.</xltc:text>
  </xltc:threadedComment>
  <xltc:threadedComment ref="C10" dT="2026-09-27T18:02:56.23" personId="{4F7CA91B-9520-4101-B91E-C54C24E668FA}" id="{64923F0D-445E-94EF-1D89-2FDB22BF3DCF}">
    <xltc:text>Analyst stress assumption, not observed. Only 40% choose annual; remaining 60% are monthly.</xltc:text>
  </xltc:threadedComment>
  <xltc:threadedComment ref="C11" dT="2026-09-27T18:02:56.236" personId="{4F7CA91B-9520-4101-B91E-C54C24E668FA}" id="{C0BCA9A0-FFD4-EEB0-A035-A99B2575BC6E}">
    <xltc:text>Analyst stress assumption, not observed. 30% on store sales; web fees unchanged.</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7e8fc82d8b044590" /></Relationships>
</file>

<file path=xl/worksheets/_rels/sheet3.xml.rels>&#65279;<?xml version="1.0" encoding="utf-8"?><Relationships xmlns="http://schemas.openxmlformats.org/package/2006/relationships"><Relationship Type="http://schemas.openxmlformats.org/officeDocument/2006/relationships/comments" Target="/xl/comments1.xml" Id="R10b2acbfa82747f3" /><Relationship Type="http://schemas.openxmlformats.org/officeDocument/2006/relationships/vmlDrawing" Target="/xl/drawings/vmldrawing.vml" Id="Re774ba3c9e6d4811" /><Relationship Type="http://schemas.microsoft.com/office/2017/10/relationships/threadedComment" Target="/xl/threadedcomments/threadedcomment.xml" Id="Rd7ab4ea422d44298" /></Relationships>
</file>

<file path=xl/worksheets/_rels/sheet4.xml.rels>&#65279;<?xml version="1.0" encoding="utf-8"?><Relationships xmlns="http://schemas.openxmlformats.org/package/2006/relationships"><Relationship Type="http://schemas.openxmlformats.org/officeDocument/2006/relationships/comments" Target="/xl/comments2.xml" Id="R4c757560b68441dc" /><Relationship Type="http://schemas.openxmlformats.org/officeDocument/2006/relationships/vmlDrawing" Target="/xl/drawings/vmldrawing2.vml" Id="R5660bf9e7d7f4fe6" /><Relationship Type="http://schemas.microsoft.com/office/2017/10/relationships/threadedComment" Target="/xl/threadedcomments/threadedcomment2.xml" Id="Rb6adbead7aa74b8c" /></Relationships>
</file>

<file path=xl/worksheets/_rels/sheet11.xml.rels>&#65279;<?xml version="1.0" encoding="utf-8"?><Relationships xmlns="http://schemas.openxmlformats.org/package/2006/relationships"><Relationship Type="http://schemas.openxmlformats.org/officeDocument/2006/relationships/comments" Target="/xl/comments3.xml" Id="Ra238a39730b44fdd" /><Relationship Type="http://schemas.openxmlformats.org/officeDocument/2006/relationships/vmlDrawing" Target="/xl/drawings/vmldrawing3.vml" Id="R361a298d89de45d8" /><Relationship Type="http://schemas.microsoft.com/office/2017/10/relationships/threadedComment" Target="/xl/threadedcomments/threadedcomment3.xml" Id="R58adcbfbb40f48d7" /></Relationships>
</file>

<file path=xl/worksheets/sheet1.xml><?xml version="1.0" encoding="utf-8"?>
<x:worksheet xmlns:x="http://schemas.openxmlformats.org/spreadsheetml/2006/main">
  <x:sheetViews>
    <x:sheetView showGridLines="0" workbookViewId="0"/>
  </x:sheetViews>
  <x:sheetFormatPr defaultRowHeight="15"/>
  <x:cols>
    <x:col min="2" max="2" width="13" hidden="0" customWidth="1"/>
    <x:col min="3" max="3" width="13" hidden="0" customWidth="1"/>
    <x:col min="4" max="4" width="13" hidden="0" customWidth="1"/>
    <x:col min="5" max="5" width="13" hidden="0" customWidth="1"/>
    <x:col min="6" max="6" width="25" hidden="0" customWidth="1"/>
    <x:col min="7" max="7" width="13" hidden="0" customWidth="1"/>
    <x:col min="9" max="9" width="13" hidden="0" customWidth="1"/>
    <x:col min="10" max="10" width="13" hidden="0" customWidth="1"/>
    <x:col min="11" max="11" width="13" hidden="0" customWidth="1"/>
    <x:col min="1" max="1" width="35" hidden="0" customWidth="1"/>
    <x:col min="8" max="8" width="15" hidden="0" customWidth="1"/>
    <x:col min="12" max="12" width="25" hidden="0" customWidth="1"/>
  </x:cols>
  <x:sheetData>
    <x:row r="1" ht="34" customHeight="1">
      <x:c r="A1" s="7" t="str">
        <x:v>ATTENLO PDF | 36-MONTH GROWTH MODEL</x:v>
      </x:c>
      <x:c r="B1" s="7"/>
      <x:c r="C1" s="7"/>
      <x:c r="D1" s="7"/>
      <x:c r="E1" s="7"/>
      <x:c r="F1" s="7"/>
      <x:c r="G1" s="7"/>
      <x:c r="H1" s="7"/>
      <x:c r="I1" s="7"/>
      <x:c r="J1" s="7"/>
      <x:c r="K1" s="7"/>
      <x:c r="L1" s="7"/>
    </x:row>
    <x:row r="2" ht="30" customHeight="1">
      <x:c r="A2" s="11" t="str">
        <x:v>Prepared for Shrey Talwar • 27 September 2026 • Local document processing / cloud instruction planning • No forecasts of guaranteed demand</x:v>
      </x:c>
      <x:c r="B2" s="11"/>
      <x:c r="C2" s="11"/>
      <x:c r="D2" s="11"/>
      <x:c r="E2" s="11"/>
      <x:c r="F2" s="11"/>
      <x:c r="G2" s="11"/>
      <x:c r="H2" s="11"/>
      <x:c r="I2" s="11"/>
      <x:c r="J2" s="11"/>
      <x:c r="K2" s="11"/>
      <x:c r="L2" s="11"/>
    </x:row>
    <x:row r="3" ht="18" customHeight="1">
      <x:c r="A3" s="4"/>
      <x:c r="B3" s="4"/>
      <x:c r="C3" s="4"/>
      <x:c r="D3" s="4"/>
      <x:c r="E3" s="4"/>
      <x:c r="F3" s="4"/>
      <x:c r="G3" s="4"/>
      <x:c r="H3" s="4"/>
      <x:c r="I3" s="4"/>
      <x:c r="J3" s="4"/>
      <x:c r="K3" s="4"/>
      <x:c r="L3" s="4"/>
    </x:row>
    <x:row r="4" ht="42" customHeight="1">
      <x:c r="A4" s="16" t="str">
        <x:v>Scenario</x:v>
      </x:c>
      <x:c r="B4" s="16" t="str">
        <x:v>Y1 revenue</x:v>
      </x:c>
      <x:c r="C4" s="16" t="str">
        <x:v>Y1 profit</x:v>
      </x:c>
      <x:c r="D4" s="16" t="str">
        <x:v>Y2 revenue</x:v>
      </x:c>
      <x:c r="E4" s="16" t="str">
        <x:v>Y2 profit</x:v>
      </x:c>
      <x:c r="F4" s="16" t="str">
        <x:v>Y3 revenue</x:v>
      </x:c>
      <x:c r="G4" s="16" t="str">
        <x:v>Y3 profit</x:v>
      </x:c>
      <x:c r="H4" s="16" t="str">
        <x:v>M36 payers</x:v>
      </x:c>
      <x:c r="I4" s="16" t="str">
        <x:v>M36 monthly profit</x:v>
      </x:c>
      <x:c r="J4" s="16" t="str">
        <x:v>M36 margin</x:v>
      </x:c>
      <x:c r="K4" s="16" t="str">
        <x:v>Y1 acquisition</x:v>
      </x:c>
      <x:c r="L4" s="16" t="str">
        <x:v>Basis</x:v>
      </x:c>
    </x:row>
    <x:row r="5" ht="26" customHeight="1">
      <x:c r="A5" s="4" t="str">
        <x:v>Downside</x:v>
      </x:c>
      <x:c r="B5" s="82" t="n">
        <x:f>'Annual Summary'!E5</x:f>
        <x:v>0.44337331486376824</x:v>
      </x:c>
      <x:c r="C5" s="82" t="n">
        <x:f>'Annual Summary'!F5</x:f>
        <x:v>-1.6986233610931967</x:v>
      </x:c>
      <x:c r="D5" s="82" t="n">
        <x:f>'Annual Summary'!E6</x:f>
        <x:v>0.6744307687580664</x:v>
      </x:c>
      <x:c r="E5" s="82" t="n">
        <x:f>'Annual Summary'!F6</x:f>
        <x:v>-0.9162515746117844</x:v>
      </x:c>
      <x:c r="F5" s="82" t="n">
        <x:f>'Annual Summary'!E7</x:f>
        <x:v>0.8274874930775672</x:v>
      </x:c>
      <x:c r="G5" s="82" t="n">
        <x:f>'Annual Summary'!F7</x:f>
        <x:v>-0.7954539862822518</x:v>
      </x:c>
      <x:c r="H5" s="60" t="n">
        <x:f>'Annual Summary'!D7</x:f>
        <x:v>37.4328189700891</x:v>
      </x:c>
      <x:c r="I5" s="82" t="n">
        <x:f>'Annual Summary'!K7</x:f>
        <x:v>-0.06152110266951573</x:v>
      </x:c>
      <x:c r="J5" s="83" t="n">
        <x:f>'Monthly Downside'!AK56/'Monthly Downside'!AK38</x:f>
        <x:v>-0.8233207753067708</x:v>
      </x:c>
      <x:c r="K5" s="82" t="n">
        <x:f>'Annual Summary'!H5</x:f>
        <x:v>0.615</x:v>
      </x:c>
      <x:c r="L5" s="4" t="str">
        <x:v>Conditional; not measured</x:v>
      </x:c>
    </x:row>
    <x:row r="6" ht="26" customHeight="1">
      <x:c r="A6" s="66" t="str">
        <x:v>Base</x:v>
      </x:c>
      <x:c r="B6" s="87" t="n">
        <x:f>'Annual Summary'!E8</x:f>
        <x:v>7.103127045858</x:v>
      </x:c>
      <x:c r="C6" s="87" t="n">
        <x:f>'Annual Summary'!F8</x:f>
        <x:v>0.1859520493606727</x:v>
      </x:c>
      <x:c r="D6" s="87" t="n">
        <x:f>'Annual Summary'!E9</x:f>
        <x:v>34.89051287948072</x:v>
      </x:c>
      <x:c r="E6" s="87" t="n">
        <x:f>'Annual Summary'!F9</x:f>
        <x:v>12.165032591830554</x:v>
      </x:c>
      <x:c r="F6" s="87" t="n">
        <x:f>'Annual Summary'!E10</x:f>
        <x:v>82.7405108611773</x:v>
      </x:c>
      <x:c r="G6" s="87" t="n">
        <x:f>'Annual Summary'!F10</x:f>
        <x:v>39.061071422955635</x:v>
      </x:c>
      <x:c r="H6" s="86" t="n">
        <x:f>'Annual Summary'!D10</x:f>
        <x:v>3638.210561892481</x:v>
      </x:c>
      <x:c r="I6" s="87" t="n">
        <x:f>'Annual Summary'!K10</x:f>
        <x:v>4.941650242224033</x:v>
      </x:c>
      <x:c r="J6" s="88" t="n">
        <x:f>'Monthly Base'!AK56/'Monthly Base'!AK38</x:f>
        <x:v>0.5364213219892902</x:v>
      </x:c>
      <x:c r="K6" s="87" t="n">
        <x:f>'Annual Summary'!H8</x:f>
        <x:v>3.15</x:v>
      </x:c>
      <x:c r="L6" s="66" t="str">
        <x:v>Conditional; not measured</x:v>
      </x:c>
    </x:row>
    <x:row r="7" ht="26" customHeight="1">
      <x:c r="A7" s="4" t="str">
        <x:v>Strong</x:v>
      </x:c>
      <x:c r="B7" s="82" t="n">
        <x:f>'Annual Summary'!E11</x:f>
        <x:v>18.877322962077685</x:v>
      </x:c>
      <x:c r="C7" s="82" t="n">
        <x:f>'Annual Summary'!F11</x:f>
        <x:v>4.928272955217438</x:v>
      </x:c>
      <x:c r="D7" s="82" t="n">
        <x:f>'Annual Summary'!E12</x:f>
        <x:v>116.13430154138513</x:v>
      </x:c>
      <x:c r="E7" s="82" t="n">
        <x:f>'Annual Summary'!F12</x:f>
        <x:v>59.1394998580979</x:v>
      </x:c>
      <x:c r="F7" s="82" t="n">
        <x:f>'Annual Summary'!E13</x:f>
        <x:v>375.5718279377862</x:v>
      </x:c>
      <x:c r="G7" s="82" t="n">
        <x:f>'Annual Summary'!F13</x:f>
        <x:v>214.14274577089228</x:v>
      </x:c>
      <x:c r="H7" s="60" t="n">
        <x:f>'Annual Summary'!D13</x:f>
        <x:v>16992.972458785694</x:v>
      </x:c>
      <x:c r="I7" s="82" t="n">
        <x:f>'Annual Summary'!K13</x:f>
        <x:v>29.2781176226821</x:v>
      </x:c>
      <x:c r="J7" s="83" t="n">
        <x:f>'Monthly Strong'!AK56/'Monthly Strong'!AK38</x:f>
        <x:v>0.6175641677498371</x:v>
      </x:c>
      <x:c r="K7" s="82" t="n">
        <x:f>'Annual Summary'!H11</x:f>
        <x:v>5.775</x:v>
      </x:c>
      <x:c r="L7" s="4" t="str">
        <x:v>Conditional; not measured</x:v>
      </x:c>
    </x:row>
    <x:row r="8" ht="29" customHeight="1">
      <x:c r="A8" s="30" t="str">
        <x:v>All monetary figures in the table are ₹ lakh. Profit is after acquisition, payment fees, refunds, AI and QA/maintenance reserves; before income tax and founder compensation.</x:v>
      </x:c>
      <x:c r="B8" s="30"/>
      <x:c r="C8" s="30"/>
      <x:c r="D8" s="30"/>
      <x:c r="E8" s="30"/>
      <x:c r="F8" s="30"/>
      <x:c r="G8" s="30"/>
      <x:c r="H8" s="30"/>
      <x:c r="I8" s="30"/>
      <x:c r="J8" s="30"/>
      <x:c r="K8" s="30"/>
      <x:c r="L8" s="30"/>
    </x:row>
    <x:row r="9" ht="18" customHeight="1">
      <x:c r="A9" s="4"/>
      <x:c r="B9" s="4"/>
      <x:c r="C9" s="4"/>
      <x:c r="D9" s="4"/>
      <x:c r="E9" s="4"/>
      <x:c r="F9" s="4"/>
      <x:c r="G9" s="4"/>
      <x:c r="H9" s="4"/>
      <x:c r="I9" s="4"/>
      <x:c r="J9" s="4"/>
      <x:c r="K9" s="4"/>
      <x:c r="L9" s="4"/>
    </x:row>
    <x:row r="10" ht="31" customHeight="1">
      <x:c r="A10" s="104" t="str">
        <x:v>Monthly operating-profit milestone</x:v>
      </x:c>
      <x:c r="B10" s="104" t="str">
        <x:v>Downside</x:v>
      </x:c>
      <x:c r="C10" s="104" t="str">
        <x:v>Base</x:v>
      </x:c>
      <x:c r="D10" s="104" t="str">
        <x:v>Strong</x:v>
      </x:c>
      <x:c r="E10" s="104" t="str">
        <x:v>Units</x:v>
      </x:c>
      <x:c r="F10" s="104" t="str">
        <x:v>Interpretation</x:v>
      </x:c>
      <x:c r="G10" s="105"/>
      <x:c r="H10" s="105"/>
      <x:c r="I10" s="105"/>
      <x:c r="J10" s="105"/>
      <x:c r="K10" s="105"/>
      <x:c r="L10" s="105"/>
    </x:row>
    <x:row r="11" ht="31" customHeight="1">
      <x:c r="A11" s="105" t="str">
        <x:v>First positive month</x:v>
      </x:c>
      <x:c r="B11" s="106" t="str">
        <x:f>IF('Monthly Downside'!B56&gt;0,1,IF('Monthly Downside'!C56&gt;0,2,IF('Monthly Downside'!D56&gt;0,3,IF('Monthly Downside'!E56&gt;0,4,IF('Monthly Downside'!F56&gt;0,5,IF('Monthly Downside'!G56&gt;0,6,IF('Monthly Downside'!H56&gt;0,7,IF('Monthly Downside'!I56&gt;0,8,IF('Monthly Downside'!J56&gt;0,9,IF('Monthly Downside'!K56&gt;0,10,IF('Monthly Downside'!L56&gt;0,11,IF('Monthly Downside'!M56&gt;0,12,IF('Monthly Downside'!N56&gt;0,13,IF('Monthly Downside'!O56&gt;0,14,IF('Monthly Downside'!P56&gt;0,15,IF('Monthly Downside'!Q56&gt;0,16,IF('Monthly Downside'!R56&gt;0,17,IF('Monthly Downside'!S56&gt;0,18,IF('Monthly Downside'!T56&gt;0,19,IF('Monthly Downside'!U56&gt;0,20,IF('Monthly Downside'!V56&gt;0,21,IF('Monthly Downside'!W56&gt;0,22,IF('Monthly Downside'!X56&gt;0,23,IF('Monthly Downside'!Y56&gt;0,24,IF('Monthly Downside'!Z56&gt;0,25,IF('Monthly Downside'!AA56&gt;0,26,IF('Monthly Downside'!AB56&gt;0,27,IF('Monthly Downside'!AC56&gt;0,28,IF('Monthly Downside'!AD56&gt;0,29,IF('Monthly Downside'!AE56&gt;0,30,IF('Monthly Downside'!AF56&gt;0,31,IF('Monthly Downside'!AG56&gt;0,32,IF('Monthly Downside'!AH56&gt;0,33,IF('Monthly Downside'!AI56&gt;0,34,IF('Monthly Downside'!AJ56&gt;0,35,IF('Monthly Downside'!AK56&gt;0,36,"Not by M36"))))))))))))))))))))))))))))))))))))</x:f>
        <x:v>Not by M36</x:v>
      </x:c>
      <x:c r="C11" s="106" t="n">
        <x:f>IF('Monthly Base'!B56&gt;0,1,IF('Monthly Base'!C56&gt;0,2,IF('Monthly Base'!D56&gt;0,3,IF('Monthly Base'!E56&gt;0,4,IF('Monthly Base'!F56&gt;0,5,IF('Monthly Base'!G56&gt;0,6,IF('Monthly Base'!H56&gt;0,7,IF('Monthly Base'!I56&gt;0,8,IF('Monthly Base'!J56&gt;0,9,IF('Monthly Base'!K56&gt;0,10,IF('Monthly Base'!L56&gt;0,11,IF('Monthly Base'!M56&gt;0,12,IF('Monthly Base'!N56&gt;0,13,IF('Monthly Base'!O56&gt;0,14,IF('Monthly Base'!P56&gt;0,15,IF('Monthly Base'!Q56&gt;0,16,IF('Monthly Base'!R56&gt;0,17,IF('Monthly Base'!S56&gt;0,18,IF('Monthly Base'!T56&gt;0,19,IF('Monthly Base'!U56&gt;0,20,IF('Monthly Base'!V56&gt;0,21,IF('Monthly Base'!W56&gt;0,22,IF('Monthly Base'!X56&gt;0,23,IF('Monthly Base'!Y56&gt;0,24,IF('Monthly Base'!Z56&gt;0,25,IF('Monthly Base'!AA56&gt;0,26,IF('Monthly Base'!AB56&gt;0,27,IF('Monthly Base'!AC56&gt;0,28,IF('Monthly Base'!AD56&gt;0,29,IF('Monthly Base'!AE56&gt;0,30,IF('Monthly Base'!AF56&gt;0,31,IF('Monthly Base'!AG56&gt;0,32,IF('Monthly Base'!AH56&gt;0,33,IF('Monthly Base'!AI56&gt;0,34,IF('Monthly Base'!AJ56&gt;0,35,IF('Monthly Base'!AK56&gt;0,36,"Not by M36"))))))))))))))))))))))))))))))))))))</x:f>
        <x:v>8</x:v>
      </x:c>
      <x:c r="D11" s="106" t="n">
        <x:f>IF('Monthly Strong'!B56&gt;0,1,IF('Monthly Strong'!C56&gt;0,2,IF('Monthly Strong'!D56&gt;0,3,IF('Monthly Strong'!E56&gt;0,4,IF('Monthly Strong'!F56&gt;0,5,IF('Monthly Strong'!G56&gt;0,6,IF('Monthly Strong'!H56&gt;0,7,IF('Monthly Strong'!I56&gt;0,8,IF('Monthly Strong'!J56&gt;0,9,IF('Monthly Strong'!K56&gt;0,10,IF('Monthly Strong'!L56&gt;0,11,IF('Monthly Strong'!M56&gt;0,12,IF('Monthly Strong'!N56&gt;0,13,IF('Monthly Strong'!O56&gt;0,14,IF('Monthly Strong'!P56&gt;0,15,IF('Monthly Strong'!Q56&gt;0,16,IF('Monthly Strong'!R56&gt;0,17,IF('Monthly Strong'!S56&gt;0,18,IF('Monthly Strong'!T56&gt;0,19,IF('Monthly Strong'!U56&gt;0,20,IF('Monthly Strong'!V56&gt;0,21,IF('Monthly Strong'!W56&gt;0,22,IF('Monthly Strong'!X56&gt;0,23,IF('Monthly Strong'!Y56&gt;0,24,IF('Monthly Strong'!Z56&gt;0,25,IF('Monthly Strong'!AA56&gt;0,26,IF('Monthly Strong'!AB56&gt;0,27,IF('Monthly Strong'!AC56&gt;0,28,IF('Monthly Strong'!AD56&gt;0,29,IF('Monthly Strong'!AE56&gt;0,30,IF('Monthly Strong'!AF56&gt;0,31,IF('Monthly Strong'!AG56&gt;0,32,IF('Monthly Strong'!AH56&gt;0,33,IF('Monthly Strong'!AI56&gt;0,34,IF('Monthly Strong'!AJ56&gt;0,35,IF('Monthly Strong'!AK56&gt;0,36,"Not by M36"))))))))))))))))))))))))))))))))))))</x:f>
        <x:v>5</x:v>
      </x:c>
      <x:c r="E11" s="107" t="str">
        <x:v>Launch month</x:v>
      </x:c>
      <x:c r="F11" s="105" t="str">
        <x:v>First crossing, not guaranteed permanent profitability</x:v>
      </x:c>
      <x:c r="G11" s="105"/>
      <x:c r="H11" s="105"/>
      <x:c r="I11" s="105"/>
      <x:c r="J11" s="105"/>
      <x:c r="K11" s="105"/>
      <x:c r="L11" s="105"/>
    </x:row>
    <x:row r="12" ht="31" customHeight="1">
      <x:c r="A12" s="105" t="str">
        <x:v>First ≥ ₹1 lakh/month</x:v>
      </x:c>
      <x:c r="B12" s="106" t="str">
        <x:f>IF('Monthly Downside'!B56&gt;=100000,1,IF('Monthly Downside'!C56&gt;=100000,2,IF('Monthly Downside'!D56&gt;=100000,3,IF('Monthly Downside'!E56&gt;=100000,4,IF('Monthly Downside'!F56&gt;=100000,5,IF('Monthly Downside'!G56&gt;=100000,6,IF('Monthly Downside'!H56&gt;=100000,7,IF('Monthly Downside'!I56&gt;=100000,8,IF('Monthly Downside'!J56&gt;=100000,9,IF('Monthly Downside'!K56&gt;=100000,10,IF('Monthly Downside'!L56&gt;=100000,11,IF('Monthly Downside'!M56&gt;=100000,12,IF('Monthly Downside'!N56&gt;=100000,13,IF('Monthly Downside'!O56&gt;=100000,14,IF('Monthly Downside'!P56&gt;=100000,15,IF('Monthly Downside'!Q56&gt;=100000,16,IF('Monthly Downside'!R56&gt;=100000,17,IF('Monthly Downside'!S56&gt;=100000,18,IF('Monthly Downside'!T56&gt;=100000,19,IF('Monthly Downside'!U56&gt;=100000,20,IF('Monthly Downside'!V56&gt;=100000,21,IF('Monthly Downside'!W56&gt;=100000,22,IF('Monthly Downside'!X56&gt;=100000,23,IF('Monthly Downside'!Y56&gt;=100000,24,IF('Monthly Downside'!Z56&gt;=100000,25,IF('Monthly Downside'!AA56&gt;=100000,26,IF('Monthly Downside'!AB56&gt;=100000,27,IF('Monthly Downside'!AC56&gt;=100000,28,IF('Monthly Downside'!AD56&gt;=100000,29,IF('Monthly Downside'!AE56&gt;=100000,30,IF('Monthly Downside'!AF56&gt;=100000,31,IF('Monthly Downside'!AG56&gt;=100000,32,IF('Monthly Downside'!AH56&gt;=100000,33,IF('Monthly Downside'!AI56&gt;=100000,34,IF('Monthly Downside'!AJ56&gt;=100000,35,IF('Monthly Downside'!AK56&gt;=100000,36,"Not by M36"))))))))))))))))))))))))))))))))))))</x:f>
        <x:v>Not by M36</x:v>
      </x:c>
      <x:c r="C12" s="106" t="n">
        <x:f>IF('Monthly Base'!B56&gt;=100000,1,IF('Monthly Base'!C56&gt;=100000,2,IF('Monthly Base'!D56&gt;=100000,3,IF('Monthly Base'!E56&gt;=100000,4,IF('Monthly Base'!F56&gt;=100000,5,IF('Monthly Base'!G56&gt;=100000,6,IF('Monthly Base'!H56&gt;=100000,7,IF('Monthly Base'!I56&gt;=100000,8,IF('Monthly Base'!J56&gt;=100000,9,IF('Monthly Base'!K56&gt;=100000,10,IF('Monthly Base'!L56&gt;=100000,11,IF('Monthly Base'!M56&gt;=100000,12,IF('Monthly Base'!N56&gt;=100000,13,IF('Monthly Base'!O56&gt;=100000,14,IF('Monthly Base'!P56&gt;=100000,15,IF('Monthly Base'!Q56&gt;=100000,16,IF('Monthly Base'!R56&gt;=100000,17,IF('Monthly Base'!S56&gt;=100000,18,IF('Monthly Base'!T56&gt;=100000,19,IF('Monthly Base'!U56&gt;=100000,20,IF('Monthly Base'!V56&gt;=100000,21,IF('Monthly Base'!W56&gt;=100000,22,IF('Monthly Base'!X56&gt;=100000,23,IF('Monthly Base'!Y56&gt;=100000,24,IF('Monthly Base'!Z56&gt;=100000,25,IF('Monthly Base'!AA56&gt;=100000,26,IF('Monthly Base'!AB56&gt;=100000,27,IF('Monthly Base'!AC56&gt;=100000,28,IF('Monthly Base'!AD56&gt;=100000,29,IF('Monthly Base'!AE56&gt;=100000,30,IF('Monthly Base'!AF56&gt;=100000,31,IF('Monthly Base'!AG56&gt;=100000,32,IF('Monthly Base'!AH56&gt;=100000,33,IF('Monthly Base'!AI56&gt;=100000,34,IF('Monthly Base'!AJ56&gt;=100000,35,IF('Monthly Base'!AK56&gt;=100000,36,"Not by M36"))))))))))))))))))))))))))))))))))))</x:f>
        <x:v>18</x:v>
      </x:c>
      <x:c r="D12" s="106" t="n">
        <x:f>IF('Monthly Strong'!B56&gt;=100000,1,IF('Monthly Strong'!C56&gt;=100000,2,IF('Monthly Strong'!D56&gt;=100000,3,IF('Monthly Strong'!E56&gt;=100000,4,IF('Monthly Strong'!F56&gt;=100000,5,IF('Monthly Strong'!G56&gt;=100000,6,IF('Monthly Strong'!H56&gt;=100000,7,IF('Monthly Strong'!I56&gt;=100000,8,IF('Monthly Strong'!J56&gt;=100000,9,IF('Monthly Strong'!K56&gt;=100000,10,IF('Monthly Strong'!L56&gt;=100000,11,IF('Monthly Strong'!M56&gt;=100000,12,IF('Monthly Strong'!N56&gt;=100000,13,IF('Monthly Strong'!O56&gt;=100000,14,IF('Monthly Strong'!P56&gt;=100000,15,IF('Monthly Strong'!Q56&gt;=100000,16,IF('Monthly Strong'!R56&gt;=100000,17,IF('Monthly Strong'!S56&gt;=100000,18,IF('Monthly Strong'!T56&gt;=100000,19,IF('Monthly Strong'!U56&gt;=100000,20,IF('Monthly Strong'!V56&gt;=100000,21,IF('Monthly Strong'!W56&gt;=100000,22,IF('Monthly Strong'!X56&gt;=100000,23,IF('Monthly Strong'!Y56&gt;=100000,24,IF('Monthly Strong'!Z56&gt;=100000,25,IF('Monthly Strong'!AA56&gt;=100000,26,IF('Monthly Strong'!AB56&gt;=100000,27,IF('Monthly Strong'!AC56&gt;=100000,28,IF('Monthly Strong'!AD56&gt;=100000,29,IF('Monthly Strong'!AE56&gt;=100000,30,IF('Monthly Strong'!AF56&gt;=100000,31,IF('Monthly Strong'!AG56&gt;=100000,32,IF('Monthly Strong'!AH56&gt;=100000,33,IF('Monthly Strong'!AI56&gt;=100000,34,IF('Monthly Strong'!AJ56&gt;=100000,35,IF('Monthly Strong'!AK56&gt;=100000,36,"Not by M36"))))))))))))))))))))))))))))))))))))</x:f>
        <x:v>10</x:v>
      </x:c>
      <x:c r="E12" s="107" t="str">
        <x:v>Launch month</x:v>
      </x:c>
      <x:c r="F12" s="105" t="str">
        <x:v>First crossing, not guaranteed permanent profitability</x:v>
      </x:c>
      <x:c r="G12" s="105"/>
      <x:c r="H12" s="105"/>
      <x:c r="I12" s="105"/>
      <x:c r="J12" s="105"/>
      <x:c r="K12" s="105"/>
      <x:c r="L12" s="105"/>
    </x:row>
    <x:row r="13" ht="31" customHeight="1">
      <x:c r="A13" s="105" t="str">
        <x:v>First ≥ ₹5 lakh/month</x:v>
      </x:c>
      <x:c r="B13" s="106" t="str">
        <x:f>IF('Monthly Downside'!B56&gt;=500000,1,IF('Monthly Downside'!C56&gt;=500000,2,IF('Monthly Downside'!D56&gt;=500000,3,IF('Monthly Downside'!E56&gt;=500000,4,IF('Monthly Downside'!F56&gt;=500000,5,IF('Monthly Downside'!G56&gt;=500000,6,IF('Monthly Downside'!H56&gt;=500000,7,IF('Monthly Downside'!I56&gt;=500000,8,IF('Monthly Downside'!J56&gt;=500000,9,IF('Monthly Downside'!K56&gt;=500000,10,IF('Monthly Downside'!L56&gt;=500000,11,IF('Monthly Downside'!M56&gt;=500000,12,IF('Monthly Downside'!N56&gt;=500000,13,IF('Monthly Downside'!O56&gt;=500000,14,IF('Monthly Downside'!P56&gt;=500000,15,IF('Monthly Downside'!Q56&gt;=500000,16,IF('Monthly Downside'!R56&gt;=500000,17,IF('Monthly Downside'!S56&gt;=500000,18,IF('Monthly Downside'!T56&gt;=500000,19,IF('Monthly Downside'!U56&gt;=500000,20,IF('Monthly Downside'!V56&gt;=500000,21,IF('Monthly Downside'!W56&gt;=500000,22,IF('Monthly Downside'!X56&gt;=500000,23,IF('Monthly Downside'!Y56&gt;=500000,24,IF('Monthly Downside'!Z56&gt;=500000,25,IF('Monthly Downside'!AA56&gt;=500000,26,IF('Monthly Downside'!AB56&gt;=500000,27,IF('Monthly Downside'!AC56&gt;=500000,28,IF('Monthly Downside'!AD56&gt;=500000,29,IF('Monthly Downside'!AE56&gt;=500000,30,IF('Monthly Downside'!AF56&gt;=500000,31,IF('Monthly Downside'!AG56&gt;=500000,32,IF('Monthly Downside'!AH56&gt;=500000,33,IF('Monthly Downside'!AI56&gt;=500000,34,IF('Monthly Downside'!AJ56&gt;=500000,35,IF('Monthly Downside'!AK56&gt;=500000,36,"Not by M36"))))))))))))))))))))))))))))))))))))</x:f>
        <x:v>Not by M36</x:v>
      </x:c>
      <x:c r="C13" s="106" t="str">
        <x:f>IF('Monthly Base'!B56&gt;=500000,1,IF('Monthly Base'!C56&gt;=500000,2,IF('Monthly Base'!D56&gt;=500000,3,IF('Monthly Base'!E56&gt;=500000,4,IF('Monthly Base'!F56&gt;=500000,5,IF('Monthly Base'!G56&gt;=500000,6,IF('Monthly Base'!H56&gt;=500000,7,IF('Monthly Base'!I56&gt;=500000,8,IF('Monthly Base'!J56&gt;=500000,9,IF('Monthly Base'!K56&gt;=500000,10,IF('Monthly Base'!L56&gt;=500000,11,IF('Monthly Base'!M56&gt;=500000,12,IF('Monthly Base'!N56&gt;=500000,13,IF('Monthly Base'!O56&gt;=500000,14,IF('Monthly Base'!P56&gt;=500000,15,IF('Monthly Base'!Q56&gt;=500000,16,IF('Monthly Base'!R56&gt;=500000,17,IF('Monthly Base'!S56&gt;=500000,18,IF('Monthly Base'!T56&gt;=500000,19,IF('Monthly Base'!U56&gt;=500000,20,IF('Monthly Base'!V56&gt;=500000,21,IF('Monthly Base'!W56&gt;=500000,22,IF('Monthly Base'!X56&gt;=500000,23,IF('Monthly Base'!Y56&gt;=500000,24,IF('Monthly Base'!Z56&gt;=500000,25,IF('Monthly Base'!AA56&gt;=500000,26,IF('Monthly Base'!AB56&gt;=500000,27,IF('Monthly Base'!AC56&gt;=500000,28,IF('Monthly Base'!AD56&gt;=500000,29,IF('Monthly Base'!AE56&gt;=500000,30,IF('Monthly Base'!AF56&gt;=500000,31,IF('Monthly Base'!AG56&gt;=500000,32,IF('Monthly Base'!AH56&gt;=500000,33,IF('Monthly Base'!AI56&gt;=500000,34,IF('Monthly Base'!AJ56&gt;=500000,35,IF('Monthly Base'!AK56&gt;=500000,36,"Not by M36"))))))))))))))))))))))))))))))))))))</x:f>
        <x:v>Not by M36</x:v>
      </x:c>
      <x:c r="D13" s="106" t="n">
        <x:f>IF('Monthly Strong'!B56&gt;=500000,1,IF('Monthly Strong'!C56&gt;=500000,2,IF('Monthly Strong'!D56&gt;=500000,3,IF('Monthly Strong'!E56&gt;=500000,4,IF('Monthly Strong'!F56&gt;=500000,5,IF('Monthly Strong'!G56&gt;=500000,6,IF('Monthly Strong'!H56&gt;=500000,7,IF('Monthly Strong'!I56&gt;=500000,8,IF('Monthly Strong'!J56&gt;=500000,9,IF('Monthly Strong'!K56&gt;=500000,10,IF('Monthly Strong'!L56&gt;=500000,11,IF('Monthly Strong'!M56&gt;=500000,12,IF('Monthly Strong'!N56&gt;=500000,13,IF('Monthly Strong'!O56&gt;=500000,14,IF('Monthly Strong'!P56&gt;=500000,15,IF('Monthly Strong'!Q56&gt;=500000,16,IF('Monthly Strong'!R56&gt;=500000,17,IF('Monthly Strong'!S56&gt;=500000,18,IF('Monthly Strong'!T56&gt;=500000,19,IF('Monthly Strong'!U56&gt;=500000,20,IF('Monthly Strong'!V56&gt;=500000,21,IF('Monthly Strong'!W56&gt;=500000,22,IF('Monthly Strong'!X56&gt;=500000,23,IF('Monthly Strong'!Y56&gt;=500000,24,IF('Monthly Strong'!Z56&gt;=500000,25,IF('Monthly Strong'!AA56&gt;=500000,26,IF('Monthly Strong'!AB56&gt;=500000,27,IF('Monthly Strong'!AC56&gt;=500000,28,IF('Monthly Strong'!AD56&gt;=500000,29,IF('Monthly Strong'!AE56&gt;=500000,30,IF('Monthly Strong'!AF56&gt;=500000,31,IF('Monthly Strong'!AG56&gt;=500000,32,IF('Monthly Strong'!AH56&gt;=500000,33,IF('Monthly Strong'!AI56&gt;=500000,34,IF('Monthly Strong'!AJ56&gt;=500000,35,IF('Monthly Strong'!AK56&gt;=500000,36,"Not by M36"))))))))))))))))))))))))))))))))))))</x:f>
        <x:v>20</x:v>
      </x:c>
      <x:c r="E13" s="107" t="str">
        <x:v>Launch month</x:v>
      </x:c>
      <x:c r="F13" s="105" t="str">
        <x:v>First crossing, not guaranteed permanent profitability</x:v>
      </x:c>
      <x:c r="G13" s="105"/>
      <x:c r="H13" s="105"/>
      <x:c r="I13" s="105"/>
      <x:c r="J13" s="105"/>
      <x:c r="K13" s="105"/>
      <x:c r="L13" s="105"/>
    </x:row>
    <x:row r="14" ht="31" customHeight="1">
      <x:c r="A14" s="105" t="str">
        <x:v>First ≥ ₹10 lakh/month</x:v>
      </x:c>
      <x:c r="B14" s="106" t="str">
        <x:f>IF('Monthly Downside'!B56&gt;=1000000,1,IF('Monthly Downside'!C56&gt;=1000000,2,IF('Monthly Downside'!D56&gt;=1000000,3,IF('Monthly Downside'!E56&gt;=1000000,4,IF('Monthly Downside'!F56&gt;=1000000,5,IF('Monthly Downside'!G56&gt;=1000000,6,IF('Monthly Downside'!H56&gt;=1000000,7,IF('Monthly Downside'!I56&gt;=1000000,8,IF('Monthly Downside'!J56&gt;=1000000,9,IF('Monthly Downside'!K56&gt;=1000000,10,IF('Monthly Downside'!L56&gt;=1000000,11,IF('Monthly Downside'!M56&gt;=1000000,12,IF('Monthly Downside'!N56&gt;=1000000,13,IF('Monthly Downside'!O56&gt;=1000000,14,IF('Monthly Downside'!P56&gt;=1000000,15,IF('Monthly Downside'!Q56&gt;=1000000,16,IF('Monthly Downside'!R56&gt;=1000000,17,IF('Monthly Downside'!S56&gt;=1000000,18,IF('Monthly Downside'!T56&gt;=1000000,19,IF('Monthly Downside'!U56&gt;=1000000,20,IF('Monthly Downside'!V56&gt;=1000000,21,IF('Monthly Downside'!W56&gt;=1000000,22,IF('Monthly Downside'!X56&gt;=1000000,23,IF('Monthly Downside'!Y56&gt;=1000000,24,IF('Monthly Downside'!Z56&gt;=1000000,25,IF('Monthly Downside'!AA56&gt;=1000000,26,IF('Monthly Downside'!AB56&gt;=1000000,27,IF('Monthly Downside'!AC56&gt;=1000000,28,IF('Monthly Downside'!AD56&gt;=1000000,29,IF('Monthly Downside'!AE56&gt;=1000000,30,IF('Monthly Downside'!AF56&gt;=1000000,31,IF('Monthly Downside'!AG56&gt;=1000000,32,IF('Monthly Downside'!AH56&gt;=1000000,33,IF('Monthly Downside'!AI56&gt;=1000000,34,IF('Monthly Downside'!AJ56&gt;=1000000,35,IF('Monthly Downside'!AK56&gt;=1000000,36,"Not by M36"))))))))))))))))))))))))))))))))))))</x:f>
        <x:v>Not by M36</x:v>
      </x:c>
      <x:c r="C14" s="106" t="str">
        <x:f>IF('Monthly Base'!B56&gt;=1000000,1,IF('Monthly Base'!C56&gt;=1000000,2,IF('Monthly Base'!D56&gt;=1000000,3,IF('Monthly Base'!E56&gt;=1000000,4,IF('Monthly Base'!F56&gt;=1000000,5,IF('Monthly Base'!G56&gt;=1000000,6,IF('Monthly Base'!H56&gt;=1000000,7,IF('Monthly Base'!I56&gt;=1000000,8,IF('Monthly Base'!J56&gt;=1000000,9,IF('Monthly Base'!K56&gt;=1000000,10,IF('Monthly Base'!L56&gt;=1000000,11,IF('Monthly Base'!M56&gt;=1000000,12,IF('Monthly Base'!N56&gt;=1000000,13,IF('Monthly Base'!O56&gt;=1000000,14,IF('Monthly Base'!P56&gt;=1000000,15,IF('Monthly Base'!Q56&gt;=1000000,16,IF('Monthly Base'!R56&gt;=1000000,17,IF('Monthly Base'!S56&gt;=1000000,18,IF('Monthly Base'!T56&gt;=1000000,19,IF('Monthly Base'!U56&gt;=1000000,20,IF('Monthly Base'!V56&gt;=1000000,21,IF('Monthly Base'!W56&gt;=1000000,22,IF('Monthly Base'!X56&gt;=1000000,23,IF('Monthly Base'!Y56&gt;=1000000,24,IF('Monthly Base'!Z56&gt;=1000000,25,IF('Monthly Base'!AA56&gt;=1000000,26,IF('Monthly Base'!AB56&gt;=1000000,27,IF('Monthly Base'!AC56&gt;=1000000,28,IF('Monthly Base'!AD56&gt;=1000000,29,IF('Monthly Base'!AE56&gt;=1000000,30,IF('Monthly Base'!AF56&gt;=1000000,31,IF('Monthly Base'!AG56&gt;=1000000,32,IF('Monthly Base'!AH56&gt;=1000000,33,IF('Monthly Base'!AI56&gt;=1000000,34,IF('Monthly Base'!AJ56&gt;=1000000,35,IF('Monthly Base'!AK56&gt;=1000000,36,"Not by M36"))))))))))))))))))))))))))))))))))))</x:f>
        <x:v>Not by M36</x:v>
      </x:c>
      <x:c r="D14" s="106" t="n">
        <x:f>IF('Monthly Strong'!B56&gt;=1000000,1,IF('Monthly Strong'!C56&gt;=1000000,2,IF('Monthly Strong'!D56&gt;=1000000,3,IF('Monthly Strong'!E56&gt;=1000000,4,IF('Monthly Strong'!F56&gt;=1000000,5,IF('Monthly Strong'!G56&gt;=1000000,6,IF('Monthly Strong'!H56&gt;=1000000,7,IF('Monthly Strong'!I56&gt;=1000000,8,IF('Monthly Strong'!J56&gt;=1000000,9,IF('Monthly Strong'!K56&gt;=1000000,10,IF('Monthly Strong'!L56&gt;=1000000,11,IF('Monthly Strong'!M56&gt;=1000000,12,IF('Monthly Strong'!N56&gt;=1000000,13,IF('Monthly Strong'!O56&gt;=1000000,14,IF('Monthly Strong'!P56&gt;=1000000,15,IF('Monthly Strong'!Q56&gt;=1000000,16,IF('Monthly Strong'!R56&gt;=1000000,17,IF('Monthly Strong'!S56&gt;=1000000,18,IF('Monthly Strong'!T56&gt;=1000000,19,IF('Monthly Strong'!U56&gt;=1000000,20,IF('Monthly Strong'!V56&gt;=1000000,21,IF('Monthly Strong'!W56&gt;=1000000,22,IF('Monthly Strong'!X56&gt;=1000000,23,IF('Monthly Strong'!Y56&gt;=1000000,24,IF('Monthly Strong'!Z56&gt;=1000000,25,IF('Monthly Strong'!AA56&gt;=1000000,26,IF('Monthly Strong'!AB56&gt;=1000000,27,IF('Monthly Strong'!AC56&gt;=1000000,28,IF('Monthly Strong'!AD56&gt;=1000000,29,IF('Monthly Strong'!AE56&gt;=1000000,30,IF('Monthly Strong'!AF56&gt;=1000000,31,IF('Monthly Strong'!AG56&gt;=1000000,32,IF('Monthly Strong'!AH56&gt;=1000000,33,IF('Monthly Strong'!AI56&gt;=1000000,34,IF('Monthly Strong'!AJ56&gt;=1000000,35,IF('Monthly Strong'!AK56&gt;=1000000,36,"Not by M36"))))))))))))))))))))))))))))))))))))</x:f>
        <x:v>26</x:v>
      </x:c>
      <x:c r="E14" s="107" t="str">
        <x:v>Launch month</x:v>
      </x:c>
      <x:c r="F14" s="105" t="str">
        <x:v>First crossing, not guaranteed permanent profitability</x:v>
      </x:c>
      <x:c r="G14" s="105"/>
      <x:c r="H14" s="105"/>
      <x:c r="I14" s="105"/>
      <x:c r="J14" s="105"/>
      <x:c r="K14" s="105"/>
      <x:c r="L14" s="105"/>
    </x:row>
    <x:row r="15" ht="31" customHeight="1">
      <x:c r="A15" s="105"/>
      <x:c r="B15" s="108"/>
      <x:c r="C15" s="108"/>
      <x:c r="D15" s="108"/>
      <x:c r="E15" s="107"/>
      <x:c r="F15" s="105"/>
      <x:c r="G15" s="107"/>
      <x:c r="H15" s="107"/>
      <x:c r="I15" s="107"/>
      <x:c r="J15" s="107"/>
      <x:c r="K15" s="107"/>
      <x:c r="L15" s="107"/>
    </x:row>
    <x:row r="16" ht="31" customHeight="1">
      <x:c r="A16" s="104" t="str">
        <x:v>Capital / earnings measure</x:v>
      </x:c>
      <x:c r="B16" s="104" t="str">
        <x:v>Downside</x:v>
      </x:c>
      <x:c r="C16" s="104" t="str">
        <x:v>Base</x:v>
      </x:c>
      <x:c r="D16" s="104" t="str">
        <x:v>Strong</x:v>
      </x:c>
      <x:c r="E16" s="104" t="str">
        <x:v>Units</x:v>
      </x:c>
      <x:c r="F16" s="104" t="str">
        <x:v>Meaning</x:v>
      </x:c>
      <x:c r="G16" s="104"/>
      <x:c r="H16" s="104"/>
      <x:c r="I16" s="104"/>
      <x:c r="J16" s="104"/>
      <x:c r="K16" s="104"/>
      <x:c r="L16" s="104"/>
    </x:row>
    <x:row r="17" ht="31" customHeight="1">
      <x:c r="A17" s="105" t="str">
        <x:v>Minimum modeled funding</x:v>
      </x:c>
      <x:c r="B17" s="106" t="n">
        <x:f>MAX('Commercial Inputs'!$B$30,-MIN('Monthly Downside'!B63:AK63))</x:f>
        <x:v>308567.38987149356</x:v>
      </x:c>
      <x:c r="C17" s="106" t="n">
        <x:f>MAX('Commercial Inputs'!$B$30,-MIN('Monthly Base'!B63:AK63))</x:f>
        <x:v>21261.787536101692</x:v>
      </x:c>
      <x:c r="D17" s="106" t="n">
        <x:f>MAX('Commercial Inputs'!$B$30,-MIN('Monthly Strong'!B63:AK63))</x:f>
        <x:v>20000</x:v>
      </x:c>
      <x:c r="E17" s="107" t="str">
        <x:v>INR</x:v>
      </x:c>
      <x:c r="F17" s="105" t="str">
        <x:v>Includes upfront setup floor; month-end model understates intramonth liquidity.</x:v>
      </x:c>
      <x:c r="G17" s="105"/>
      <x:c r="H17" s="105"/>
      <x:c r="I17" s="105"/>
      <x:c r="J17" s="105"/>
      <x:c r="K17" s="105"/>
      <x:c r="L17" s="105"/>
    </x:row>
    <x:row r="18" ht="31" customHeight="1">
      <x:c r="A18" s="105" t="str">
        <x:v>Three-year cumulative earned profit</x:v>
      </x:c>
      <x:c r="B18" s="110" t="n">
        <x:f>'Monthly Downside'!AK71/'Commercial Inputs'!$B$45</x:f>
        <x:v>-3.4103289219872335</x:v>
      </x:c>
      <x:c r="C18" s="110" t="n">
        <x:f>'Monthly Base'!AK71/'Commercial Inputs'!$B$45</x:f>
        <x:v>51.41205606414687</x:v>
      </x:c>
      <x:c r="D18" s="110" t="n">
        <x:f>'Monthly Strong'!AK71/'Commercial Inputs'!$B$45</x:f>
        <x:v>278.21051858420765</x:v>
      </x:c>
      <x:c r="E18" s="107" t="str">
        <x:v>₹ lakh</x:v>
      </x:c>
      <x:c r="F18" s="105" t="str">
        <x:v>Not the same as advance subscription receipts.</x:v>
      </x:c>
      <x:c r="G18" s="105"/>
      <x:c r="H18" s="105"/>
      <x:c r="I18" s="105"/>
      <x:c r="J18" s="105"/>
      <x:c r="K18" s="105"/>
      <x:c r="L18" s="105"/>
    </x:row>
    <x:row r="19" ht="31" customHeight="1">
      <x:c r="A19" s="105" t="str">
        <x:v>Month 36 closing cash</x:v>
      </x:c>
      <x:c r="B19" s="110" t="n">
        <x:f>'Monthly Downside'!AK64/'Commercial Inputs'!$B$45</x:f>
        <x:v>-2.0856738987149357</x:v>
      </x:c>
      <x:c r="C19" s="110" t="n">
        <x:f>'Monthly Base'!AK64/'Commercial Inputs'!$B$45</x:f>
        <x:v>94.65994774713138</x:v>
      </x:c>
      <x:c r="D19" s="110" t="n">
        <x:f>'Monthly Strong'!AK64/'Commercial Inputs'!$B$45</x:f>
        <x:v>505.90988005625474</x:v>
      </x:c>
      <x:c r="E19" s="107" t="str">
        <x:v>₹ lakh</x:v>
      </x:c>
      <x:c r="F19" s="105" t="str">
        <x:v>Before income tax, owner draws and outstanding service obligations.</x:v>
      </x:c>
      <x:c r="G19" s="105"/>
      <x:c r="H19" s="105"/>
      <x:c r="I19" s="105"/>
      <x:c r="J19" s="105"/>
      <x:c r="K19" s="105"/>
      <x:c r="L19" s="105"/>
    </x:row>
    <x:row r="20" ht="31" customHeight="1">
      <x:c r="A20" s="105" t="str">
        <x:v>Month 36 unearned revenue</x:v>
      </x:c>
      <x:c r="B20" s="110" t="n">
        <x:f>'Monthly Downside'!AK65/'Commercial Inputs'!$B$45</x:f>
        <x:v>0.3595005582070749</x:v>
      </x:c>
      <x:c r="C20" s="110" t="n">
        <x:f>'Monthly Base'!AK65/'Commercial Inputs'!$B$45</x:f>
        <x:v>47.30929986849993</x:v>
      </x:c>
      <x:c r="D20" s="110" t="n">
        <x:f>'Monthly Strong'!AK65/'Commercial Inputs'!$B$45</x:f>
        <x:v>255.30864772517913</x:v>
      </x:c>
      <x:c r="E20" s="107" t="str">
        <x:v>₹ lakh</x:v>
      </x:c>
      <x:c r="F20" s="105" t="str">
        <x:v>Cash collected for services not yet delivered; not profit.</x:v>
      </x:c>
      <x:c r="G20" s="105"/>
      <x:c r="H20" s="105"/>
      <x:c r="I20" s="105"/>
      <x:c r="J20" s="105"/>
      <x:c r="K20" s="105"/>
      <x:c r="L20" s="105"/>
    </x:row>
    <x:row r="21" ht="18" customHeight="1">
      <x:c r="A21" s="4"/>
      <x:c r="B21" s="4"/>
      <x:c r="C21" s="4"/>
      <x:c r="D21" s="4"/>
      <x:c r="E21" s="4"/>
      <x:c r="F21" s="4"/>
      <x:c r="G21" s="4"/>
      <x:c r="H21" s="4"/>
      <x:c r="I21" s="4"/>
      <x:c r="J21" s="4"/>
      <x:c r="K21" s="4"/>
      <x:c r="L21" s="4"/>
    </x:row>
    <x:row r="22" ht="18" customHeight="1">
      <x:c r="A22" s="4"/>
      <x:c r="B22" s="4"/>
      <x:c r="C22" s="4"/>
      <x:c r="D22" s="4"/>
      <x:c r="E22" s="4"/>
      <x:c r="F22" s="4"/>
      <x:c r="G22" s="4"/>
      <x:c r="H22" s="4"/>
      <x:c r="I22" s="4"/>
      <x:c r="J22" s="4"/>
      <x:c r="K22" s="4"/>
      <x:c r="L22" s="4"/>
    </x:row>
    <x:row r="23" ht="18" customHeight="1">
      <x:c r="A23" s="4"/>
      <x:c r="B23" s="4"/>
      <x:c r="C23" s="4"/>
      <x:c r="D23" s="4"/>
      <x:c r="E23" s="4"/>
      <x:c r="F23" s="4"/>
      <x:c r="G23" s="4"/>
      <x:c r="H23" s="4"/>
      <x:c r="I23" s="4"/>
      <x:c r="J23" s="4"/>
      <x:c r="K23" s="4"/>
      <x:c r="L23" s="4"/>
    </x:row>
    <x:row r="24" ht="18" customHeight="1">
      <x:c r="A24" s="4"/>
      <x:c r="B24" s="4"/>
      <x:c r="C24" s="4"/>
      <x:c r="D24" s="4"/>
      <x:c r="E24" s="4"/>
      <x:c r="F24" s="4"/>
      <x:c r="G24" s="4"/>
      <x:c r="H24" s="4"/>
      <x:c r="I24" s="4"/>
      <x:c r="J24" s="4"/>
      <x:c r="K24" s="4"/>
      <x:c r="L24" s="4"/>
    </x:row>
    <x:row r="25" ht="18" customHeight="1">
      <x:c r="A25" s="4"/>
      <x:c r="B25" s="4"/>
      <x:c r="C25" s="4"/>
      <x:c r="D25" s="4"/>
      <x:c r="E25" s="4"/>
      <x:c r="F25" s="4"/>
      <x:c r="G25" s="4"/>
      <x:c r="H25" s="4"/>
      <x:c r="I25" s="4"/>
      <x:c r="J25" s="4"/>
      <x:c r="K25" s="4"/>
      <x:c r="L25" s="4"/>
    </x:row>
    <x:row r="26" ht="18" customHeight="1">
      <x:c r="A26" s="4"/>
      <x:c r="B26" s="4"/>
      <x:c r="C26" s="4"/>
      <x:c r="D26" s="4"/>
      <x:c r="E26" s="4"/>
      <x:c r="F26" s="4"/>
      <x:c r="G26" s="4"/>
      <x:c r="H26" s="4"/>
      <x:c r="I26" s="4"/>
      <x:c r="J26" s="4"/>
      <x:c r="K26" s="4"/>
      <x:c r="L26" s="4"/>
    </x:row>
    <x:row r="27" ht="18" customHeight="1">
      <x:c r="A27" s="4"/>
      <x:c r="B27" s="4"/>
      <x:c r="C27" s="4"/>
      <x:c r="D27" s="4"/>
      <x:c r="E27" s="4"/>
      <x:c r="F27" s="4"/>
      <x:c r="G27" s="4"/>
      <x:c r="H27" s="4"/>
      <x:c r="I27" s="4"/>
      <x:c r="J27" s="4"/>
      <x:c r="K27" s="4"/>
      <x:c r="L27" s="4"/>
    </x:row>
    <x:row r="28" ht="18" customHeight="1">
      <x:c r="A28" s="4"/>
      <x:c r="B28" s="4"/>
      <x:c r="C28" s="4"/>
      <x:c r="D28" s="4"/>
      <x:c r="E28" s="4"/>
      <x:c r="F28" s="4"/>
      <x:c r="G28" s="4"/>
      <x:c r="H28" s="4"/>
      <x:c r="I28" s="4"/>
      <x:c r="J28" s="4"/>
      <x:c r="K28" s="4"/>
      <x:c r="L28" s="4"/>
    </x:row>
    <x:row r="29" ht="18" customHeight="1">
      <x:c r="A29" s="4"/>
      <x:c r="B29" s="4"/>
      <x:c r="C29" s="4"/>
      <x:c r="D29" s="4"/>
      <x:c r="E29" s="4"/>
      <x:c r="F29" s="4"/>
      <x:c r="G29" s="4"/>
      <x:c r="H29" s="4"/>
      <x:c r="I29" s="4"/>
      <x:c r="J29" s="4"/>
      <x:c r="K29" s="4"/>
      <x:c r="L29" s="4"/>
    </x:row>
    <x:row r="30" ht="18" customHeight="1">
      <x:c r="A30" s="4"/>
      <x:c r="B30" s="4"/>
      <x:c r="C30" s="4"/>
      <x:c r="D30" s="4"/>
      <x:c r="E30" s="4"/>
      <x:c r="F30" s="4"/>
      <x:c r="G30" s="4"/>
      <x:c r="H30" s="4"/>
      <x:c r="I30" s="4"/>
      <x:c r="J30" s="4"/>
      <x:c r="K30" s="4"/>
      <x:c r="L30" s="4"/>
    </x:row>
    <x:row r="31" ht="18" customHeight="1">
      <x:c r="A31" s="4"/>
      <x:c r="B31" s="4"/>
      <x:c r="C31" s="4"/>
      <x:c r="D31" s="4"/>
      <x:c r="E31" s="4"/>
      <x:c r="F31" s="4"/>
      <x:c r="G31" s="4"/>
      <x:c r="H31" s="4"/>
      <x:c r="I31" s="4"/>
      <x:c r="J31" s="4"/>
      <x:c r="K31" s="4"/>
      <x:c r="L31" s="4"/>
    </x:row>
    <x:row r="32" ht="18" customHeight="1">
      <x:c r="A32" s="4"/>
      <x:c r="B32" s="4"/>
      <x:c r="C32" s="4"/>
      <x:c r="D32" s="4"/>
      <x:c r="E32" s="4"/>
      <x:c r="F32" s="4"/>
      <x:c r="G32" s="4"/>
      <x:c r="H32" s="4"/>
      <x:c r="I32" s="4"/>
      <x:c r="J32" s="4"/>
      <x:c r="K32" s="4"/>
      <x:c r="L32" s="4"/>
    </x:row>
    <x:row r="33" ht="18" customHeight="1">
      <x:c r="A33" s="4"/>
      <x:c r="B33" s="4"/>
      <x:c r="C33" s="4"/>
      <x:c r="D33" s="4"/>
      <x:c r="E33" s="4"/>
      <x:c r="F33" s="4"/>
      <x:c r="G33" s="4"/>
      <x:c r="H33" s="4"/>
      <x:c r="I33" s="4"/>
      <x:c r="J33" s="4"/>
      <x:c r="K33" s="4"/>
      <x:c r="L33" s="4"/>
    </x:row>
    <x:row r="34" ht="18" customHeight="1">
      <x:c r="A34" s="4"/>
      <x:c r="B34" s="4"/>
      <x:c r="C34" s="4"/>
      <x:c r="D34" s="4"/>
      <x:c r="E34" s="4"/>
      <x:c r="F34" s="4"/>
      <x:c r="G34" s="4"/>
      <x:c r="H34" s="4"/>
      <x:c r="I34" s="4"/>
      <x:c r="J34" s="4"/>
      <x:c r="K34" s="4"/>
      <x:c r="L34" s="4"/>
    </x:row>
    <x:row r="35" ht="18" customHeight="1">
      <x:c r="A35" s="4"/>
      <x:c r="B35" s="4"/>
      <x:c r="C35" s="4"/>
      <x:c r="D35" s="4"/>
      <x:c r="E35" s="4"/>
      <x:c r="F35" s="4"/>
      <x:c r="G35" s="4"/>
      <x:c r="H35" s="4"/>
      <x:c r="I35" s="4"/>
      <x:c r="J35" s="4"/>
      <x:c r="K35" s="4"/>
      <x:c r="L35" s="4"/>
    </x:row>
    <x:row r="36" ht="18" customHeight="1">
      <x:c r="A36" s="4"/>
      <x:c r="B36" s="4"/>
      <x:c r="C36" s="4"/>
      <x:c r="D36" s="4"/>
      <x:c r="E36" s="4"/>
      <x:c r="F36" s="4"/>
      <x:c r="G36" s="4"/>
      <x:c r="H36" s="4"/>
      <x:c r="I36" s="4"/>
      <x:c r="J36" s="4"/>
      <x:c r="K36" s="4"/>
      <x:c r="L36" s="4"/>
    </x:row>
    <x:row r="37" ht="18" customHeight="1">
      <x:c r="A37" s="4"/>
      <x:c r="B37" s="4"/>
      <x:c r="C37" s="4"/>
      <x:c r="D37" s="4"/>
      <x:c r="E37" s="4"/>
      <x:c r="F37" s="4"/>
      <x:c r="G37" s="4"/>
      <x:c r="H37" s="4"/>
      <x:c r="I37" s="4"/>
      <x:c r="J37" s="4"/>
      <x:c r="K37" s="4"/>
      <x:c r="L37" s="4"/>
    </x:row>
    <x:row r="38" ht="18" customHeight="1">
      <x:c r="A38" s="4"/>
      <x:c r="B38" s="4"/>
      <x:c r="C38" s="4"/>
      <x:c r="D38" s="4"/>
      <x:c r="E38" s="4"/>
      <x:c r="F38" s="4"/>
      <x:c r="G38" s="4"/>
      <x:c r="H38" s="4"/>
      <x:c r="I38" s="4"/>
      <x:c r="J38" s="4"/>
      <x:c r="K38" s="4"/>
      <x:c r="L38" s="4"/>
    </x:row>
    <x:row r="39" ht="18" customHeight="1">
      <x:c r="A39" s="4"/>
      <x:c r="B39" s="4"/>
      <x:c r="C39" s="4"/>
      <x:c r="D39" s="4"/>
      <x:c r="E39" s="4"/>
      <x:c r="F39" s="4"/>
      <x:c r="G39" s="4"/>
      <x:c r="H39" s="4"/>
      <x:c r="I39" s="4"/>
      <x:c r="J39" s="4"/>
      <x:c r="K39" s="4"/>
      <x:c r="L39" s="4"/>
    </x:row>
    <x:row r="40" ht="18" customHeight="1">
      <x:c r="A40" s="4"/>
      <x:c r="B40" s="4"/>
      <x:c r="C40" s="4"/>
      <x:c r="D40" s="4"/>
      <x:c r="E40" s="4"/>
      <x:c r="F40" s="4"/>
      <x:c r="G40" s="4"/>
      <x:c r="H40" s="4"/>
      <x:c r="I40" s="4"/>
      <x:c r="J40" s="4"/>
      <x:c r="K40" s="4"/>
      <x:c r="L40" s="4"/>
    </x:row>
    <x:row r="41" ht="18" customHeight="1">
      <x:c r="A41" s="4"/>
      <x:c r="B41" s="4"/>
      <x:c r="C41" s="4"/>
      <x:c r="D41" s="4"/>
      <x:c r="E41" s="4"/>
      <x:c r="F41" s="4"/>
      <x:c r="G41" s="4"/>
      <x:c r="H41" s="4"/>
      <x:c r="I41" s="4"/>
      <x:c r="J41" s="4"/>
      <x:c r="K41" s="4"/>
      <x:c r="L41" s="4"/>
    </x:row>
    <x:row r="42" ht="18" customHeight="1">
      <x:c r="A42" s="4"/>
      <x:c r="B42" s="4"/>
      <x:c r="C42" s="4"/>
      <x:c r="D42" s="4"/>
      <x:c r="E42" s="4"/>
      <x:c r="F42" s="4"/>
      <x:c r="G42" s="4"/>
      <x:c r="H42" s="4"/>
      <x:c r="I42" s="4"/>
      <x:c r="J42" s="4"/>
      <x:c r="K42" s="4"/>
      <x:c r="L42" s="4"/>
    </x:row>
    <x:row r="43" ht="18" customHeight="1">
      <x:c r="A43" s="4"/>
      <x:c r="B43" s="4"/>
      <x:c r="C43" s="4"/>
      <x:c r="D43" s="4"/>
      <x:c r="E43" s="4"/>
      <x:c r="F43" s="4"/>
      <x:c r="G43" s="4"/>
      <x:c r="H43" s="4"/>
      <x:c r="I43" s="4"/>
      <x:c r="J43" s="4"/>
      <x:c r="K43" s="4"/>
      <x:c r="L43" s="4"/>
    </x:row>
    <x:row r="44" ht="18" customHeight="1">
      <x:c r="A44" s="30" t="str">
        <x:v>RECOMMENDED LIQUIDITY DISCIPLINE: ring-fence approximately ₹1–1.5 lakh for a base-case post-launch test, not just the mechanical minimum. This is a proposal, not spending authority. Pause/reposition when the downside evidence appears; do not fund three years of losses mechanically. The strong case requires substantial reinvestment and successful international / organic acquisition.</x:v>
      </x:c>
      <x:c r="B44" s="30"/>
      <x:c r="C44" s="30"/>
      <x:c r="D44" s="30"/>
      <x:c r="E44" s="30"/>
      <x:c r="F44" s="30"/>
      <x:c r="G44" s="30"/>
      <x:c r="H44" s="30"/>
      <x:c r="I44" s="30"/>
      <x:c r="J44" s="30"/>
      <x:c r="K44" s="30"/>
      <x:c r="L44" s="30"/>
    </x:row>
    <x:row r="45" ht="18" customHeight="1">
      <x:c r="A45" s="30"/>
      <x:c r="B45" s="30"/>
      <x:c r="C45" s="30"/>
      <x:c r="D45" s="30"/>
      <x:c r="E45" s="30"/>
      <x:c r="F45" s="30"/>
      <x:c r="G45" s="30"/>
      <x:c r="H45" s="30"/>
      <x:c r="I45" s="30"/>
      <x:c r="J45" s="30"/>
      <x:c r="K45" s="30"/>
      <x:c r="L45" s="30"/>
    </x:row>
    <x:row r="46" ht="18" customHeight="1">
      <x:c r="A46" s="30"/>
      <x:c r="B46" s="30"/>
      <x:c r="C46" s="30"/>
      <x:c r="D46" s="30"/>
      <x:c r="E46" s="30"/>
      <x:c r="F46" s="30"/>
      <x:c r="G46" s="30"/>
      <x:c r="H46" s="30"/>
      <x:c r="I46" s="30"/>
      <x:c r="J46" s="30"/>
      <x:c r="K46" s="30"/>
      <x:c r="L46" s="30"/>
    </x:row>
    <x:row r="47" ht="18" customHeight="1">
      <x:c r="A47" s="4"/>
      <x:c r="B47" s="4"/>
      <x:c r="C47" s="4"/>
      <x:c r="D47" s="4"/>
      <x:c r="E47" s="4"/>
      <x:c r="F47" s="4"/>
      <x:c r="G47" s="4"/>
      <x:c r="H47" s="4"/>
      <x:c r="I47" s="4"/>
      <x:c r="J47" s="4"/>
      <x:c r="K47" s="4"/>
      <x:c r="L47" s="4"/>
    </x:row>
    <x:row r="48" ht="18" customHeight="1">
      <x:c r="A48" s="4"/>
      <x:c r="B48" s="4"/>
      <x:c r="C48" s="4"/>
      <x:c r="D48" s="4"/>
      <x:c r="E48" s="4"/>
      <x:c r="F48" s="4"/>
      <x:c r="G48" s="4"/>
      <x:c r="H48" s="4"/>
      <x:c r="I48" s="4"/>
      <x:c r="J48" s="4"/>
      <x:c r="K48" s="4"/>
      <x:c r="L48" s="4"/>
    </x:row>
    <x:row r="49" ht="18" customHeight="1">
      <x:c r="A49" s="4"/>
      <x:c r="B49" s="4"/>
      <x:c r="C49" s="4"/>
      <x:c r="D49" s="4"/>
      <x:c r="E49" s="4"/>
      <x:c r="F49" s="4"/>
      <x:c r="G49" s="4"/>
      <x:c r="H49" s="4"/>
      <x:c r="I49" s="4"/>
      <x:c r="J49" s="4"/>
      <x:c r="K49" s="4"/>
      <x:c r="L49" s="4"/>
    </x:row>
    <x:row r="50" ht="18" customHeight="1">
      <x:c r="A50" s="4"/>
      <x:c r="B50" s="4"/>
      <x:c r="C50" s="4"/>
      <x:c r="D50" s="4"/>
      <x:c r="E50" s="4"/>
      <x:c r="F50" s="4"/>
      <x:c r="G50" s="4"/>
      <x:c r="H50" s="4"/>
      <x:c r="I50" s="4"/>
      <x:c r="J50" s="4"/>
      <x:c r="K50" s="4"/>
      <x:c r="L50" s="4"/>
    </x:row>
    <x:row r="51" ht="18" customHeight="1">
      <x:c r="A51" s="4"/>
      <x:c r="B51" s="4"/>
      <x:c r="C51" s="4"/>
      <x:c r="D51" s="4"/>
      <x:c r="E51" s="4"/>
      <x:c r="F51" s="4"/>
      <x:c r="G51" s="4"/>
      <x:c r="H51" s="4"/>
      <x:c r="I51" s="4"/>
      <x:c r="J51" s="4"/>
      <x:c r="K51" s="4"/>
      <x:c r="L51" s="4"/>
    </x:row>
    <x:row r="52" ht="18" customHeight="1">
      <x:c r="A52" s="4"/>
      <x:c r="B52" s="4"/>
      <x:c r="C52" s="4"/>
      <x:c r="D52" s="4"/>
      <x:c r="E52" s="4"/>
      <x:c r="F52" s="4"/>
      <x:c r="G52" s="4"/>
      <x:c r="H52" s="4"/>
      <x:c r="I52" s="4"/>
      <x:c r="J52" s="4"/>
      <x:c r="K52" s="4"/>
      <x:c r="L52" s="4"/>
    </x:row>
    <x:row r="53" ht="18" customHeight="1">
      <x:c r="A53" s="4"/>
      <x:c r="B53" s="4"/>
      <x:c r="C53" s="4"/>
      <x:c r="D53" s="4"/>
      <x:c r="E53" s="4"/>
      <x:c r="F53" s="4"/>
      <x:c r="G53" s="4"/>
      <x:c r="H53" s="4"/>
      <x:c r="I53" s="4"/>
      <x:c r="J53" s="4"/>
      <x:c r="K53" s="4"/>
      <x:c r="L53" s="4"/>
    </x:row>
    <x:row r="54" ht="18" customHeight="1">
      <x:c r="A54" s="4"/>
      <x:c r="B54" s="4"/>
      <x:c r="C54" s="4"/>
      <x:c r="D54" s="4"/>
      <x:c r="E54" s="4"/>
      <x:c r="F54" s="4"/>
      <x:c r="G54" s="4"/>
      <x:c r="H54" s="4"/>
      <x:c r="I54" s="4"/>
      <x:c r="J54" s="4"/>
      <x:c r="K54" s="4"/>
      <x:c r="L54" s="4"/>
    </x:row>
    <x:row r="55" ht="18" customHeight="1">
      <x:c r="A55" s="4"/>
      <x:c r="B55" s="4"/>
      <x:c r="C55" s="4"/>
      <x:c r="D55" s="4"/>
      <x:c r="E55" s="4"/>
      <x:c r="F55" s="4"/>
      <x:c r="G55" s="4"/>
      <x:c r="H55" s="4"/>
      <x:c r="I55" s="4"/>
      <x:c r="J55" s="4"/>
      <x:c r="K55" s="4"/>
      <x:c r="L55" s="4"/>
    </x:row>
    <x:row r="56" ht="18" customHeight="1">
      <x:c r="A56" s="4"/>
      <x:c r="B56" s="4"/>
      <x:c r="C56" s="4"/>
      <x:c r="D56" s="4"/>
      <x:c r="E56" s="4"/>
      <x:c r="F56" s="4"/>
      <x:c r="G56" s="4"/>
      <x:c r="H56" s="4"/>
      <x:c r="I56" s="4"/>
      <x:c r="J56" s="4"/>
      <x:c r="K56" s="4"/>
      <x:c r="L56" s="4"/>
    </x:row>
    <x:row r="57" ht="18" customHeight="1">
      <x:c r="A57" s="4"/>
      <x:c r="B57" s="4"/>
      <x:c r="C57" s="4"/>
      <x:c r="D57" s="4"/>
      <x:c r="E57" s="4"/>
      <x:c r="F57" s="4"/>
      <x:c r="G57" s="4"/>
      <x:c r="H57" s="4"/>
      <x:c r="I57" s="4"/>
      <x:c r="J57" s="4"/>
      <x:c r="K57" s="4"/>
      <x:c r="L57" s="4"/>
    </x:row>
    <x:row r="58" ht="18" customHeight="1">
      <x:c r="A58" s="4"/>
      <x:c r="B58" s="4"/>
      <x:c r="C58" s="4"/>
      <x:c r="D58" s="4"/>
      <x:c r="E58" s="4"/>
      <x:c r="F58" s="4"/>
      <x:c r="G58" s="4"/>
      <x:c r="H58" s="4"/>
      <x:c r="I58" s="4"/>
      <x:c r="J58" s="4"/>
      <x:c r="K58" s="4"/>
      <x:c r="L58" s="4"/>
    </x:row>
    <x:row r="59" ht="18" customHeight="1">
      <x:c r="A59" s="4"/>
      <x:c r="B59" s="4"/>
      <x:c r="C59" s="4"/>
      <x:c r="D59" s="4"/>
      <x:c r="E59" s="4"/>
      <x:c r="F59" s="4"/>
      <x:c r="G59" s="4"/>
      <x:c r="H59" s="4"/>
      <x:c r="I59" s="4"/>
      <x:c r="J59" s="4"/>
      <x:c r="K59" s="4"/>
      <x:c r="L59" s="4"/>
    </x:row>
    <x:row r="60" ht="18" customHeight="1">
      <x:c r="A60" s="4"/>
      <x:c r="B60" s="4"/>
      <x:c r="C60" s="4"/>
      <x:c r="D60" s="4"/>
      <x:c r="E60" s="4"/>
      <x:c r="F60" s="4"/>
      <x:c r="G60" s="4"/>
      <x:c r="H60" s="4"/>
      <x:c r="I60" s="4"/>
      <x:c r="J60" s="4"/>
      <x:c r="K60" s="4"/>
      <x:c r="L60" s="4"/>
    </x:row>
    <x:row r="61" ht="18" customHeight="1">
      <x:c r="A61" s="4"/>
      <x:c r="B61" s="4"/>
      <x:c r="C61" s="4"/>
      <x:c r="D61" s="4"/>
      <x:c r="E61" s="4"/>
      <x:c r="F61" s="4"/>
      <x:c r="G61" s="4"/>
      <x:c r="H61" s="4"/>
      <x:c r="I61" s="4"/>
      <x:c r="J61" s="4"/>
      <x:c r="K61" s="4"/>
      <x:c r="L61" s="4"/>
    </x:row>
    <x:row r="62" ht="18" customHeight="1">
      <x:c r="A62" s="4"/>
      <x:c r="B62" s="4"/>
      <x:c r="C62" s="4"/>
      <x:c r="D62" s="4"/>
      <x:c r="E62" s="4"/>
      <x:c r="F62" s="4"/>
      <x:c r="G62" s="4"/>
      <x:c r="H62" s="4"/>
      <x:c r="I62" s="4"/>
      <x:c r="J62" s="4"/>
      <x:c r="K62" s="4"/>
      <x:c r="L62" s="4"/>
    </x:row>
    <x:row r="63" ht="18" customHeight="1">
      <x:c r="A63" s="4"/>
      <x:c r="B63" s="4"/>
      <x:c r="C63" s="4"/>
      <x:c r="D63" s="4"/>
      <x:c r="E63" s="4"/>
      <x:c r="F63" s="4"/>
      <x:c r="G63" s="4"/>
      <x:c r="H63" s="4"/>
      <x:c r="I63" s="4"/>
      <x:c r="J63" s="4"/>
      <x:c r="K63" s="4"/>
      <x:c r="L63" s="4"/>
    </x:row>
    <x:row r="64" ht="18" customHeight="1">
      <x:c r="A64" s="4" t="str">
        <x:v>Month</x:v>
      </x:c>
      <x:c r="B64" s="4" t="str">
        <x:v>Downside profit (₹ lakh)</x:v>
      </x:c>
      <x:c r="C64" s="4" t="str">
        <x:v>Base profit (₹ lakh)</x:v>
      </x:c>
      <x:c r="D64" s="4" t="str">
        <x:v>Strong profit (₹ lakh)</x:v>
      </x:c>
      <x:c r="E64" s="4" t="str">
        <x:v>Downside paid</x:v>
      </x:c>
      <x:c r="F64" s="4" t="str">
        <x:v>Base paid</x:v>
      </x:c>
      <x:c r="G64" s="4" t="str">
        <x:v>Strong paid</x:v>
      </x:c>
      <x:c r="H64" s="4"/>
      <x:c r="I64" s="4"/>
      <x:c r="J64" s="4"/>
      <x:c r="K64" s="4"/>
      <x:c r="L64" s="4"/>
    </x:row>
    <x:row r="65" ht="18" customHeight="1">
      <x:c r="A65" s="4" t="n">
        <x:v>1</x:v>
      </x:c>
      <x:c r="B65" s="4" t="n">
        <x:f>'Monthly Downside'!B56/'Commercial Inputs'!$B$45</x:f>
        <x:v>-0.3829279707143911</x:v>
      </x:c>
      <x:c r="C65" s="4" t="n">
        <x:f>'Monthly Base'!B56/'Commercial Inputs'!$B$45</x:f>
        <x:v>-0.4255624328385593</x:v>
      </x:c>
      <x:c r="D65" s="4" t="n">
        <x:f>'Monthly Strong'!B56/'Commercial Inputs'!$B$45</x:f>
        <x:v>-0.5110417001280603</x:v>
      </x:c>
      <x:c r="E65" s="4" t="n">
        <x:f>'Monthly Downside'!B34</x:f>
        <x:v>4.011111111111111</x:v>
      </x:c>
      <x:c r="F65" s="4" t="n">
        <x:f>'Monthly Base'!B34</x:f>
        <x:v>22.31</x:v>
      </x:c>
      <x:c r="G65" s="4" t="n">
        <x:f>'Monthly Strong'!B34</x:f>
        <x:v>45.73333333333333</x:v>
      </x:c>
      <x:c r="H65" s="4"/>
      <x:c r="I65" s="4"/>
      <x:c r="J65" s="4"/>
      <x:c r="K65" s="4"/>
      <x:c r="L65" s="4"/>
    </x:row>
    <x:row r="66" ht="18" customHeight="1">
      <x:c r="A66" s="4" t="n">
        <x:v>2</x:v>
      </x:c>
      <x:c r="B66" s="4" t="n">
        <x:f>'Monthly Downside'!C56/'Commercial Inputs'!$B$45</x:f>
        <x:v>-0.17674286874833176</x:v>
      </x:c>
      <x:c r="C66" s="4" t="n">
        <x:f>'Monthly Base'!C56/'Commercial Inputs'!$B$45</x:f>
        <x:v>-0.17833734958452452</x:v>
      </x:c>
      <x:c r="D66" s="4" t="n">
        <x:f>'Monthly Strong'!C56/'Commercial Inputs'!$B$45</x:f>
        <x:v>-0.20069373219055667</x:v>
      </x:c>
      <x:c r="E66" s="4" t="n">
        <x:f>'Monthly Downside'!C34</x:f>
        <x:v>7.275495833333332</x:v>
      </x:c>
      <x:c r="F66" s="4" t="n">
        <x:f>'Monthly Base'!C34</x:f>
        <x:v>44.034605</x:v>
      </x:c>
      <x:c r="G66" s="4" t="n">
        <x:f>'Monthly Strong'!C34</x:f>
        <x:v>93.00461333333334</x:v>
      </x:c>
      <x:c r="H66" s="4"/>
      <x:c r="I66" s="4"/>
      <x:c r="J66" s="4"/>
      <x:c r="K66" s="4"/>
      <x:c r="L66" s="4"/>
    </x:row>
    <x:row r="67" ht="18" customHeight="1">
      <x:c r="A67" s="4" t="n">
        <x:v>3</x:v>
      </x:c>
      <x:c r="B67" s="4" t="n">
        <x:f>'Monthly Downside'!D56/'Commercial Inputs'!$B$45</x:f>
        <x:v>-0.17105839466071454</x:v>
      </x:c>
      <x:c r="C67" s="4" t="n">
        <x:f>'Monthly Base'!D56/'Commercial Inputs'!$B$45</x:f>
        <x:v>-0.13055480644881184</x:v>
      </x:c>
      <x:c r="D67" s="4" t="n">
        <x:f>'Monthly Strong'!D56/'Commercial Inputs'!$B$45</x:f>
        <x:v>-0.0847753867839599</x:v>
      </x:c>
      <x:c r="E67" s="4" t="n">
        <x:f>'Monthly Downside'!D34</x:f>
        <x:v>10.357607024305555</x:v>
      </x:c>
      <x:c r="F67" s="4" t="n">
        <x:f>'Monthly Base'!D34</x:f>
        <x:v>66.6477093875</x:v>
      </x:c>
      <x:c r="G67" s="4" t="n">
        <x:f>'Monthly Strong'!D34</x:f>
        <x:v>143.7151288533333</x:v>
      </x:c>
      <x:c r="H67" s="4"/>
      <x:c r="I67" s="4"/>
      <x:c r="J67" s="4"/>
      <x:c r="K67" s="4"/>
      <x:c r="L67" s="4"/>
    </x:row>
    <x:row r="68" ht="18" customHeight="1">
      <x:c r="A68" s="4" t="n">
        <x:v>4</x:v>
      </x:c>
      <x:c r="B68" s="4" t="n">
        <x:f>'Monthly Downside'!E56/'Commercial Inputs'!$B$45</x:f>
        <x:v>-0.16550150260612115</x:v>
      </x:c>
      <x:c r="C68" s="4" t="n">
        <x:f>'Monthly Base'!E56/'Commercial Inputs'!$B$45</x:f>
        <x:v>-0.15514240911406918</x:v>
      </x:c>
      <x:c r="D68" s="4" t="n">
        <x:f>'Monthly Strong'!E56/'Commercial Inputs'!$B$45</x:f>
        <x:v>-0.08825989227647922</x:v>
      </x:c>
      <x:c r="E68" s="4" t="n">
        <x:f>'Monthly Downside'!E34</x:f>
        <x:v>13.403260623996527</x:v>
      </x:c>
      <x:c r="F68" s="4" t="n">
        <x:f>'Monthly Base'!E34</x:f>
        <x:v>98.59168795837</x:v>
      </x:c>
      <x:c r="G68" s="4" t="n">
        <x:f>'Monthly Strong'!E34</x:f>
        <x:v>215.56154424597332</x:v>
      </x:c>
      <x:c r="H68" s="4"/>
      <x:c r="I68" s="4"/>
      <x:c r="J68" s="4"/>
      <x:c r="K68" s="4"/>
      <x:c r="L68" s="4"/>
    </x:row>
    <x:row r="69" ht="18" customHeight="1">
      <x:c r="A69" s="4" t="n">
        <x:v>5</x:v>
      </x:c>
      <x:c r="B69" s="4" t="n">
        <x:f>'Monthly Downside'!F56/'Commercial Inputs'!$B$45</x:f>
        <x:v>-0.1600262725542291</x:v>
      </x:c>
      <x:c r="C69" s="4" t="n">
        <x:f>'Monthly Base'!F56/'Commercial Inputs'!$B$45</x:f>
        <x:v>-0.08494526939743209</x:v>
      </x:c>
      <x:c r="D69" s="4" t="n">
        <x:f>'Monthly Strong'!F56/'Commercial Inputs'!$B$45</x:f>
        <x:v>0.0883294160906534</x:v>
      </x:c>
      <x:c r="E69" s="4" t="n">
        <x:f>'Monthly Downside'!F34</x:f>
        <x:v>16.430756596203782</x:v>
      </x:c>
      <x:c r="F69" s="4" t="n">
        <x:f>'Monthly Base'!F34</x:f>
        <x:v>131.54917089204864</x:v>
      </x:c>
      <x:c r="G69" s="4" t="n">
        <x:f>'Monthly Strong'!F34</x:f>
        <x:v>292.0047710985484</x:v>
      </x:c>
      <x:c r="H69" s="4"/>
      <x:c r="I69" s="4"/>
      <x:c r="J69" s="4"/>
      <x:c r="K69" s="4"/>
      <x:c r="L69" s="4"/>
    </x:row>
    <x:row r="70" ht="18" customHeight="1">
      <x:c r="A70" s="4" t="n">
        <x:v>6</x:v>
      </x:c>
      <x:c r="B70" s="4" t="n">
        <x:f>'Monthly Downside'!G56/'Commercial Inputs'!$B$45</x:f>
        <x:v>-0.15459640106938655</x:v>
      </x:c>
      <x:c r="C70" s="4" t="n">
        <x:f>'Monthly Base'!G56/'Commercial Inputs'!$B$45</x:f>
        <x:v>-0.01188499687928568</x:v>
      </x:c>
      <x:c r="D70" s="4" t="n">
        <x:f>'Monthly Strong'!G56/'Commercial Inputs'!$B$45</x:f>
        <x:v>0.27649430293603755</x:v>
      </x:c>
      <x:c r="E70" s="4" t="n">
        <x:f>'Monthly Downside'!G34</x:f>
        <x:v>19.454657897809327</x:v>
      </x:c>
      <x:c r="F70" s="4" t="n">
        <x:f>'Monthly Base'!G34</x:f>
        <x:v>166.2978574608908</x:v>
      </x:c>
      <x:c r="G70" s="4" t="n">
        <x:f>'Monthly Strong'!G34</x:f>
        <x:v>374.5177241302263</x:v>
      </x:c>
      <x:c r="H70" s="4"/>
      <x:c r="I70" s="4"/>
      <x:c r="J70" s="4"/>
      <x:c r="K70" s="4"/>
      <x:c r="L70" s="4"/>
    </x:row>
    <x:row r="71" ht="18" customHeight="1">
      <x:c r="A71" s="4" t="n">
        <x:v>7</x:v>
      </x:c>
      <x:c r="B71" s="4" t="n">
        <x:f>'Monthly Downside'!H56/'Commercial Inputs'!$B$45</x:f>
        <x:v>-0.08747386497839163</x:v>
      </x:c>
      <x:c r="C71" s="4" t="n">
        <x:f>'Monthly Base'!H56/'Commercial Inputs'!$B$45</x:f>
        <x:v>-0.09749038256930115</x:v>
      </x:c>
      <x:c r="D71" s="4" t="n">
        <x:f>'Monthly Strong'!H56/'Commercial Inputs'!$B$45</x:f>
        <x:v>-0.007280526721879723</x:v>
      </x:c>
      <x:c r="E71" s="4" t="n">
        <x:f>'Monthly Downside'!H34</x:f>
        <x:v>20.375514464749376</x:v>
      </x:c>
      <x:c r="F71" s="4" t="n">
        <x:f>'Monthly Base'!H34</x:f>
        <x:v>220.13776098900038</x:v>
      </x:c>
      <x:c r="G71" s="4" t="n">
        <x:f>'Monthly Strong'!H34</x:f>
        <x:v>513.4376728806956</x:v>
      </x:c>
      <x:c r="H71" s="4"/>
      <x:c r="I71" s="4"/>
      <x:c r="J71" s="4"/>
      <x:c r="K71" s="4"/>
      <x:c r="L71" s="4"/>
    </x:row>
    <x:row r="72" ht="18" customHeight="1">
      <x:c r="A72" s="4" t="n">
        <x:v>8</x:v>
      </x:c>
      <x:c r="B72" s="4" t="n">
        <x:f>'Monthly Downside'!I56/'Commercial Inputs'!$B$45</x:f>
        <x:v>-0.08529811240396591</x:v>
      </x:c>
      <x:c r="C72" s="4" t="n">
        <x:f>'Monthly Base'!I56/'Commercial Inputs'!$B$45</x:f>
        <x:v>0.019958451481335796</x:v>
      </x:c>
      <x:c r="D72" s="4" t="n">
        <x:f>'Monthly Strong'!I56/'Commercial Inputs'!$B$45</x:f>
        <x:v>0.33272834793622097</x:v>
      </x:c>
      <x:c r="E72" s="4" t="n">
        <x:f>'Monthly Downside'!I34</x:f>
        <x:v>21.73686125141913</x:v>
      </x:c>
      <x:c r="F72" s="4" t="n">
        <x:f>'Monthly Base'!I34</x:f>
        <x:v>274.84439208762745</x:v>
      </x:c>
      <x:c r="G72" s="4" t="n">
        <x:f>'Monthly Strong'!I34</x:f>
        <x:v>657.9223604816182</x:v>
      </x:c>
      <x:c r="H72" s="4"/>
      <x:c r="I72" s="4"/>
      <x:c r="J72" s="4"/>
      <x:c r="K72" s="4"/>
      <x:c r="L72" s="4"/>
    </x:row>
    <x:row r="73" ht="18" customHeight="1">
      <x:c r="A73" s="4" t="n">
        <x:v>9</x:v>
      </x:c>
      <x:c r="B73" s="4" t="n">
        <x:f>'Monthly Downside'!J56/'Commercial Inputs'!$B$45</x:f>
        <x:v>-0.08278742906987158</x:v>
      </x:c>
      <x:c r="C73" s="4" t="n">
        <x:f>'Monthly Base'!J56/'Commercial Inputs'!$B$45</x:f>
        <x:v>0.14082808517364437</x:v>
      </x:c>
      <x:c r="D73" s="4" t="n">
        <x:f>'Monthly Strong'!J56/'Commercial Inputs'!$B$45</x:f>
        <x:v>0.6879899953591666</x:v>
      </x:c>
      <x:c r="E73" s="4" t="n">
        <x:f>'Monthly Downside'!J34</x:f>
        <x:v>23.244172689611247</x:v>
      </x:c>
      <x:c r="F73" s="4" t="n">
        <x:f>'Monthly Base'!J34</x:f>
        <x:v>331.8848414734255</x:v>
      </x:c>
      <x:c r="G73" s="4" t="n">
        <x:f>'Monthly Strong'!J34</x:f>
        <x:v>811.0024272690919</x:v>
      </x:c>
      <x:c r="H73" s="4"/>
      <x:c r="I73" s="4"/>
      <x:c r="J73" s="4"/>
      <x:c r="K73" s="4"/>
      <x:c r="L73" s="4"/>
    </x:row>
    <x:row r="74" ht="18" customHeight="1">
      <x:c r="A74" s="4" t="n">
        <x:v>10</x:v>
      </x:c>
      <x:c r="B74" s="4" t="n">
        <x:f>'Monthly Downside'!K56/'Commercial Inputs'!$B$45</x:f>
        <x:v>-0.08012614469436259</x:v>
      </x:c>
      <x:c r="C74" s="4" t="n">
        <x:f>'Monthly Base'!K56/'Commercial Inputs'!$B$45</x:f>
        <x:v>0.26730383830450827</x:v>
      </x:c>
      <x:c r="D74" s="4" t="n">
        <x:f>'Monthly Strong'!K56/'Commercial Inputs'!$B$45</x:f>
        <x:v>1.0650253770157965</x:v>
      </x:c>
      <x:c r="E74" s="4" t="n">
        <x:f>'Monthly Downside'!K34</x:f>
        <x:v>24.82605103320558</x:v>
      </x:c>
      <x:c r="F74" s="4" t="n">
        <x:f>'Monthly Base'!K34</x:f>
        <x:v>392.078059929634</x:v>
      </x:c>
      <x:c r="G74" s="4" t="n">
        <x:f>'Monthly Strong'!K34</x:f>
        <x:v>975.1115639076228</x:v>
      </x:c>
      <x:c r="H74" s="4"/>
      <x:c r="I74" s="4"/>
      <x:c r="J74" s="4"/>
      <x:c r="K74" s="4"/>
      <x:c r="L74" s="4"/>
    </x:row>
    <x:row r="75" ht="18" customHeight="1">
      <x:c r="A75" s="4" t="n">
        <x:v>11</x:v>
      </x:c>
      <x:c r="B75" s="4" t="n">
        <x:f>'Monthly Downside'!L56/'Commercial Inputs'!$B$45</x:f>
        <x:v>-0.0774405285161034</x:v>
      </x:c>
      <x:c r="C75" s="4" t="n">
        <x:f>'Monthly Base'!L56/'Commercial Inputs'!$B$45</x:f>
        <x:v>0.40043553779427543</x:v>
      </x:c>
      <x:c r="D75" s="4" t="n">
        <x:f>'Monthly Strong'!L56/'Commercial Inputs'!$B$45</x:f>
        <x:v>1.4680315364173073</x:v>
      </x:c>
      <x:c r="E75" s="4" t="n">
        <x:f>'Monthly Downside'!L34</x:f>
        <x:v>26.47824747810552</x:v>
      </x:c>
      <x:c r="F75" s="4" t="n">
        <x:f>'Monthly Base'!L34</x:f>
        <x:v>455.9168769676037</x:v>
      </x:c>
      <x:c r="G75" s="4" t="n">
        <x:f>'Monthly Strong'!L34</x:f>
        <x:v>1152.1558178145829</x:v>
      </x:c>
      <x:c r="H75" s="4"/>
      <x:c r="I75" s="4"/>
      <x:c r="J75" s="4"/>
      <x:c r="K75" s="4"/>
      <x:c r="L75" s="4"/>
    </x:row>
    <x:row r="76" ht="18" customHeight="1">
      <x:c r="A76" s="4" t="n">
        <x:v>12</x:v>
      </x:c>
      <x:c r="B76" s="4" t="n">
        <x:f>'Monthly Downside'!M56/'Commercial Inputs'!$B$45</x:f>
        <x:v>-0.074643871077327</x:v>
      </x:c>
      <x:c r="C76" s="4" t="n">
        <x:f>'Monthly Base'!M56/'Commercial Inputs'!$B$45</x:f>
        <x:v>0.4413437834388926</x:v>
      </x:c>
      <x:c r="D76" s="4" t="n">
        <x:f>'Monthly Strong'!M56/'Commercial Inputs'!$B$45</x:f>
        <x:v>1.901725217563192</x:v>
      </x:c>
      <x:c r="E76" s="4" t="n">
        <x:f>'Monthly Downside'!M34</x:f>
        <x:v>28.197819120379723</x:v>
      </x:c>
      <x:c r="F76" s="4" t="n">
        <x:f>'Monthly Base'!M34</x:f>
        <x:v>523.9364992466149</x:v>
      </x:c>
      <x:c r="G76" s="4" t="n">
        <x:f>'Monthly Strong'!M34</x:f>
        <x:v>1344.2974444610638</x:v>
      </x:c>
      <x:c r="H76" s="4"/>
      <x:c r="I76" s="4"/>
      <x:c r="J76" s="4"/>
      <x:c r="K76" s="4"/>
      <x:c r="L76" s="4"/>
    </x:row>
    <x:row r="77" ht="18" customHeight="1">
      <x:c r="A77" s="4" t="n">
        <x:v>13</x:v>
      </x:c>
      <x:c r="B77" s="4" t="n">
        <x:f>'Monthly Downside'!N56/'Commercial Inputs'!$B$45</x:f>
        <x:v>-0.07659653403077016</x:v>
      </x:c>
      <x:c r="C77" s="4" t="n">
        <x:f>'Monthly Base'!N56/'Commercial Inputs'!$B$45</x:f>
        <x:v>0.1365452291875766</x:v>
      </x:c>
      <x:c r="D77" s="4" t="n">
        <x:f>'Monthly Strong'!N56/'Commercial Inputs'!$B$45</x:f>
        <x:v>1.2982992025272775</x:v>
      </x:c>
      <x:c r="E77" s="4" t="n">
        <x:f>'Monthly Downside'!N34</x:f>
        <x:v>27.84470091621563</x:v>
      </x:c>
      <x:c r="F77" s="4" t="n">
        <x:f>'Monthly Base'!N34</x:f>
        <x:v>609.2887367044453</x:v>
      </x:c>
      <x:c r="G77" s="4" t="n">
        <x:f>'Monthly Strong'!N34</x:f>
        <x:v>1596.2596690090704</x:v>
      </x:c>
      <x:c r="H77" s="4"/>
      <x:c r="I77" s="4"/>
      <x:c r="J77" s="4"/>
      <x:c r="K77" s="4"/>
      <x:c r="L77" s="4"/>
    </x:row>
    <x:row r="78" ht="18" customHeight="1">
      <x:c r="A78" s="4" t="n">
        <x:v>14</x:v>
      </x:c>
      <x:c r="B78" s="4" t="n">
        <x:f>'Monthly Downside'!O56/'Commercial Inputs'!$B$45</x:f>
        <x:v>-0.07726575185201864</x:v>
      </x:c>
      <x:c r="C78" s="4" t="n">
        <x:f>'Monthly Base'!O56/'Commercial Inputs'!$B$45</x:f>
        <x:v>0.31924274500628175</x:v>
      </x:c>
      <x:c r="D78" s="4" t="n">
        <x:f>'Monthly Strong'!O56/'Commercial Inputs'!$B$45</x:f>
        <x:v>1.9043845722295758</x:v>
      </x:c>
      <x:c r="E78" s="4" t="n">
        <x:f>'Monthly Downside'!O34</x:f>
        <x:v>27.503585080752263</x:v>
      </x:c>
      <x:c r="F78" s="4" t="n">
        <x:f>'Monthly Base'!O34</x:f>
        <x:v>694.1392338159086</x:v>
      </x:c>
      <x:c r="G78" s="4" t="n">
        <x:f>'Monthly Strong'!O34</x:f>
        <x:v>1857.4640515947237</x:v>
      </x:c>
      <x:c r="H78" s="4"/>
      <x:c r="I78" s="4"/>
      <x:c r="J78" s="4"/>
      <x:c r="K78" s="4"/>
      <x:c r="L78" s="4"/>
    </x:row>
    <x:row r="79" ht="18" customHeight="1">
      <x:c r="A79" s="4" t="n">
        <x:v>15</x:v>
      </x:c>
      <x:c r="B79" s="4" t="n">
        <x:f>'Monthly Downside'!P56/'Commercial Inputs'!$B$45</x:f>
        <x:v>-0.07791351527410564</x:v>
      </x:c>
      <x:c r="C79" s="4" t="n">
        <x:f>'Monthly Base'!P56/'Commercial Inputs'!$B$45</x:f>
        <x:v>0.5029579056517836</x:v>
      </x:c>
      <x:c r="D79" s="4" t="n">
        <x:f>'Monthly Strong'!P56/'Commercial Inputs'!$B$45</x:f>
        <x:v>2.53383269797837</x:v>
      </x:c>
      <x:c r="E79" s="4" t="n">
        <x:f>'Monthly Downside'!P34</x:f>
        <x:v>27.1735173316021</x:v>
      </x:c>
      <x:c r="F79" s="4" t="n">
        <x:f>'Monthly Base'!P34</x:f>
        <x:v>780.4581956382967</x:v>
      </x:c>
      <x:c r="G79" s="4" t="n">
        <x:f>'Monthly Strong'!P34</x:f>
        <x:v>2131.8956975948163</x:v>
      </x:c>
      <x:c r="H79" s="4"/>
      <x:c r="I79" s="4"/>
      <x:c r="J79" s="4"/>
      <x:c r="K79" s="4"/>
      <x:c r="L79" s="4"/>
    </x:row>
    <x:row r="80" ht="18" customHeight="1">
      <x:c r="A80" s="4" t="n">
        <x:v>16</x:v>
      </x:c>
      <x:c r="B80" s="4" t="n">
        <x:f>'Monthly Downside'!Q56/'Commercial Inputs'!$B$45</x:f>
        <x:v>-0.07854319322206901</x:v>
      </x:c>
      <x:c r="C80" s="4" t="n">
        <x:f>'Monthly Base'!Q56/'Commercial Inputs'!$B$45</x:f>
        <x:v>0.6757182799637271</x:v>
      </x:c>
      <x:c r="D80" s="4" t="n">
        <x:f>'Monthly Strong'!Q56/'Commercial Inputs'!$B$45</x:f>
        <x:v>3.156281277959753</x:v>
      </x:c>
      <x:c r="E80" s="4" t="n">
        <x:f>'Monthly Downside'!Q34</x:f>
        <x:v>26.853095896568437</x:v>
      </x:c>
      <x:c r="F80" s="4" t="n">
        <x:f>'Monthly Base'!Q34</x:f>
        <x:v>864.979308274264</x:v>
      </x:c>
      <x:c r="G80" s="4" t="n">
        <x:f>'Monthly Strong'!Q34</x:f>
        <x:v>2415.281497340915</x:v>
      </x:c>
      <x:c r="H80" s="4"/>
      <x:c r="I80" s="4"/>
      <x:c r="J80" s="4"/>
      <x:c r="K80" s="4"/>
      <x:c r="L80" s="4"/>
    </x:row>
    <x:row r="81" ht="18" customHeight="1">
      <x:c r="A81" s="4" t="n">
        <x:v>17</x:v>
      </x:c>
      <x:c r="B81" s="4" t="n">
        <x:f>'Monthly Downside'!R56/'Commercial Inputs'!$B$45</x:f>
        <x:v>-0.07915751562340799</x:v>
      </x:c>
      <x:c r="C81" s="4" t="n">
        <x:f>'Monthly Base'!R56/'Commercial Inputs'!$B$45</x:f>
        <x:v>0.858295860250736</x:v>
      </x:c>
      <x:c r="D81" s="4" t="n">
        <x:f>'Monthly Strong'!R56/'Commercial Inputs'!$B$45</x:f>
        <x:v>3.8360400822362104</x:v>
      </x:c>
      <x:c r="E81" s="4" t="n">
        <x:f>'Monthly Downside'!R34</x:f>
        <x:v>26.541172006061963</x:v>
      </x:c>
      <x:c r="F81" s="4" t="n">
        <x:f>'Monthly Base'!R34</x:f>
        <x:v>952.1138212951212</x:v>
      </x:c>
      <x:c r="G81" s="4" t="n">
        <x:f>'Monthly Strong'!R34</x:f>
        <x:v>2717.125780533566</x:v>
      </x:c>
      <x:c r="H81" s="4"/>
      <x:c r="I81" s="4"/>
      <x:c r="J81" s="4"/>
      <x:c r="K81" s="4"/>
      <x:c r="L81" s="4"/>
    </x:row>
    <x:row r="82" ht="18" customHeight="1">
      <x:c r="A82" s="4" t="n">
        <x:v>18</x:v>
      </x:c>
      <x:c r="B82" s="4" t="n">
        <x:f>'Monthly Downside'!S56/'Commercial Inputs'!$B$45</x:f>
        <x:v>-0.07975872072678232</x:v>
      </x:c>
      <x:c r="C82" s="4" t="n">
        <x:f>'Monthly Base'!S56/'Commercial Inputs'!$B$45</x:f>
        <x:v>1.045742372144313</x:v>
      </x:c>
      <x:c r="D82" s="4" t="n">
        <x:f>'Monthly Strong'!S56/'Commercial Inputs'!$B$45</x:f>
        <x:v>4.557328569038428</x:v>
      </x:c>
      <x:c r="E82" s="4" t="n">
        <x:f>'Monthly Downside'!S34</x:f>
        <x:v>26.236790516159196</x:v>
      </x:c>
      <x:c r="F82" s="4" t="n">
        <x:f>'Monthly Base'!S34</x:f>
        <x:v>1042.1425503936748</x:v>
      </x:c>
      <x:c r="G82" s="4" t="n">
        <x:f>'Monthly Strong'!S34</x:f>
        <x:v>3039.8422598707566</x:v>
      </x:c>
      <x:c r="H82" s="4"/>
      <x:c r="I82" s="4"/>
      <x:c r="J82" s="4"/>
      <x:c r="K82" s="4"/>
      <x:c r="L82" s="4"/>
    </x:row>
    <x:row r="83" ht="18" customHeight="1">
      <x:c r="A83" s="4" t="n">
        <x:v>19</x:v>
      </x:c>
      <x:c r="B83" s="4" t="n">
        <x:f>'Monthly Downside'!T56/'Commercial Inputs'!$B$45</x:f>
        <x:v>-0.07779082005059247</x:v>
      </x:c>
      <x:c r="C83" s="4" t="n">
        <x:f>'Monthly Base'!T56/'Commercial Inputs'!$B$45</x:f>
        <x:v>0.8941893255104747</x:v>
      </x:c>
      <x:c r="D83" s="4" t="n">
        <x:f>'Monthly Strong'!T56/'Commercial Inputs'!$B$45</x:f>
        <x:v>4.567152349042316</x:v>
      </x:c>
      <x:c r="E83" s="4" t="n">
        <x:f>'Monthly Downside'!T34</x:f>
        <x:v>27.050643514870163</x:v>
      </x:c>
      <x:c r="F83" s="4" t="n">
        <x:f>'Monthly Base'!T34</x:f>
        <x:v>1155.7978231130942</x:v>
      </x:c>
      <x:c r="G83" s="4" t="n">
        <x:f>'Monthly Strong'!T34</x:f>
        <x:v>3438.416356694649</x:v>
      </x:c>
      <x:c r="H83" s="4"/>
      <x:c r="I83" s="4"/>
      <x:c r="J83" s="4"/>
      <x:c r="K83" s="4"/>
      <x:c r="L83" s="4"/>
    </x:row>
    <x:row r="84" ht="18" customHeight="1">
      <x:c r="A84" s="4" t="n">
        <x:v>20</x:v>
      </x:c>
      <x:c r="B84" s="4" t="n">
        <x:f>'Monthly Downside'!U56/'Commercial Inputs'!$B$45</x:f>
        <x:v>-0.0764855273727826</x:v>
      </x:c>
      <x:c r="C84" s="4" t="n">
        <x:f>'Monthly Base'!U56/'Commercial Inputs'!$B$45</x:f>
        <x:v>1.1357203490603174</x:v>
      </x:c>
      <x:c r="D84" s="4" t="n">
        <x:f>'Monthly Strong'!U56/'Commercial Inputs'!$B$45</x:f>
        <x:v>5.516971244189022</x:v>
      </x:c>
      <x:c r="E84" s="4" t="n">
        <x:f>'Monthly Downside'!U34</x:f>
        <x:v>27.870534037449364</x:v>
      </x:c>
      <x:c r="F84" s="4" t="n">
        <x:f>'Monthly Base'!U34</x:f>
        <x:v>1269.8332136214904</x:v>
      </x:c>
      <x:c r="G84" s="4" t="n">
        <x:f>'Monthly Strong'!U34</x:f>
        <x:v>3858.784949090099</x:v>
      </x:c>
      <x:c r="H84" s="4"/>
      <x:c r="I84" s="4"/>
      <x:c r="J84" s="4"/>
      <x:c r="K84" s="4"/>
      <x:c r="L84" s="4"/>
    </x:row>
    <x:row r="85" ht="18" customHeight="1">
      <x:c r="A85" s="4" t="n">
        <x:v>21</x:v>
      </x:c>
      <x:c r="B85" s="4" t="n">
        <x:f>'Monthly Downside'!V56/'Commercial Inputs'!$B$45</x:f>
        <x:v>-0.0751719118421226</x:v>
      </x:c>
      <x:c r="C85" s="4" t="n">
        <x:f>'Monthly Base'!V56/'Commercial Inputs'!$B$45</x:f>
        <x:v>1.3800362174112117</x:v>
      </x:c>
      <x:c r="D85" s="4" t="n">
        <x:f>'Monthly Strong'!V56/'Commercial Inputs'!$B$45</x:f>
        <x:v>6.518728462176085</x:v>
      </x:c>
      <x:c r="E85" s="4" t="n">
        <x:f>'Monthly Downside'!V34</x:f>
        <x:v>28.695847651614358</x:v>
      </x:c>
      <x:c r="F85" s="4" t="n">
        <x:f>'Monthly Base'!V34</x:f>
        <x:v>1386.4348685415803</x:v>
      </x:c>
      <x:c r="G85" s="4" t="n">
        <x:f>'Monthly Strong'!V34</x:f>
        <x:v>4306.64632073092</x:v>
      </x:c>
      <x:c r="H85" s="4"/>
      <x:c r="I85" s="4"/>
      <x:c r="J85" s="4"/>
      <x:c r="K85" s="4"/>
      <x:c r="L85" s="4"/>
    </x:row>
    <x:row r="86" ht="18" customHeight="1">
      <x:c r="A86" s="4" t="n">
        <x:v>22</x:v>
      </x:c>
      <x:c r="B86" s="4" t="n">
        <x:f>'Monthly Downside'!W56/'Commercial Inputs'!$B$45</x:f>
        <x:v>-0.07385116998678644</x:v>
      </x:c>
      <x:c r="C86" s="4" t="n">
        <x:f>'Monthly Base'!W56/'Commercial Inputs'!$B$45</x:f>
        <x:v>1.4800313169477386</x:v>
      </x:c>
      <x:c r="D86" s="4" t="n">
        <x:f>'Monthly Strong'!W56/'Commercial Inputs'!$B$45</x:f>
        <x:v>7.58449387869994</x:v>
      </x:c>
      <x:c r="E86" s="4" t="n">
        <x:f>'Monthly Downside'!W34</x:f>
        <x:v>29.52603016821979</x:v>
      </x:c>
      <x:c r="F86" s="4" t="n">
        <x:f>'Monthly Base'!W34</x:f>
        <x:v>1506.5949401890114</x:v>
      </x:c>
      <x:c r="G86" s="4" t="n">
        <x:f>'Monthly Strong'!W34</x:f>
        <x:v>4786.838802345525</x:v>
      </x:c>
      <x:c r="H86" s="4"/>
      <x:c r="I86" s="4"/>
      <x:c r="J86" s="4"/>
      <x:c r="K86" s="4"/>
      <x:c r="L86" s="4"/>
    </x:row>
    <x:row r="87" ht="18" customHeight="1">
      <x:c r="A87" s="4" t="n">
        <x:v>23</x:v>
      </x:c>
      <x:c r="B87" s="4" t="n">
        <x:f>'Monthly Downside'!X56/'Commercial Inputs'!$B$45</x:f>
        <x:v>-0.07252437983662714</x:v>
      </x:c>
      <x:c r="C87" s="4" t="n">
        <x:f>'Monthly Base'!X56/'Commercial Inputs'!$B$45</x:f>
        <x:v>1.7364714951688023</x:v>
      </x:c>
      <x:c r="D87" s="4" t="n">
        <x:f>'Monthly Strong'!X56/'Commercial Inputs'!$B$45</x:f>
        <x:v>8.222843953785832</x:v>
      </x:c>
      <x:c r="E87" s="4" t="n">
        <x:f>'Monthly Downside'!X34</x:f>
        <x:v>30.360570118287946</x:v>
      </x:c>
      <x:c r="F87" s="4" t="n">
        <x:f>'Monthly Base'!X34</x:f>
        <x:v>1630.6654355652736</x:v>
      </x:c>
      <x:c r="G87" s="4" t="n">
        <x:f>'Monthly Strong'!X34</x:f>
        <x:v>5303.4394995190205</x:v>
      </x:c>
      <x:c r="H87" s="4"/>
      <x:c r="I87" s="4"/>
      <x:c r="J87" s="4"/>
      <x:c r="K87" s="4"/>
      <x:c r="L87" s="4"/>
    </x:row>
    <x:row r="88" ht="18" customHeight="1">
      <x:c r="A88" s="4" t="n">
        <x:v>24</x:v>
      </x:c>
      <x:c r="B88" s="4" t="n">
        <x:f>'Monthly Downside'!Y56/'Commercial Inputs'!$B$45</x:f>
        <x:v>-0.07119253479371936</x:v>
      </x:c>
      <x:c r="C88" s="4" t="n">
        <x:f>'Monthly Base'!Y56/'Commercial Inputs'!$B$45</x:f>
        <x:v>2.000081495527593</x:v>
      </x:c>
      <x:c r="D88" s="4" t="n">
        <x:f>'Monthly Strong'!Y56/'Commercial Inputs'!$B$45</x:f>
        <x:v>9.443143568235097</x:v>
      </x:c>
      <x:c r="E88" s="4" t="n">
        <x:f>'Monthly Downside'!Y34</x:f>
        <x:v>31.19898493748156</x:v>
      </x:c>
      <x:c r="F88" s="4" t="n">
        <x:f>'Monthly Base'!Y34</x:f>
        <x:v>1758.9921688680697</x:v>
      </x:c>
      <x:c r="G88" s="4" t="n">
        <x:f>'Monthly Strong'!Y34</x:f>
        <x:v>5860.942976386133</x:v>
      </x:c>
      <x:c r="H88" s="4"/>
      <x:c r="I88" s="4"/>
      <x:c r="J88" s="4"/>
      <x:c r="K88" s="4"/>
      <x:c r="L88" s="4"/>
    </x:row>
    <x:row r="89" ht="18" customHeight="1">
      <x:c r="A89" s="4" t="n">
        <x:v>25</x:v>
      </x:c>
      <x:c r="B89" s="4" t="n">
        <x:f>'Monthly Downside'!Z56/'Commercial Inputs'!$B$45</x:f>
        <x:v>-0.07084103602765623</x:v>
      </x:c>
      <x:c r="C89" s="4" t="n">
        <x:f>'Monthly Base'!Z56/'Commercial Inputs'!$B$45</x:f>
        <x:v>1.7495317955807603</x:v>
      </x:c>
      <x:c r="D89" s="4" t="n">
        <x:f>'Monthly Strong'!Z56/'Commercial Inputs'!$B$45</x:f>
        <x:v>8.98349719138478</x:v>
      </x:c>
      <x:c r="E89" s="4" t="n">
        <x:f>'Monthly Downside'!Z34</x:f>
        <x:v>31.714171116973304</x:v>
      </x:c>
      <x:c r="F89" s="4" t="n">
        <x:f>'Monthly Base'!Z34</x:f>
        <x:v>1892.8104220211621</x:v>
      </x:c>
      <x:c r="G89" s="4" t="n">
        <x:f>'Monthly Strong'!Z34</x:f>
        <x:v>6523.832177377912</x:v>
      </x:c>
      <x:c r="H89" s="4"/>
      <x:c r="I89" s="4"/>
      <x:c r="J89" s="4"/>
      <x:c r="K89" s="4"/>
      <x:c r="L89" s="4"/>
    </x:row>
    <x:row r="90" ht="18" customHeight="1">
      <x:c r="A90" s="4" t="n">
        <x:v>26</x:v>
      </x:c>
      <x:c r="B90" s="4" t="n">
        <x:f>'Monthly Downside'!AA56/'Commercial Inputs'!$B$45</x:f>
        <x:v>-0.07003963568103794</x:v>
      </x:c>
      <x:c r="C90" s="4" t="n">
        <x:f>'Monthly Base'!AA56/'Commercial Inputs'!$B$45</x:f>
        <x:v>2.0339659444220857</x:v>
      </x:c>
      <x:c r="D90" s="4" t="n">
        <x:f>'Monthly Strong'!AA56/'Commercial Inputs'!$B$45</x:f>
        <x:v>10.558838507465518</x:v>
      </x:c>
      <x:c r="E90" s="4" t="n">
        <x:f>'Monthly Downside'!AA34</x:f>
        <x:v>32.21481490156093</x:v>
      </x:c>
      <x:c r="F90" s="4" t="n">
        <x:f>'Monthly Base'!AA34</x:f>
        <x:v>2028.0836609829848</x:v>
      </x:c>
      <x:c r="G90" s="4" t="n">
        <x:f>'Monthly Strong'!AA34</x:f>
        <x:v>7208.395690588057</x:v>
      </x:c>
      <x:c r="H90" s="4"/>
      <x:c r="I90" s="4"/>
      <x:c r="J90" s="4"/>
      <x:c r="K90" s="4"/>
      <x:c r="L90" s="4"/>
    </x:row>
    <x:row r="91" ht="18" customHeight="1">
      <x:c r="A91" s="4" t="n">
        <x:v>27</x:v>
      </x:c>
      <x:c r="B91" s="4" t="n">
        <x:f>'Monthly Downside'!AB56/'Commercial Inputs'!$B$45</x:f>
        <x:v>-0.06926363465279163</x:v>
      </x:c>
      <x:c r="C91" s="4" t="n">
        <x:f>'Monthly Base'!AB56/'Commercial Inputs'!$B$45</x:f>
        <x:v>2.3224750963852747</x:v>
      </x:c>
      <x:c r="D91" s="4" t="n">
        <x:f>'Monthly Strong'!AB56/'Commercial Inputs'!$B$45</x:f>
        <x:v>12.185315932499327</x:v>
      </x:c>
      <x:c r="E91" s="4" t="n">
        <x:f>'Monthly Downside'!AB34</x:f>
        <x:v>32.70213650871902</x:v>
      </x:c>
      <x:c r="F91" s="4" t="n">
        <x:f>'Monthly Base'!AB34</x:f>
        <x:v>2166.3301024720345</x:v>
      </x:c>
      <x:c r="G91" s="4" t="n">
        <x:f>'Monthly Strong'!AB34</x:f>
        <x:v>7921.013507979003</x:v>
      </x:c>
      <x:c r="H91" s="4"/>
      <x:c r="I91" s="4"/>
      <x:c r="J91" s="4"/>
      <x:c r="K91" s="4"/>
      <x:c r="L91" s="4"/>
    </x:row>
    <x:row r="92" ht="18" customHeight="1">
      <x:c r="A92" s="4" t="n">
        <x:v>28</x:v>
      </x:c>
      <x:c r="B92" s="4" t="n">
        <x:f>'Monthly Downside'!AC56/'Commercial Inputs'!$B$45</x:f>
        <x:v>-0.06851253839340728</x:v>
      </x:c>
      <x:c r="C92" s="4" t="n">
        <x:f>'Monthly Base'!AC56/'Commercial Inputs'!$B$45</x:f>
        <x:v>2.612403371976926</x:v>
      </x:c>
      <x:c r="D92" s="4" t="n">
        <x:f>'Monthly Strong'!AC56/'Commercial Inputs'!$B$45</x:f>
        <x:v>13.856792092850018</x:v>
      </x:c>
      <x:c r="E92" s="4" t="n">
        <x:f>'Monthly Downside'!AC34</x:f>
        <x:v>33.17618635489086</x:v>
      </x:c>
      <x:c r="F92" s="4" t="n">
        <x:f>'Monthly Base'!AC34</x:f>
        <x:v>2307.4635130504894</x:v>
      </x:c>
      <x:c r="G92" s="4" t="n">
        <x:f>'Monthly Strong'!AC34</x:f>
        <x:v>8663.94258999255</x:v>
      </x:c>
      <x:c r="H92" s="4"/>
      <x:c r="I92" s="4"/>
      <x:c r="J92" s="4"/>
      <x:c r="K92" s="4"/>
      <x:c r="L92" s="4"/>
    </x:row>
    <x:row r="93" ht="18" customHeight="1">
      <x:c r="A93" s="4" t="n">
        <x:v>29</x:v>
      </x:c>
      <x:c r="B93" s="4" t="n">
        <x:f>'Monthly Downside'!AD56/'Commercial Inputs'!$B$45</x:f>
        <x:v>-0.06778617077966897</x:v>
      </x:c>
      <x:c r="C93" s="4" t="n">
        <x:f>'Monthly Base'!AD56/'Commercial Inputs'!$B$45</x:f>
        <x:v>2.912078431055909</x:v>
      </x:c>
      <x:c r="D93" s="4" t="n">
        <x:f>'Monthly Strong'!AD56/'Commercial Inputs'!$B$45</x:f>
        <x:v>15.61084551900067</x:v>
      </x:c>
      <x:c r="E93" s="4" t="n">
        <x:f>'Monthly Downside'!AD34</x:f>
        <x:v>33.636882769747096</x:v>
      </x:c>
      <x:c r="F93" s="4" t="n">
        <x:f>'Monthly Base'!AD34</x:f>
        <x:v>2452.5647708599254</x:v>
      </x:c>
      <x:c r="G93" s="4" t="n">
        <x:f>'Monthly Strong'!AD34</x:f>
        <x:v>9441.956997868956</x:v>
      </x:c>
      <x:c r="H93" s="4"/>
      <x:c r="I93" s="4"/>
      <x:c r="J93" s="4"/>
      <x:c r="K93" s="4"/>
      <x:c r="L93" s="4"/>
    </x:row>
    <x:row r="94" ht="18" customHeight="1">
      <x:c r="A94" s="4" t="n">
        <x:v>30</x:v>
      </x:c>
      <x:c r="B94" s="4" t="n">
        <x:f>'Monthly Downside'!AE56/'Commercial Inputs'!$B$45</x:f>
        <x:v>-0.06708460938584715</x:v>
      </x:c>
      <x:c r="C94" s="4" t="n">
        <x:f>'Monthly Base'!AE56/'Commercial Inputs'!$B$45</x:f>
        <x:v>3.219148100721206</x:v>
      </x:c>
      <x:c r="D94" s="4" t="n">
        <x:f>'Monthly Strong'!AE56/'Commercial Inputs'!$B$45</x:f>
        <x:v>16.69002225459113</x:v>
      </x:c>
      <x:c r="E94" s="4" t="n">
        <x:f>'Monthly Downside'!AE34</x:f>
        <x:v>34.084037912107036</x:v>
      </x:c>
      <x:c r="F94" s="4" t="n">
        <x:f>'Monthly Base'!AE34</x:f>
        <x:v>2601.9160086003476</x:v>
      </x:c>
      <x:c r="G94" s="4" t="n">
        <x:f>'Monthly Strong'!AE34</x:f>
        <x:v>10257.830812007165</x:v>
      </x:c>
      <x:c r="H94" s="4"/>
      <x:c r="I94" s="4"/>
      <x:c r="J94" s="4"/>
      <x:c r="K94" s="4"/>
      <x:c r="L94" s="4"/>
    </x:row>
    <x:row r="95" ht="18" customHeight="1">
      <x:c r="A95" s="4" t="n">
        <x:v>31</x:v>
      </x:c>
      <x:c r="B95" s="4" t="n">
        <x:f>'Monthly Downside'!AF56/'Commercial Inputs'!$B$45</x:f>
        <x:v>-0.06587844428026264</x:v>
      </x:c>
      <x:c r="C95" s="4" t="n">
        <x:f>'Monthly Base'!AF56/'Commercial Inputs'!$B$45</x:f>
        <x:v>3.1560352947312675</x:v>
      </x:c>
      <x:c r="D95" s="4" t="n">
        <x:f>'Monthly Strong'!AF56/'Commercial Inputs'!$B$45</x:f>
        <x:v>16.44591630238313</x:v>
      </x:c>
      <x:c r="E95" s="4" t="n">
        <x:f>'Monthly Downside'!AF34</x:f>
        <x:v>34.67902565538019</x:v>
      </x:c>
      <x:c r="F95" s="4" t="n">
        <x:f>'Monthly Base'!AF34</x:f>
        <x:v>2765.1722901201833</x:v>
      </x:c>
      <x:c r="G95" s="4" t="n">
        <x:f>'Monthly Strong'!AF34</x:f>
        <x:v>11277.440707298098</x:v>
      </x:c>
      <x:c r="H95" s="4"/>
      <x:c r="I95" s="4"/>
      <x:c r="J95" s="4"/>
      <x:c r="K95" s="4"/>
      <x:c r="L95" s="4"/>
    </x:row>
    <x:row r="96" ht="18" customHeight="1">
      <x:c r="A96" s="4" t="n">
        <x:v>32</x:v>
      </x:c>
      <x:c r="B96" s="4" t="n">
        <x:f>'Monthly Downside'!AG56/'Commercial Inputs'!$B$45</x:f>
        <x:v>-0.06495328156917758</x:v>
      </x:c>
      <x:c r="C96" s="4" t="n">
        <x:f>'Monthly Base'!AG56/'Commercial Inputs'!$B$45</x:f>
        <x:v>3.498296006592909</x:v>
      </x:c>
      <x:c r="D96" s="4" t="n">
        <x:f>'Monthly Strong'!AG56/'Commercial Inputs'!$B$45</x:f>
        <x:v>18.841451692642057</x:v>
      </x:c>
      <x:c r="E96" s="4" t="n">
        <x:f>'Monthly Downside'!AG34</x:f>
        <x:v>35.25985383529099</x:v>
      </x:c>
      <x:c r="F96" s="4" t="n">
        <x:f>'Monthly Base'!AG34</x:f>
        <x:v>2930.431581751205</x:v>
      </x:c>
      <x:c r="G96" s="4" t="n">
        <x:f>'Monthly Strong'!AG34</x:f>
        <x:v>12328.048417484417</x:v>
      </x:c>
      <x:c r="H96" s="4"/>
      <x:c r="I96" s="4"/>
      <x:c r="J96" s="4"/>
      <x:c r="K96" s="4"/>
      <x:c r="L96" s="4"/>
    </x:row>
    <x:row r="97" ht="18" customHeight="1">
      <x:c r="A97" s="4" t="n">
        <x:v>33</x:v>
      </x:c>
      <x:c r="B97" s="4" t="n">
        <x:f>'Monthly Downside'!AH56/'Commercial Inputs'!$B$45</x:f>
        <x:v>-0.06405423093478001</x:v>
      </x:c>
      <x:c r="C97" s="4" t="n">
        <x:f>'Monthly Base'!AH56/'Commercial Inputs'!$B$45</x:f>
        <x:v>3.8461381326375226</x:v>
      </x:c>
      <x:c r="D97" s="4" t="n">
        <x:f>'Monthly Strong'!AH56/'Commercial Inputs'!$B$45</x:f>
        <x:v>21.308107276531445</x:v>
      </x:c>
      <x:c r="E97" s="4" t="n">
        <x:f>'Monthly Downside'!AH34</x:f>
        <x:v>35.82611963602198</x:v>
      </x:c>
      <x:c r="F97" s="4" t="n">
        <x:f>'Monthly Base'!AH34</x:f>
        <x:v>3099.6928589296635</x:v>
      </x:c>
      <x:c r="G97" s="4" t="n">
        <x:f>'Monthly Strong'!AH34</x:f>
        <x:v>13419.46147004293</x:v>
      </x:c>
      <x:c r="H97" s="4"/>
      <x:c r="I97" s="4"/>
      <x:c r="J97" s="4"/>
      <x:c r="K97" s="4"/>
      <x:c r="L97" s="4"/>
    </x:row>
    <x:row r="98" ht="18" customHeight="1">
      <x:c r="A98" s="4" t="n">
        <x:v>34</x:v>
      </x:c>
      <x:c r="B98" s="4" t="n">
        <x:f>'Monthly Downside'!AI56/'Commercial Inputs'!$B$45</x:f>
        <x:v>-0.06318198258114555</x:v>
      </x:c>
      <x:c r="C98" s="4" t="n">
        <x:f>'Monthly Base'!AI56/'Commercial Inputs'!$B$45</x:f>
        <x:v>4.202195275778326</x:v>
      </x:c>
      <x:c r="D98" s="4" t="n">
        <x:f>'Monthly Strong'!AI56/'Commercial Inputs'!$B$45</x:f>
        <x:v>23.864816055367218</x:v>
      </x:c>
      <x:c r="E98" s="4" t="n">
        <x:f>'Monthly Downside'!AI34</x:f>
        <x:v>36.37737111466778</x:v>
      </x:c>
      <x:c r="F98" s="4" t="n">
        <x:f>'Monthly Base'!AI34</x:f>
        <x:v>3273.864365650648</x:v>
      </x:c>
      <x:c r="G98" s="4" t="n">
        <x:f>'Monthly Strong'!AI34</x:f>
        <x:v>14558.31888308677</x:v>
      </x:c>
      <x:c r="H98" s="4"/>
      <x:c r="I98" s="4"/>
      <x:c r="J98" s="4"/>
      <x:c r="K98" s="4"/>
      <x:c r="L98" s="4"/>
    </x:row>
    <x:row r="99" ht="18" customHeight="1">
      <x:c r="A99" s="4" t="n">
        <x:v>35</x:v>
      </x:c>
      <x:c r="B99" s="4" t="n">
        <x:f>'Monthly Downside'!AJ56/'Commercial Inputs'!$B$45</x:f>
        <x:v>-0.06233731932696129</x:v>
      </x:c>
      <x:c r="C99" s="4" t="n">
        <x:f>'Monthly Base'!AJ56/'Commercial Inputs'!$B$45</x:f>
        <x:v>4.567153730849414</x:v>
      </x:c>
      <x:c r="D99" s="4" t="n">
        <x:f>'Monthly Strong'!AJ56/'Commercial Inputs'!$B$45</x:f>
        <x:v>26.519025323494887</x:v>
      </x:c>
      <x:c r="E99" s="4" t="n">
        <x:f>'Monthly Downside'!AJ34</x:f>
        <x:v>36.91311435864214</x:v>
      </x:c>
      <x:c r="F99" s="4" t="n">
        <x:f>'Monthly Base'!AJ34</x:f>
        <x:v>3453.2670050453016</x:v>
      </x:c>
      <x:c r="G99" s="4" t="n">
        <x:f>'Monthly Strong'!AJ34</x:f>
        <x:v>15748.25114191163</x:v>
      </x:c>
      <x:c r="H99" s="4"/>
      <x:c r="I99" s="4"/>
      <x:c r="J99" s="4"/>
      <x:c r="K99" s="4"/>
      <x:c r="L99" s="4"/>
    </x:row>
    <x:row r="100" ht="18" customHeight="1">
      <x:c r="A100" s="4" t="n">
        <x:v>36</x:v>
      </x:c>
      <x:c r="B100" s="4" t="n">
        <x:f>'Monthly Downside'!AK56/'Commercial Inputs'!$B$45</x:f>
        <x:v>-0.06152110266951573</x:v>
      </x:c>
      <x:c r="C100" s="4" t="n">
        <x:f>'Monthly Base'!AK56/'Commercial Inputs'!$B$45</x:f>
        <x:v>4.941650242224033</x:v>
      </x:c>
      <x:c r="D100" s="4" t="n">
        <x:f>'Monthly Strong'!AK56/'Commercial Inputs'!$B$45</x:f>
        <x:v>29.2781176226821</x:v>
      </x:c>
      <x:c r="E100" s="4" t="n">
        <x:f>'Monthly Downside'!AK34</x:f>
        <x:v>37.4328189700891</x:v>
      </x:c>
      <x:c r="F100" s="4" t="n">
        <x:f>'Monthly Base'!AK34</x:f>
        <x:v>3638.210561892481</x:v>
      </x:c>
      <x:c r="G100" s="4" t="n">
        <x:f>'Monthly Strong'!AK34</x:f>
        <x:v>16992.972458785694</x:v>
      </x:c>
      <x:c r="H100" s="4"/>
      <x:c r="I100" s="4"/>
      <x:c r="J100" s="4"/>
      <x:c r="K100" s="4"/>
      <x:c r="L100" s="4"/>
    </x:row>
  </x:sheetData>
  <x:mergeCells>
    <x:mergeCell ref="A1:L1"/>
    <x:mergeCell ref="A2:L2"/>
    <x:mergeCell ref="A8:L8"/>
    <x:mergeCell ref="A44:L46"/>
    <x:mergeCell ref="F10:L10"/>
    <x:mergeCell ref="F11:L11"/>
    <x:mergeCell ref="F12:L12"/>
    <x:mergeCell ref="F13:L13"/>
    <x:mergeCell ref="F14:L14"/>
    <x:mergeCell ref="F16:L16"/>
    <x:mergeCell ref="F17:L17"/>
    <x:mergeCell ref="F18:L18"/>
    <x:mergeCell ref="F19:L19"/>
    <x:mergeCell ref="F20:L20"/>
  </x:mergeCells>
  <x:pageMargins left="0.7" right="0.7" top="0.75" bottom="0.75" header="0.3" footer="0.3"/>
  <x:drawing xmlns:r="http://schemas.openxmlformats.org/officeDocument/2006/relationships" r:id="R7e8fc82d8b044590"/>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6" hidden="0" customWidth="1"/>
    <x:col min="4" max="4" width="26" hidden="0" customWidth="1"/>
    <x:col min="5" max="5" width="26" hidden="0" customWidth="1"/>
    <x:col min="6" max="6" width="26" hidden="0" customWidth="1"/>
  </x:cols>
  <x:sheetData>
    <x:row r="1" ht="34" customHeight="1">
      <x:c r="A1" s="7" t="str">
        <x:v>HOW TO USE THIS MODEL</x:v>
      </x:c>
      <x:c r="B1" s="7"/>
      <x:c r="C1" s="7"/>
      <x:c r="D1" s="7"/>
      <x:c r="E1" s="7"/>
      <x:c r="F1" s="7"/>
    </x:row>
    <x:row r="2" ht="30" customHeight="1">
      <x:c r="A2" s="11" t="str">
        <x:v>A scenario tool for a solo-founder product. It is not a valuation, tax opinion, budget approval or probability forecast.</x:v>
      </x:c>
      <x:c r="B2" s="11"/>
      <x:c r="C2" s="11"/>
      <x:c r="D2" s="11"/>
      <x:c r="E2" s="11"/>
      <x:c r="F2" s="11"/>
    </x:row>
    <x:row r="3" ht="18" customHeight="1">
      <x:c r="A3" s="4"/>
      <x:c r="B3" s="4"/>
      <x:c r="C3" s="4"/>
      <x:c r="D3" s="4"/>
      <x:c r="E3" s="4"/>
      <x:c r="F3" s="4"/>
    </x:row>
    <x:row r="4" ht="25" customHeight="1">
      <x:c r="A4" s="100" t="str">
        <x:v>1. Start with Dashboard</x:v>
      </x:c>
      <x:c r="B4" s="100"/>
      <x:c r="C4" s="30" t="str">
        <x:v>Read year totals separately from month-36 run rates. ₹ lakh = ₹100,000. A year-end monthly profit is not that year's total profit.</x:v>
      </x:c>
      <x:c r="D4" s="30"/>
      <x:c r="E4" s="30"/>
      <x:c r="F4" s="30"/>
    </x:row>
    <x:row r="5" ht="25" customHeight="1">
      <x:c r="A5" s="100"/>
      <x:c r="B5" s="100"/>
      <x:c r="C5" s="30"/>
      <x:c r="D5" s="30"/>
      <x:c r="E5" s="30"/>
      <x:c r="F5" s="30"/>
    </x:row>
    <x:row r="6" ht="25" customHeight="1">
      <x:c r="A6" s="100" t="str">
        <x:v>2. Edit Commercial Inputs</x:v>
      </x:c>
      <x:c r="B6" s="100"/>
      <x:c r="C6" s="30" t="str">
        <x:v>Change price, sales-tax assumptions, channel fees, FX planning rate, AI usage, free MAU ratio and founder cash pay. Blue numbers are editable. Green formulas link to another sheet.</x:v>
      </x:c>
      <x:c r="D6" s="30"/>
      <x:c r="E6" s="30"/>
      <x:c r="F6" s="30"/>
    </x:row>
    <x:row r="7" ht="25" customHeight="1">
      <x:c r="A7" s="100"/>
      <x:c r="B7" s="100"/>
      <x:c r="C7" s="30"/>
      <x:c r="D7" s="30"/>
      <x:c r="E7" s="30"/>
      <x:c r="F7" s="30"/>
    </x:row>
    <x:row r="8" ht="25" customHeight="1">
      <x:c r="A8" s="100" t="str">
        <x:v>3. Edit Scenario Inputs</x:v>
      </x:c>
      <x:c r="B8" s="100"/>
      <x:c r="C8" s="30" t="str">
        <x:v>Qualified organic prospect growth and paid CPC/conversion drive first purchases. No subscriber count is simply typed into the forecast. Organic growth is still an unproven input, not a guarantee.</x:v>
      </x:c>
      <x:c r="D8" s="30"/>
      <x:c r="E8" s="30"/>
      <x:c r="F8" s="30"/>
    </x:row>
    <x:row r="9" ht="25" customHeight="1">
      <x:c r="A9" s="100"/>
      <x:c r="B9" s="100"/>
      <x:c r="C9" s="30"/>
      <x:c r="D9" s="30"/>
      <x:c r="E9" s="30"/>
      <x:c r="F9" s="30"/>
    </x:row>
    <x:row r="10" ht="25" customHeight="1">
      <x:c r="A10" s="100" t="str">
        <x:v>4. Cohort convention</x:v>
      </x:c>
      <x:c r="B10" s="100"/>
      <x:c r="C10" s="30" t="str">
        <x:v>Month 1 means first paid launch month, not the first development month. All purchases are treated as occurring at the start of each monthly bucket. Fractional users represent expected values, not literal people.</x:v>
      </x:c>
      <x:c r="D10" s="30"/>
      <x:c r="E10" s="30"/>
      <x:c r="F10" s="30"/>
    </x:row>
    <x:row r="11" ht="25" customHeight="1">
      <x:c r="A11" s="100"/>
      <x:c r="B11" s="100"/>
      <x:c r="C11" s="30"/>
      <x:c r="D11" s="30"/>
      <x:c r="E11" s="30"/>
      <x:c r="F11" s="30"/>
    </x:row>
    <x:row r="12" ht="25" customHeight="1">
      <x:c r="A12" s="100" t="str">
        <x:v>5. Annual subscriptions</x:v>
      </x:c>
      <x:c r="B12" s="100"/>
      <x:c r="C12" s="30" t="str">
        <x:v>Net new annual payers have 12 service months. First renewal at age 12 uses the first annual rate; second at age 24 uses the second rate. No extra within-year churn beyond modeled refunds; cancellation only stops future renewal.</x:v>
      </x:c>
      <x:c r="D12" s="30"/>
      <x:c r="E12" s="30"/>
      <x:c r="F12" s="30"/>
    </x:row>
    <x:row r="13" ht="25" customHeight="1">
      <x:c r="A13" s="100"/>
      <x:c r="B13" s="100"/>
      <x:c r="C13" s="30"/>
      <x:c r="D13" s="30"/>
      <x:c r="E13" s="30"/>
      <x:c r="F13" s="30"/>
    </x:row>
    <x:row r="14" ht="25" customHeight="1">
      <x:c r="A14" s="100" t="str">
        <x:v>6. Monthly subscriptions</x:v>
      </x:c>
      <x:c r="B14" s="100"/>
      <x:c r="C14" s="30" t="str">
        <x:v>First renewal uses r1, second uses r2 and subsequent renewals use r3. New and returning monthly payers each face the refund fraction. Reactivation, plan switches and upgrades are excluded.</x:v>
      </x:c>
      <x:c r="D14" s="30"/>
      <x:c r="E14" s="30"/>
      <x:c r="F14" s="30"/>
    </x:row>
    <x:row r="15" ht="25" customHeight="1">
      <x:c r="A15" s="100"/>
      <x:c r="B15" s="100"/>
      <x:c r="C15" s="30"/>
      <x:c r="D15" s="30"/>
      <x:c r="E15" s="30"/>
      <x:c r="F15" s="30"/>
    </x:row>
    <x:row r="16" ht="25" customHeight="1">
      <x:c r="A16" s="100" t="str">
        <x:v>7. Refund treatment</x:v>
      </x:c>
      <x:c r="B16" s="100"/>
      <x:c r="C16" s="30" t="str">
        <x:v>A fraction of each successful payment is fully refunded in that same month. Refunded entitlements are removed from revenue and active payers. Fees are conservatively not refunded. No separate refund reserve is double-counted.</x:v>
      </x:c>
      <x:c r="D16" s="30"/>
      <x:c r="E16" s="30"/>
      <x:c r="F16" s="30"/>
    </x:row>
    <x:row r="17" ht="25" customHeight="1">
      <x:c r="A17" s="100"/>
      <x:c r="B17" s="100"/>
      <x:c r="C17" s="30"/>
      <x:c r="D17" s="30"/>
      <x:c r="E17" s="30"/>
      <x:c r="F17" s="30"/>
    </x:row>
    <x:row r="18" ht="25" customHeight="1">
      <x:c r="A18" s="100" t="str">
        <x:v>8. Revenue</x:v>
      </x:c>
      <x:c r="B18" s="100"/>
      <x:c r="C18" s="30" t="str">
        <x:v>Annual net receipts are recognized over 12 months. Monthly subscription revenue is recognized in the paid month. All revenue and cash exclude modeled sales tax. Income taxes are not estimated.</x:v>
      </x:c>
      <x:c r="D18" s="30"/>
      <x:c r="E18" s="30"/>
      <x:c r="F18" s="30"/>
    </x:row>
    <x:row r="19" ht="25" customHeight="1">
      <x:c r="A19" s="100"/>
      <x:c r="B19" s="100"/>
      <x:c r="C19" s="30"/>
      <x:c r="D19" s="30"/>
      <x:c r="E19" s="30"/>
      <x:c r="F19" s="30"/>
    </x:row>
    <x:row r="20" ht="25" customHeight="1">
      <x:c r="A20" s="100" t="str">
        <x:v>9. Payment fees</x:v>
      </x:c>
      <x:c r="B20" s="100"/>
      <x:c r="C20" s="30" t="str">
        <x:v>Store/payment and subscription-management charges are expensed at the transaction month. That is deliberately front-loaded in a growth business. It is a management-model convention, not an audited accounting policy.</x:v>
      </x:c>
      <x:c r="D20" s="30"/>
      <x:c r="E20" s="30"/>
      <x:c r="F20" s="30"/>
    </x:row>
    <x:row r="21" ht="25" customHeight="1">
      <x:c r="A21" s="100"/>
      <x:c r="B21" s="100"/>
      <x:c r="C21" s="30"/>
      <x:c r="D21" s="30"/>
      <x:c r="E21" s="30"/>
      <x:c r="F21" s="30"/>
    </x:row>
    <x:row r="22" ht="25" customHeight="1">
      <x:c r="A22" s="100" t="str">
        <x:v>10. Cash and settlement</x:v>
      </x:c>
      <x:c r="B22" s="100"/>
      <x:c r="C22" s="30" t="str">
        <x:v>50% of net-of-fee proceeds are received in the transaction month and 50% the following month by default. Actual settlement terms vary. Opening cash is ₹1 lakh, owner draws zero. A negative cash balance flags extra funding or a stop decision.</x:v>
      </x:c>
      <x:c r="D22" s="30"/>
      <x:c r="E22" s="30"/>
      <x:c r="F22" s="30"/>
    </x:row>
    <x:row r="23" ht="25" customHeight="1">
      <x:c r="A23" s="100"/>
      <x:c r="B23" s="100"/>
      <x:c r="C23" s="30"/>
      <x:c r="D23" s="30"/>
      <x:c r="E23" s="30"/>
      <x:c r="F23" s="30"/>
    </x:row>
    <x:row r="24" ht="25" customHeight="1">
      <x:c r="A24" s="100" t="str">
        <x:v>11. Reconciliation</x:v>
      </x:c>
      <x:c r="B24" s="100"/>
      <x:c r="C24" s="30" t="str">
        <x:v>Cash change = operating profit + increase in unearned revenue - increase in payout receivable. Bridge checks in every model month must be zero.</x:v>
      </x:c>
      <x:c r="D24" s="30"/>
      <x:c r="E24" s="30"/>
      <x:c r="F24" s="30"/>
    </x:row>
    <x:row r="25" ht="25" customHeight="1">
      <x:c r="A25" s="100"/>
      <x:c r="B25" s="100"/>
      <x:c r="C25" s="30"/>
      <x:c r="D25" s="30"/>
      <x:c r="E25" s="30"/>
      <x:c r="F25" s="30"/>
    </x:row>
    <x:row r="26" ht="25" customHeight="1">
      <x:c r="A26" s="100" t="str">
        <x:v>12. Cash is not profit</x:v>
      </x:c>
      <x:c r="B26" s="100"/>
      <x:c r="C26" s="30" t="str">
        <x:v>Cash balances include advance annual receipts. Unearned revenue, delivery-cost reserve, liquidity buffer and cumulative earned profit are shown separately. The pre-tax liquidity/retained-profit cap is not permission to distribute cash.</x:v>
      </x:c>
      <x:c r="D26" s="30"/>
      <x:c r="E26" s="30"/>
      <x:c r="F26" s="30"/>
    </x:row>
    <x:row r="27" ht="25" customHeight="1">
      <x:c r="A27" s="100"/>
      <x:c r="B27" s="100"/>
      <x:c r="C27" s="30"/>
      <x:c r="D27" s="30"/>
      <x:c r="E27" s="30"/>
      <x:c r="F27" s="30"/>
    </x:row>
    <x:row r="28" ht="25" customHeight="1">
      <x:c r="A28" s="100" t="str">
        <x:v>13. Liquidity reserves</x:v>
      </x:c>
      <x:c r="B28" s="100"/>
      <x:c r="C28" s="30" t="str">
        <x:v>Delivery reserve funds remaining paid AI and variable support. Three months of current overhead, marketing and free AI are also reserved. This is a planning convention, not full coverage of every future obligation.</x:v>
      </x:c>
      <x:c r="D28" s="30"/>
      <x:c r="E28" s="30"/>
      <x:c r="F28" s="30"/>
    </x:row>
    <x:row r="29" ht="25" customHeight="1">
      <x:c r="A29" s="100"/>
      <x:c r="B29" s="100"/>
      <x:c r="C29" s="30"/>
      <x:c r="D29" s="30"/>
      <x:c r="E29" s="30"/>
      <x:c r="F29" s="30"/>
    </x:row>
    <x:row r="30" ht="25" customHeight="1">
      <x:c r="A30" s="100" t="str">
        <x:v>14. Costs retained</x:v>
      </x:c>
      <x:c r="B30" s="100"/>
      <x:c r="C30" s="30" t="str">
        <x:v>Payment/store fees, refunds, billing tools, AI for paid and free users, support/tools, media, creative, organic cash content, core overhead, QA/security/device-maintenance contractors and setup are all included.</x:v>
      </x:c>
      <x:c r="D30" s="30"/>
      <x:c r="E30" s="30"/>
      <x:c r="F30" s="30"/>
    </x:row>
    <x:row r="31" ht="25" customHeight="1">
      <x:c r="A31" s="100"/>
      <x:c r="B31" s="100"/>
      <x:c r="C31" s="30"/>
      <x:c r="D31" s="30"/>
      <x:c r="E31" s="30"/>
      <x:c r="F31" s="30"/>
    </x:row>
    <x:row r="32" ht="25" customHeight="1">
      <x:c r="A32" s="100" t="str">
        <x:v>15. Founder treatment</x:v>
      </x:c>
      <x:c r="B32" s="100"/>
      <x:c r="C32" s="30" t="str">
        <x:v>No employees or founder cash salary are assumed. A separate ₹1 lakh/month imputed founder-time cost shows economics after charging for your time. It is not deducted twice from cash.</x:v>
      </x:c>
      <x:c r="D32" s="30"/>
      <x:c r="E32" s="30"/>
      <x:c r="F32" s="30"/>
    </x:row>
    <x:row r="33" ht="25" customHeight="1">
      <x:c r="A33" s="100"/>
      <x:c r="B33" s="100"/>
      <x:c r="C33" s="30"/>
      <x:c r="D33" s="30"/>
      <x:c r="E33" s="30"/>
      <x:c r="F33" s="30"/>
    </x:row>
    <x:row r="34" ht="25" customHeight="1">
      <x:c r="A34" s="100" t="str">
        <x:v>16. Exclusions</x:v>
      </x:c>
      <x:c r="B34" s="100"/>
      <x:c r="C34" s="30" t="str">
        <x:v>Prelaunch development duration, existing hardware/subscriptions, debt interest, income tax, large commercial SDK contracts, legal disputes, material new hiring and transaction FX surprises beyond reserves are not fully modeled.</x:v>
      </x:c>
      <x:c r="D34" s="30"/>
      <x:c r="E34" s="30"/>
      <x:c r="F34" s="30"/>
    </x:row>
    <x:row r="35" ht="25" customHeight="1">
      <x:c r="A35" s="100"/>
      <x:c r="B35" s="100"/>
      <x:c r="C35" s="30"/>
      <x:c r="D35" s="30"/>
      <x:c r="E35" s="30"/>
      <x:c r="F35" s="30"/>
    </x:row>
    <x:row r="36" ht="25" customHeight="1">
      <x:c r="A36" s="100" t="str">
        <x:v>17. Distribution reality</x:v>
      </x:c>
      <x:c r="B36" s="100"/>
      <x:c r="C36" s="30" t="str">
        <x:v>Web/Android/iOS/Mac availability does not itself create users. Qualified prospects are not installs, pageviews or monthly active free users. Blended CAC can look good while the marginal paid campaign is weak.</x:v>
      </x:c>
      <x:c r="D36" s="30"/>
      <x:c r="E36" s="30"/>
      <x:c r="F36" s="30"/>
    </x:row>
    <x:row r="37" ht="25" customHeight="1">
      <x:c r="A37" s="100"/>
      <x:c r="B37" s="100"/>
      <x:c r="C37" s="30"/>
      <x:c r="D37" s="30"/>
      <x:c r="E37" s="30"/>
      <x:c r="F37" s="30"/>
    </x:row>
    <x:row r="38" ht="25" customHeight="1">
      <x:c r="A38" s="100" t="str">
        <x:v>18. Downside action</x:v>
      </x:c>
      <x:c r="B38" s="100"/>
      <x:c r="C38" s="30" t="str">
        <x:v>The Downside stops paid acquisition after month 6, but continues a lean service for illustration. It loses money over 36 months. That is not a recommendation to operate an unsuccessful product indefinitely.</x:v>
      </x:c>
      <x:c r="D38" s="30"/>
      <x:c r="E38" s="30"/>
      <x:c r="F38" s="30"/>
    </x:row>
    <x:row r="39" ht="25" customHeight="1">
      <x:c r="A39" s="100"/>
      <x:c r="B39" s="100"/>
      <x:c r="C39" s="30"/>
      <x:c r="D39" s="30"/>
      <x:c r="E39" s="30"/>
      <x:c r="F39" s="30"/>
    </x:row>
    <x:row r="40" ht="25" customHeight="1">
      <x:c r="A40" s="100" t="str">
        <x:v>19. Strong case</x:v>
      </x:c>
      <x:c r="B40" s="100"/>
      <x:c r="C40" s="30" t="str">
        <x:v>Strong assumes sustained organic/partner distribution, better conversion and renewals, plus 75% international buyers. It is a conditional high-outcome case, not the expected result. Increased reserves do not guarantee solo-founder capacity.</x:v>
      </x:c>
      <x:c r="D40" s="30"/>
      <x:c r="E40" s="30"/>
      <x:c r="F40" s="30"/>
    </x:row>
    <x:row r="41" ht="25" customHeight="1">
      <x:c r="A41" s="100"/>
      <x:c r="B41" s="100"/>
      <x:c r="C41" s="30"/>
      <x:c r="D41" s="30"/>
      <x:c r="E41" s="30"/>
      <x:c r="F41" s="30"/>
    </x:row>
    <x:row r="42" ht="25" customHeight="1">
      <x:c r="A42" s="100" t="str">
        <x:v>20. Annual targets vs growth</x:v>
      </x:c>
      <x:c r="B42" s="100"/>
      <x:c r="C42" s="30" t="str">
        <x:v>Unit Targets is a mature, annual-only maintenance model. Monthly Base/Strong/Downside include actual new-customer spend, a monthly-plan segment and cohort churn. They answer different questions.</x:v>
      </x:c>
      <x:c r="D42" s="30"/>
      <x:c r="E42" s="30"/>
      <x:c r="F42" s="30"/>
    </x:row>
    <x:row r="43" ht="25" customHeight="1">
      <x:c r="A43" s="100"/>
      <x:c r="B43" s="100"/>
      <x:c r="C43" s="30"/>
      <x:c r="D43" s="30"/>
      <x:c r="E43" s="30"/>
      <x:c r="F43" s="30"/>
    </x:row>
    <x:row r="44" ht="25" customHeight="1">
      <x:c r="A44" s="100" t="str">
        <x:v>21. Stress tests</x:v>
      </x:c>
      <x:c r="B44" s="100"/>
      <x:c r="C44" s="30" t="str">
        <x:v>Sensitivity contains seven full 36-month recalculations. Stress Inputs changes one driver; Stress Engine holds the detailed calculations. Price/country changes hold conversion constant unless separately edited.</x:v>
      </x:c>
      <x:c r="D44" s="30"/>
      <x:c r="E44" s="30"/>
      <x:c r="F44" s="30"/>
    </x:row>
    <x:row r="45" ht="25" customHeight="1">
      <x:c r="A45" s="100"/>
      <x:c r="B45" s="100"/>
      <x:c r="C45" s="30"/>
      <x:c r="D45" s="30"/>
      <x:c r="E45" s="30"/>
      <x:c r="F45" s="30"/>
    </x:row>
    <x:row r="46" ht="25" customHeight="1">
      <x:c r="A46" s="100" t="str">
        <x:v>22. Source verification</x:v>
      </x:c>
      <x:c r="B46" s="100"/>
      <x:c r="C46" s="30" t="str">
        <x:v>Rates were checked on primary provider pages on 27 Sep 2026. Broad RevenueCat benchmarks are not PDF-utility or web-specific estimates. All forecast traffic, CAC, conversion, retention and staffing reserves remain hypotheses.</x:v>
      </x:c>
      <x:c r="D46" s="30"/>
      <x:c r="E46" s="30"/>
      <x:c r="F46" s="30"/>
    </x:row>
    <x:row r="47" ht="25" customHeight="1">
      <x:c r="A47" s="100"/>
      <x:c r="B47" s="100"/>
      <x:c r="C47" s="30"/>
      <x:c r="D47" s="30"/>
      <x:c r="E47" s="30"/>
      <x:c r="F47" s="30"/>
    </x:row>
    <x:row r="48" ht="25" customHeight="1">
      <x:c r="A48" s="100" t="str">
        <x:v>23. Commercial decisions</x:v>
      </x:c>
      <x:c r="B48" s="100"/>
      <x:c r="C48" s="30" t="str">
        <x:v>The proposed prices, campaign budgets and opening capital are not approved spend. Setapp, enterprise deals, lifetime licences and exits contribute zero forecast revenue.</x:v>
      </x:c>
      <x:c r="D48" s="30"/>
      <x:c r="E48" s="30"/>
      <x:c r="F48" s="30"/>
    </x:row>
    <x:row r="49" ht="25" customHeight="1">
      <x:c r="A49" s="100"/>
      <x:c r="B49" s="100"/>
      <x:c r="C49" s="30"/>
      <x:c r="D49" s="30"/>
      <x:c r="E49" s="30"/>
      <x:c r="F49" s="30"/>
    </x:row>
    <x:row r="50" ht="25" customHeight="1">
      <x:c r="A50" s="100" t="str">
        <x:v>24. Validation</x:v>
      </x:c>
      <x:c r="B50" s="100"/>
      <x:c r="C50" s="30" t="str">
        <x:v>An independent Python simulator is compared against the workbook. Formula errors and monthly balance checks are scanned. This validates arithmetic, not customer demand or engine readiness.</x:v>
      </x:c>
      <x:c r="D50" s="30"/>
      <x:c r="E50" s="30"/>
      <x:c r="F50" s="30"/>
    </x:row>
    <x:row r="51" ht="25" customHeight="1">
      <x:c r="A51" s="100"/>
      <x:c r="B51" s="100"/>
      <x:c r="C51" s="30"/>
      <x:c r="D51" s="30"/>
      <x:c r="E51" s="30"/>
      <x:c r="F51" s="30"/>
    </x:row>
    <x:row r="52" ht="18" customHeight="1">
      <x:c r="A52" s="4"/>
      <x:c r="B52" s="4"/>
      <x:c r="C52" s="4"/>
      <x:c r="D52" s="4"/>
      <x:c r="E52" s="4"/>
      <x:c r="F52" s="4"/>
    </x:row>
    <x:row r="53" ht="18" customHeight="1">
      <x:c r="A53" s="100" t="str">
        <x:v>VALIDATED: 21 monthly result series match an independent Python simulation within ₹0.0001; all ten case/stress blocks pass monthly cash-profit and entitlement-balance checks; formula error scan found no matches. Validation confirms arithmetic only.</x:v>
      </x:c>
      <x:c r="B53" s="100"/>
      <x:c r="C53" s="100"/>
      <x:c r="D53" s="100"/>
      <x:c r="E53" s="100"/>
      <x:c r="F53" s="100"/>
    </x:row>
    <x:row r="54" ht="18" customHeight="1">
      <x:c r="A54" s="100"/>
      <x:c r="B54" s="100"/>
      <x:c r="C54" s="100"/>
      <x:c r="D54" s="100"/>
      <x:c r="E54" s="100"/>
      <x:c r="F54" s="100"/>
    </x:row>
  </x:sheetData>
  <x:mergeCells>
    <x:mergeCell ref="A1:F1"/>
    <x:mergeCell ref="A2:F2"/>
    <x:mergeCell ref="A4:B5"/>
    <x:mergeCell ref="C4:F5"/>
    <x:mergeCell ref="A6:B7"/>
    <x:mergeCell ref="C6:F7"/>
    <x:mergeCell ref="A8:B9"/>
    <x:mergeCell ref="C8:F9"/>
    <x:mergeCell ref="A10:B11"/>
    <x:mergeCell ref="C10:F11"/>
    <x:mergeCell ref="A12:B13"/>
    <x:mergeCell ref="C12:F13"/>
    <x:mergeCell ref="A14:B15"/>
    <x:mergeCell ref="C14:F15"/>
    <x:mergeCell ref="A16:B17"/>
    <x:mergeCell ref="C16:F17"/>
    <x:mergeCell ref="A18:B19"/>
    <x:mergeCell ref="C18:F19"/>
    <x:mergeCell ref="A20:B21"/>
    <x:mergeCell ref="C20:F21"/>
    <x:mergeCell ref="A22:B23"/>
    <x:mergeCell ref="C22:F23"/>
    <x:mergeCell ref="A24:B25"/>
    <x:mergeCell ref="C24:F25"/>
    <x:mergeCell ref="A26:B27"/>
    <x:mergeCell ref="C26:F27"/>
    <x:mergeCell ref="A28:B29"/>
    <x:mergeCell ref="C28:F29"/>
    <x:mergeCell ref="A30:B31"/>
    <x:mergeCell ref="C30:F31"/>
    <x:mergeCell ref="A32:B33"/>
    <x:mergeCell ref="C32:F33"/>
    <x:mergeCell ref="A34:B35"/>
    <x:mergeCell ref="C34:F35"/>
    <x:mergeCell ref="A36:B37"/>
    <x:mergeCell ref="C36:F37"/>
    <x:mergeCell ref="A38:B39"/>
    <x:mergeCell ref="C38:F39"/>
    <x:mergeCell ref="A40:B41"/>
    <x:mergeCell ref="C40:F41"/>
    <x:mergeCell ref="A42:B43"/>
    <x:mergeCell ref="C42:F43"/>
    <x:mergeCell ref="A44:B45"/>
    <x:mergeCell ref="C44:F45"/>
    <x:mergeCell ref="A46:B47"/>
    <x:mergeCell ref="C46:F47"/>
    <x:mergeCell ref="A48:B49"/>
    <x:mergeCell ref="C48:F49"/>
    <x:mergeCell ref="A50:B51"/>
    <x:mergeCell ref="C50:F51"/>
    <x:mergeCell ref="A53:F5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20" hidden="0" customWidth="1"/>
    <x:col min="4" max="4" width="12" hidden="0" customWidth="1"/>
    <x:col min="5" max="5" width="52" hidden="0" customWidth="1"/>
    <x:col min="6" max="6" width="52" hidden="0" customWidth="1"/>
  </x:cols>
  <x:sheetData>
    <x:row r="1" ht="34" customHeight="1">
      <x:c r="A1" s="7" t="str">
        <x:v>COMMERCIAL INPUTS</x:v>
      </x:c>
      <x:c r="B1" s="7"/>
      <x:c r="C1" s="7"/>
      <x:c r="D1" s="7"/>
      <x:c r="E1" s="7"/>
      <x:c r="F1" s="7"/>
    </x:row>
    <x:row r="2" ht="30" customHeight="1">
      <x:c r="A2" s="11" t="str">
        <x:v>Blue values are editable. Prices are proposals; the forecast starts at paid launch, not at the start of development.</x:v>
      </x:c>
      <x:c r="B2" s="11"/>
      <x:c r="C2" s="11"/>
      <x:c r="D2" s="11"/>
      <x:c r="E2" s="11"/>
      <x:c r="F2" s="11"/>
    </x:row>
    <x:row r="3" ht="18" customHeight="1">
      <x:c r="A3" s="4"/>
      <x:c r="B3" s="4"/>
      <x:c r="C3" s="4"/>
      <x:c r="D3" s="4"/>
      <x:c r="E3" s="4"/>
      <x:c r="F3" s="4"/>
    </x:row>
    <x:row r="4" ht="30" customHeight="1">
      <x:c r="A4" s="16" t="str">
        <x:v>Assumption</x:v>
      </x:c>
      <x:c r="B4" s="16" t="str">
        <x:v>Value</x:v>
      </x:c>
      <x:c r="C4" s="16" t="str">
        <x:v>Units</x:v>
      </x:c>
      <x:c r="D4" s="16" t="str">
        <x:v>Evidence</x:v>
      </x:c>
      <x:c r="E4" s="16" t="str">
        <x:v>Source / status</x:v>
      </x:c>
      <x:c r="F4" s="16" t="str">
        <x:v>Treatment</x:v>
      </x:c>
    </x:row>
    <x:row r="5" ht="33" customHeight="1">
      <x:c r="A5" s="30" t="str">
        <x:v>Planning INR / USD</x:v>
      </x:c>
      <x:c r="B5" s="31" t="n">
        <x:v>90</x:v>
      </x:c>
      <x:c r="C5" s="30" t="str">
        <x:v>INR/USD</x:v>
      </x:c>
      <x:c r="D5" s="30" t="str">
        <x:v>A1</x:v>
      </x:c>
      <x:c r="E5" s="30" t="str">
        <x:v>Not observed / not an approved budget</x:v>
      </x:c>
      <x:c r="F5" s="30" t="str">
        <x:v>Planning convention, not a current market quote.</x:v>
      </x:c>
    </x:row>
    <x:row r="6" ht="33" customHeight="1">
      <x:c r="A6" s="30" t="str">
        <x:v>India annual sticker</x:v>
      </x:c>
      <x:c r="B6" s="32" t="n">
        <x:v>1999</x:v>
      </x:c>
      <x:c r="C6" s="30" t="str">
        <x:v>INR/year</x:v>
      </x:c>
      <x:c r="D6" s="30" t="str">
        <x:v>P1</x:v>
      </x:c>
      <x:c r="E6" s="30" t="str">
        <x:v>Attenlo_PDF_Monetization_and_Growth_Plan_2026-09-27.md</x:v>
      </x:c>
      <x:c r="F6" s="30" t="str">
        <x:v>Proposed; inclusive of assumed India sales tax.</x:v>
      </x:c>
    </x:row>
    <x:row r="7" ht="33" customHeight="1">
      <x:c r="A7" s="30" t="str">
        <x:v>India monthly sticker</x:v>
      </x:c>
      <x:c r="B7" s="32" t="n">
        <x:v>249</x:v>
      </x:c>
      <x:c r="C7" s="30" t="str">
        <x:v>INR/month</x:v>
      </x:c>
      <x:c r="D7" s="30" t="str">
        <x:v>P1</x:v>
      </x:c>
      <x:c r="E7" s="30" t="str">
        <x:v>Attenlo_PDF_Monetization_and_Growth_Plan_2026-09-27.md</x:v>
      </x:c>
      <x:c r="F7" s="30" t="str">
        <x:v>Proposed; inclusive of assumed India sales tax.</x:v>
      </x:c>
    </x:row>
    <x:row r="8" ht="33" customHeight="1">
      <x:c r="A8" s="30" t="str">
        <x:v>Global annual sticker</x:v>
      </x:c>
      <x:c r="B8" s="31" t="n">
        <x:v>39.99</x:v>
      </x:c>
      <x:c r="C8" s="30" t="str">
        <x:v>USD/year</x:v>
      </x:c>
      <x:c r="D8" s="30" t="str">
        <x:v>P1</x:v>
      </x:c>
      <x:c r="E8" s="30" t="str">
        <x:v>Attenlo_PDF_Monetization_and_Growth_Plan_2026-09-27.md</x:v>
      </x:c>
      <x:c r="F8" s="30" t="str">
        <x:v>Before local tax; regional prices may differ.</x:v>
      </x:c>
    </x:row>
    <x:row r="9" ht="33" customHeight="1">
      <x:c r="A9" s="30" t="str">
        <x:v>Global monthly sticker</x:v>
      </x:c>
      <x:c r="B9" s="31" t="n">
        <x:v>5.99</x:v>
      </x:c>
      <x:c r="C9" s="30" t="str">
        <x:v>USD/month</x:v>
      </x:c>
      <x:c r="D9" s="30" t="str">
        <x:v>P1</x:v>
      </x:c>
      <x:c r="E9" s="30" t="str">
        <x:v>Attenlo_PDF_Monetization_and_Growth_Plan_2026-09-27.md</x:v>
      </x:c>
      <x:c r="F9" s="30" t="str">
        <x:v>Before local tax; standard fixed transaction fee modeled.</x:v>
      </x:c>
    </x:row>
    <x:row r="10" ht="33" customHeight="1">
      <x:c r="A10" s="30" t="str">
        <x:v>India included sales-tax assumption</x:v>
      </x:c>
      <x:c r="B10" s="33" t="n">
        <x:v>0.18</x:v>
      </x:c>
      <x:c r="C10" s="30" t="str">
        <x:v>%</x:v>
      </x:c>
      <x:c r="D10" s="30" t="str">
        <x:v>A1</x:v>
      </x:c>
      <x:c r="E10" s="30" t="str">
        <x:v>Not observed / not an approved budget</x:v>
      </x:c>
      <x:c r="F10" s="30" t="str">
        <x:v>Planning only; accountant must confirm actual treatment.</x:v>
      </x:c>
    </x:row>
    <x:row r="11" ht="33" customHeight="1">
      <x:c r="A11" s="30" t="str">
        <x:v>Included tax in global sticker</x:v>
      </x:c>
      <x:c r="B11" s="33" t="n">
        <x:v>0</x:v>
      </x:c>
      <x:c r="C11" s="30" t="str">
        <x:v>%</x:v>
      </x:c>
      <x:c r="D11" s="30" t="str">
        <x:v>A1</x:v>
      </x:c>
      <x:c r="E11" s="30" t="str">
        <x:v>Not observed / not an approved budget</x:v>
      </x:c>
      <x:c r="F11" s="30" t="str">
        <x:v>Zero = quoted global price before tax. Stress tax-inclusive prices separately.</x:v>
      </x:c>
    </x:row>
    <x:row r="12" ht="33" customHeight="1">
      <x:c r="A12" s="30" t="str">
        <x:v>Web / direct share in each market</x:v>
      </x:c>
      <x:c r="B12" s="33" t="n">
        <x:v>0.5</x:v>
      </x:c>
      <x:c r="C12" s="30" t="str">
        <x:v>%</x:v>
      </x:c>
      <x:c r="D12" s="30" t="str">
        <x:v>A1</x:v>
      </x:c>
      <x:c r="E12" s="30" t="str">
        <x:v>Not observed / not an approved budget</x:v>
      </x:c>
      <x:c r="F12" s="30" t="str">
        <x:v>Remaining share sold through native app stores.</x:v>
      </x:c>
    </x:row>
    <x:row r="13" ht="33" customHeight="1">
      <x:c r="A13" s="30" t="str">
        <x:v>Native store commission</x:v>
      </x:c>
      <x:c r="B13" s="33" t="n">
        <x:v>0.15</x:v>
      </x:c>
      <x:c r="C13" s="30" t="str">
        <x:v>%</x:v>
      </x:c>
      <x:c r="D13" s="30" t="str">
        <x:v>S2</x:v>
      </x:c>
      <x:c r="E13" s="30" t="str">
        <x:v>https://developer.apple.com/app-store/small-business-program/</x:v>
      </x:c>
      <x:c r="F13" s="30" t="str">
        <x:v>Standard 15% modeling assumption; verify eligibility and regional contracts.</x:v>
      </x:c>
    </x:row>
    <x:row r="14" ht="33" customHeight="1">
      <x:c r="A14" s="30" t="str">
        <x:v>India web fee, including fee tax</x:v>
      </x:c>
      <x:c r="B14" s="33" t="n">
        <x:v>0.0236</x:v>
      </x:c>
      <x:c r="C14" s="30" t="str">
        <x:v>% of sticker</x:v>
      </x:c>
      <x:c r="D14" s="30" t="str">
        <x:v>S5</x:v>
      </x:c>
      <x:c r="E14" s="30" t="str">
        <x:v>https://razorpay.com/pricing/</x:v>
      </x:c>
      <x:c r="F14" s="30" t="str">
        <x:v>Standard 2% + assumed 18% GST on fee; no input-credit benefit.</x:v>
      </x:c>
    </x:row>
    <x:row r="15" ht="33" customHeight="1">
      <x:c r="A15" s="30" t="str">
        <x:v>Global web percentage fee</x:v>
      </x:c>
      <x:c r="B15" s="33" t="n">
        <x:v>0.05</x:v>
      </x:c>
      <x:c r="C15" s="30" t="str">
        <x:v>% of sticker</x:v>
      </x:c>
      <x:c r="D15" s="30" t="str">
        <x:v>S4</x:v>
      </x:c>
      <x:c r="E15" s="30" t="str">
        <x:v>https://www.paddle.com/pricing</x:v>
      </x:c>
      <x:c r="F15" s="30" t="str">
        <x:v>No fee refunds assumed; custom small-transaction terms not included.</x:v>
      </x:c>
    </x:row>
    <x:row r="16" ht="33" customHeight="1">
      <x:c r="A16" s="30" t="str">
        <x:v>Global web fixed fee</x:v>
      </x:c>
      <x:c r="B16" s="31" t="n">
        <x:v>0.5</x:v>
      </x:c>
      <x:c r="C16" s="30" t="str">
        <x:v>USD/transaction</x:v>
      </x:c>
      <x:c r="D16" s="30" t="str">
        <x:v>S4</x:v>
      </x:c>
      <x:c r="E16" s="30" t="str">
        <x:v>https://www.paddle.com/pricing</x:v>
      </x:c>
      <x:c r="F16" s="30" t="str">
        <x:v>One charge per annual renewal or monthly payment.</x:v>
      </x:c>
    </x:row>
    <x:row r="17" ht="33" customHeight="1">
      <x:c r="A17" s="30" t="str">
        <x:v>Entitlement / billing reserve</x:v>
      </x:c>
      <x:c r="B17" s="33" t="n">
        <x:v>0.01</x:v>
      </x:c>
      <x:c r="C17" s="30" t="str">
        <x:v>% of sticker</x:v>
      </x:c>
      <x:c r="D17" s="30" t="str">
        <x:v>S6</x:v>
      </x:c>
      <x:c r="E17" s="30" t="str">
        <x:v>https://www.revenuecat.com/pricing</x:v>
      </x:c>
      <x:c r="F17" s="30" t="str">
        <x:v>Conservative 1% at all scales; counts native/web alike.</x:v>
      </x:c>
    </x:row>
    <x:row r="18" ht="33" customHeight="1">
      <x:c r="A18" s="30" t="str">
        <x:v>Planner input token rate</x:v>
      </x:c>
      <x:c r="B18" s="31" t="n">
        <x:v>0.2</x:v>
      </x:c>
      <x:c r="C18" s="30" t="str">
        <x:v>USD/1M</x:v>
      </x:c>
      <x:c r="D18" s="30" t="str">
        <x:v>S1</x:v>
      </x:c>
      <x:c r="E18" s="30" t="str">
        <x:v>https://developers.openai.com/api/docs/models/gpt-5.6-luna</x:v>
      </x:c>
      <x:c r="F18" s="30" t="str">
        <x:v>Published input price; no cache saving assumed.</x:v>
      </x:c>
    </x:row>
    <x:row r="19" ht="33" customHeight="1">
      <x:c r="A19" s="30" t="str">
        <x:v>Planner output token rate</x:v>
      </x:c>
      <x:c r="B19" s="31" t="n">
        <x:v>1.2</x:v>
      </x:c>
      <x:c r="C19" s="30" t="str">
        <x:v>USD/1M</x:v>
      </x:c>
      <x:c r="D19" s="30" t="str">
        <x:v>S1</x:v>
      </x:c>
      <x:c r="E19" s="30" t="str">
        <x:v>https://developers.openai.com/api/docs/models/gpt-5.6-luna</x:v>
      </x:c>
      <x:c r="F19" s="30" t="str">
        <x:v>Includes any billed reasoning/output tokens in usage assumption.</x:v>
      </x:c>
    </x:row>
    <x:row r="20" ht="33" customHeight="1">
      <x:c r="A20" s="30" t="str">
        <x:v>Input tokens per planned job</x:v>
      </x:c>
      <x:c r="B20" s="32" t="n">
        <x:v>2500</x:v>
      </x:c>
      <x:c r="C20" s="30" t="str">
        <x:v>tokens</x:v>
      </x:c>
      <x:c r="D20" s="30" t="str">
        <x:v>A1</x:v>
      </x:c>
      <x:c r="E20" s="30" t="str">
        <x:v>Not observed / not an approved budget</x:v>
      </x:c>
      <x:c r="F20" s="30" t="str">
        <x:v>Schema + bounded context. Not measured.</x:v>
      </x:c>
    </x:row>
    <x:row r="21" ht="33" customHeight="1">
      <x:c r="A21" s="30" t="str">
        <x:v>Output tokens per planned job</x:v>
      </x:c>
      <x:c r="B21" s="32" t="n">
        <x:v>450</x:v>
      </x:c>
      <x:c r="C21" s="30" t="str">
        <x:v>tokens</x:v>
      </x:c>
      <x:c r="D21" s="30" t="str">
        <x:v>A1</x:v>
      </x:c>
      <x:c r="E21" s="30" t="str">
        <x:v>Not observed / not an approved budget</x:v>
      </x:c>
      <x:c r="F21" s="30" t="str">
        <x:v>Not measured; instruction planning only.</x:v>
      </x:c>
    </x:row>
    <x:row r="22" ht="33" customHeight="1">
      <x:c r="A22" s="30" t="str">
        <x:v>Retry / extra-call multiplier</x:v>
      </x:c>
      <x:c r="B22" s="34" t="n">
        <x:v>1.25</x:v>
      </x:c>
      <x:c r="C22" s="30" t="str">
        <x:v>x</x:v>
      </x:c>
      <x:c r="D22" s="30" t="str">
        <x:v>A1</x:v>
      </x:c>
      <x:c r="E22" s="30" t="str">
        <x:v>Not observed / not an approved budget</x:v>
      </x:c>
      <x:c r="F22" s="30" t="str">
        <x:v>Applies to model usage, not customer quota.</x:v>
      </x:c>
    </x:row>
    <x:row r="23" ht="33" customHeight="1">
      <x:c r="A23" s="30" t="str">
        <x:v>AI supplier / FX contingency</x:v>
      </x:c>
      <x:c r="B23" s="33" t="n">
        <x:v>0.1</x:v>
      </x:c>
      <x:c r="C23" s="30" t="str">
        <x:v>%</x:v>
      </x:c>
      <x:c r="D23" s="30" t="str">
        <x:v>A1</x:v>
      </x:c>
      <x:c r="E23" s="30" t="str">
        <x:v>Not observed / not an approved budget</x:v>
      </x:c>
      <x:c r="F23" s="30" t="str">
        <x:v>Additional 10% buffer versus prior model; actual fee taxes may differ.</x:v>
      </x:c>
    </x:row>
    <x:row r="24" ht="33" customHeight="1">
      <x:c r="A24" s="30" t="str">
        <x:v>Mean paid AI jobs / month</x:v>
      </x:c>
      <x:c r="B24" s="32" t="n">
        <x:v>50</x:v>
      </x:c>
      <x:c r="C24" s="30" t="str">
        <x:v>jobs/user</x:v>
      </x:c>
      <x:c r="D24" s="30" t="str">
        <x:v>P1</x:v>
      </x:c>
      <x:c r="E24" s="30" t="str">
        <x:v>Attenlo_PDF_Monetization_and_Growth_Plan_2026-09-27.md</x:v>
      </x:c>
      <x:c r="F24" s="30" t="str">
        <x:v>Usage assumption, not 300-job allowance.</x:v>
      </x:c>
    </x:row>
    <x:row r="25" ht="33" customHeight="1">
      <x:c r="A25" s="30" t="str">
        <x:v>Free AI jobs / active free user</x:v>
      </x:c>
      <x:c r="B25" s="32" t="n">
        <x:v>3</x:v>
      </x:c>
      <x:c r="C25" s="30" t="str">
        <x:v>jobs/user</x:v>
      </x:c>
      <x:c r="D25" s="30" t="str">
        <x:v>P1</x:v>
      </x:c>
      <x:c r="E25" s="30" t="str">
        <x:v>Attenlo_PDF_Monetization_and_Growth_Plan_2026-09-27.md</x:v>
      </x:c>
      <x:c r="F25" s="30" t="str">
        <x:v>Conservative use of full allowance.</x:v>
      </x:c>
    </x:row>
    <x:row r="26" ht="33" customHeight="1">
      <x:c r="A26" s="30" t="str">
        <x:v>Active free users / paying user</x:v>
      </x:c>
      <x:c r="B26" s="34" t="n">
        <x:v>20</x:v>
      </x:c>
      <x:c r="C26" s="30" t="str">
        <x:v>x</x:v>
      </x:c>
      <x:c r="D26" s="30" t="str">
        <x:v>P1</x:v>
      </x:c>
      <x:c r="E26" s="30" t="str">
        <x:v>Attenlo_PDF_Monetization_and_Growth_Plan_2026-09-27.md</x:v>
      </x:c>
      <x:c r="F26" s="30" t="str">
        <x:v>Free MAU proxy, not download conversion; independent sensitivity.</x:v>
      </x:c>
    </x:row>
    <x:row r="27" ht="33" customHeight="1">
      <x:c r="A27" s="30" t="str">
        <x:v>Minimum active free users</x:v>
      </x:c>
      <x:c r="B27" s="32" t="n">
        <x:v>500</x:v>
      </x:c>
      <x:c r="C27" s="30" t="str">
        <x:v>users</x:v>
      </x:c>
      <x:c r="D27" s="30" t="str">
        <x:v>A1</x:v>
      </x:c>
      <x:c r="E27" s="30" t="str">
        <x:v>Not observed / not an approved budget</x:v>
      </x:c>
      <x:c r="F27" s="30" t="str">
        <x:v>Free usage does not disappear if paid conversion fails.</x:v>
      </x:c>
    </x:row>
    <x:row r="28" ht="33" customHeight="1">
      <x:c r="A28" s="30" t="str">
        <x:v>Variable support/tool reserve</x:v>
      </x:c>
      <x:c r="B28" s="32" t="n">
        <x:v>5</x:v>
      </x:c>
      <x:c r="C28" s="30" t="str">
        <x:v>INR/payer/mo</x:v>
      </x:c>
      <x:c r="D28" s="30" t="str">
        <x:v>P1</x:v>
      </x:c>
      <x:c r="E28" s="30" t="str">
        <x:v>Attenlo_PDF_Monetization_and_Growth_Plan_2026-09-27.md</x:v>
      </x:c>
      <x:c r="F28" s="30" t="str">
        <x:v>Cash allowance; founder labor not priced here.</x:v>
      </x:c>
    </x:row>
    <x:row r="29" ht="33" customHeight="1">
      <x:c r="A29" s="30" t="str">
        <x:v>Opening ring-fenced cash</x:v>
      </x:c>
      <x:c r="B29" s="32" t="n">
        <x:v>100000</x:v>
      </x:c>
      <x:c r="C29" s="30" t="str">
        <x:v>INR</x:v>
      </x:c>
      <x:c r="D29" s="30" t="str">
        <x:v>P1</x:v>
      </x:c>
      <x:c r="E29" s="30" t="str">
        <x:v>Attenlo_PDF_Monetization_and_Growth_Plan_2026-09-27.md</x:v>
      </x:c>
      <x:c r="F29" s="30" t="str">
        <x:v>Illustrative opening funds, not approved spending.</x:v>
      </x:c>
    </x:row>
    <x:row r="30" ht="33" customHeight="1">
      <x:c r="A30" s="30" t="str">
        <x:v>One-time launch setup expense</x:v>
      </x:c>
      <x:c r="B30" s="32" t="n">
        <x:v>20000</x:v>
      </x:c>
      <x:c r="C30" s="30" t="str">
        <x:v>INR</x:v>
      </x:c>
      <x:c r="D30" s="30" t="str">
        <x:v>P1</x:v>
      </x:c>
      <x:c r="E30" s="30" t="str">
        <x:v>Attenlo_PDF_Monetization_and_Growth_Plan_2026-09-27.md</x:v>
      </x:c>
      <x:c r="F30" s="30" t="str">
        <x:v>Expensed in M1; prelaunch development and devices excluded.</x:v>
      </x:c>
    </x:row>
    <x:row r="31" ht="33" customHeight="1">
      <x:c r="A31" s="30" t="str">
        <x:v>Net receipts delayed one month</x:v>
      </x:c>
      <x:c r="B31" s="33" t="n">
        <x:v>0.5</x:v>
      </x:c>
      <x:c r="C31" s="30" t="str">
        <x:v>%</x:v>
      </x:c>
      <x:c r="D31" s="30" t="str">
        <x:v>A1</x:v>
      </x:c>
      <x:c r="E31" s="30" t="str">
        <x:v>Not observed / not an approved budget</x:v>
      </x:c>
      <x:c r="F31" s="30" t="str">
        <x:v>Weighted settlement assumption. Not a provider payout promise.</x:v>
      </x:c>
    </x:row>
    <x:row r="32" ht="33" customHeight="1">
      <x:c r="A32" s="30" t="str">
        <x:v>Founder cash salary</x:v>
      </x:c>
      <x:c r="B32" s="32" t="n">
        <x:v>0</x:v>
      </x:c>
      <x:c r="C32" s="30" t="str">
        <x:v>INR/month</x:v>
      </x:c>
      <x:c r="D32" s="30" t="str">
        <x:v>User</x:v>
      </x:c>
      <x:c r="E32" s="30" t="str">
        <x:v>User: solo founder, negligible payroll</x:v>
      </x:c>
      <x:c r="F32" s="30" t="str">
        <x:v>Solo model with zero payroll; change to actual cash pay.</x:v>
      </x:c>
    </x:row>
    <x:row r="33" ht="33" customHeight="1">
      <x:c r="A33" s="30" t="str">
        <x:v>Imputed founder opportunity cost</x:v>
      </x:c>
      <x:c r="B33" s="32" t="n">
        <x:v>100000</x:v>
      </x:c>
      <x:c r="C33" s="30" t="str">
        <x:v>INR/month</x:v>
      </x:c>
      <x:c r="D33" s="30" t="str">
        <x:v>A1</x:v>
      </x:c>
      <x:c r="E33" s="30" t="str">
        <x:v>Not observed / not an approved budget</x:v>
      </x:c>
      <x:c r="F33" s="30" t="str">
        <x:v>Economic sensitivity only, not an extra cash expense.</x:v>
      </x:c>
    </x:row>
    <x:row r="34" ht="33" customHeight="1">
      <x:c r="A34" s="30" t="str">
        <x:v>Forward liquidity reserve</x:v>
      </x:c>
      <x:c r="B34" s="32" t="n">
        <x:v>3</x:v>
      </x:c>
      <x:c r="C34" s="30" t="str">
        <x:v>months</x:v>
      </x:c>
      <x:c r="D34" s="30" t="str">
        <x:v>A1</x:v>
      </x:c>
      <x:c r="E34" s="30" t="str">
        <x:v>Not observed / not an approved budget</x:v>
      </x:c>
      <x:c r="F34" s="30" t="str">
        <x:v>Model reserves current overhead, marketing and free-AI cost.</x:v>
      </x:c>
    </x:row>
    <x:row r="35" ht="33" customHeight="1">
      <x:c r="A35" s="30" t="str">
        <x:v>QA reserve threshold 1</x:v>
      </x:c>
      <x:c r="B35" s="32" t="n">
        <x:v>500</x:v>
      </x:c>
      <x:c r="C35" s="30" t="str">
        <x:v>paying users</x:v>
      </x:c>
      <x:c r="D35" s="30" t="str">
        <x:v>A1</x:v>
      </x:c>
      <x:c r="E35" s="30" t="str">
        <x:v>Not observed / not an approved budget</x:v>
      </x:c>
      <x:c r="F35" s="30" t="str">
        <x:v>Not a technical limit.</x:v>
      </x:c>
    </x:row>
    <x:row r="36" ht="33" customHeight="1">
      <x:c r="A36" s="30" t="str">
        <x:v>QA reserve threshold 2</x:v>
      </x:c>
      <x:c r="B36" s="32" t="n">
        <x:v>1500</x:v>
      </x:c>
      <x:c r="C36" s="30" t="str">
        <x:v>paying users</x:v>
      </x:c>
      <x:c r="D36" s="30" t="str">
        <x:v>A1</x:v>
      </x:c>
      <x:c r="E36" s="30" t="str">
        <x:v>Not observed / not an approved budget</x:v>
      </x:c>
      <x:c r="F36" s="30" t="str">
        <x:v>Not a technical limit.</x:v>
      </x:c>
    </x:row>
    <x:row r="37" ht="33" customHeight="1">
      <x:c r="A37" s="30" t="str">
        <x:v>QA reserve threshold 3</x:v>
      </x:c>
      <x:c r="B37" s="32" t="n">
        <x:v>5000</x:v>
      </x:c>
      <x:c r="C37" s="30" t="str">
        <x:v>paying users</x:v>
      </x:c>
      <x:c r="D37" s="30" t="str">
        <x:v>A1</x:v>
      </x:c>
      <x:c r="E37" s="30" t="str">
        <x:v>Not observed / not an approved budget</x:v>
      </x:c>
      <x:c r="F37" s="30" t="str">
        <x:v>Not a technical limit.</x:v>
      </x:c>
    </x:row>
    <x:row r="38" ht="33" customHeight="1">
      <x:c r="A38" s="30" t="str">
        <x:v>QA reserve threshold 4</x:v>
      </x:c>
      <x:c r="B38" s="32" t="n">
        <x:v>10000</x:v>
      </x:c>
      <x:c r="C38" s="30" t="str">
        <x:v>paying users</x:v>
      </x:c>
      <x:c r="D38" s="30" t="str">
        <x:v>A1</x:v>
      </x:c>
      <x:c r="E38" s="30" t="str">
        <x:v>Not observed / not an approved budget</x:v>
      </x:c>
      <x:c r="F38" s="30" t="str">
        <x:v>Not a technical limit.</x:v>
      </x:c>
    </x:row>
    <x:row r="39" ht="33" customHeight="1">
      <x:c r="A39" s="30" t="str">
        <x:v>Monthly QA reserve at threshold 1</x:v>
      </x:c>
      <x:c r="B39" s="32" t="n">
        <x:v>10000</x:v>
      </x:c>
      <x:c r="C39" s="30" t="str">
        <x:v>INR/month</x:v>
      </x:c>
      <x:c r="D39" s="30" t="str">
        <x:v>A1</x:v>
      </x:c>
      <x:c r="E39" s="30" t="str">
        <x:v>Not observed / not an approved budget</x:v>
      </x:c>
      <x:c r="F39" s="30" t="str">
        <x:v>Technical/device/security contractors; not employees.</x:v>
      </x:c>
    </x:row>
    <x:row r="40" ht="33" customHeight="1">
      <x:c r="A40" s="30" t="str">
        <x:v>Monthly QA reserve at threshold 2</x:v>
      </x:c>
      <x:c r="B40" s="32" t="n">
        <x:v>25000</x:v>
      </x:c>
      <x:c r="C40" s="30" t="str">
        <x:v>INR/month</x:v>
      </x:c>
      <x:c r="D40" s="30" t="str">
        <x:v>A1</x:v>
      </x:c>
      <x:c r="E40" s="30" t="str">
        <x:v>Not observed / not an approved budget</x:v>
      </x:c>
      <x:c r="F40" s="30" t="str">
        <x:v>Only highest applicable tier is used; not cumulative.</x:v>
      </x:c>
    </x:row>
    <x:row r="41" ht="33" customHeight="1">
      <x:c r="A41" s="30" t="str">
        <x:v>Monthly QA reserve at threshold 3</x:v>
      </x:c>
      <x:c r="B41" s="32" t="n">
        <x:v>75000</x:v>
      </x:c>
      <x:c r="C41" s="30" t="str">
        <x:v>INR/month</x:v>
      </x:c>
      <x:c r="D41" s="30" t="str">
        <x:v>A1</x:v>
      </x:c>
      <x:c r="E41" s="30" t="str">
        <x:v>Not observed / not an approved budget</x:v>
      </x:c>
      <x:c r="F41" s="30" t="str">
        <x:v>Quality/maintenance reserve at scale.</x:v>
      </x:c>
    </x:row>
    <x:row r="42" ht="33" customHeight="1">
      <x:c r="A42" s="30" t="str">
        <x:v>Monthly QA reserve at threshold 4</x:v>
      </x:c>
      <x:c r="B42" s="32" t="n">
        <x:v>150000</x:v>
      </x:c>
      <x:c r="C42" s="30" t="str">
        <x:v>INR/month</x:v>
      </x:c>
      <x:c r="D42" s="30" t="str">
        <x:v>A1</x:v>
      </x:c>
      <x:c r="E42" s="30" t="str">
        <x:v>Not observed / not an approved budget</x:v>
      </x:c>
      <x:c r="F42" s="30" t="str">
        <x:v>May be insufficient for unusually high support load.</x:v>
      </x:c>
    </x:row>
    <x:row r="43" ht="33" customHeight="1">
      <x:c r="A43" s="30" t="str">
        <x:v>Mature annual-only cash CAC</x:v>
      </x:c>
      <x:c r="B43" s="32" t="n">
        <x:v>650</x:v>
      </x:c>
      <x:c r="C43" s="30" t="str">
        <x:v>INR/new payer</x:v>
      </x:c>
      <x:c r="D43" s="30" t="str">
        <x:v>P1</x:v>
      </x:c>
      <x:c r="E43" s="30" t="str">
        <x:v>Attenlo_PDF_Monetization_and_Growth_Plan_2026-09-27.md</x:v>
      </x:c>
      <x:c r="F43" s="30" t="str">
        <x:v>Used ONLY in Unit Targets; growth sheets derive CAC from traffic/spend.</x:v>
      </x:c>
    </x:row>
    <x:row r="44" ht="33" customHeight="1">
      <x:c r="A44" s="30" t="str">
        <x:v>Mature annual-only renewal</x:v>
      </x:c>
      <x:c r="B44" s="33" t="n">
        <x:v>0.3</x:v>
      </x:c>
      <x:c r="C44" s="30" t="str">
        <x:v>%</x:v>
      </x:c>
      <x:c r="D44" s="30" t="str">
        <x:v>P1</x:v>
      </x:c>
      <x:c r="E44" s="30" t="str">
        <x:v>Attenlo_PDF_Monetization_and_Growth_Plan_2026-09-27.md</x:v>
      </x:c>
      <x:c r="F44" s="30" t="str">
        <x:v>Conservative flat renewal in Unit Targets only.</x:v>
      </x:c>
    </x:row>
    <x:row r="45" ht="33" customHeight="1">
      <x:c r="A45" s="30" t="str">
        <x:v>Rupees per lakh</x:v>
      </x:c>
      <x:c r="B45" s="32" t="n">
        <x:v>100000</x:v>
      </x:c>
      <x:c r="C45" s="30" t="str">
        <x:v>INR/lakh</x:v>
      </x:c>
      <x:c r="D45" s="30" t="str">
        <x:v>Constant</x:v>
      </x:c>
      <x:c r="E45" s="30" t="str">
        <x:v>Arithmetic constant</x:v>
      </x:c>
      <x:c r="F45" s="30" t="str">
        <x:v>Presentation conversion.</x:v>
      </x:c>
    </x:row>
    <x:row r="46" ht="33" customHeight="1">
      <x:c r="A46" s="30" t="str">
        <x:v>Months per year</x:v>
      </x:c>
      <x:c r="B46" s="32" t="n">
        <x:v>12</x:v>
      </x:c>
      <x:c r="C46" s="30" t="str">
        <x:v>months</x:v>
      </x:c>
      <x:c r="D46" s="30" t="str">
        <x:v>Constant</x:v>
      </x:c>
      <x:c r="E46" s="30" t="str">
        <x:v>Arithmetic constant</x:v>
      </x:c>
      <x:c r="F46" s="30" t="str">
        <x:v>Calendar constant.</x:v>
      </x:c>
    </x:row>
    <x:row r="47" ht="33" customHeight="1">
      <x:c r="A47" s="30" t="str">
        <x:v>Tokens per million</x:v>
      </x:c>
      <x:c r="B47" s="32" t="n">
        <x:v>1000000</x:v>
      </x:c>
      <x:c r="C47" s="30" t="str">
        <x:v>tokens</x:v>
      </x:c>
      <x:c r="D47" s="30" t="str">
        <x:v>Constant</x:v>
      </x:c>
      <x:c r="E47" s="30" t="str">
        <x:v>Arithmetic constant</x:v>
      </x:c>
      <x:c r="F47" s="30" t="str">
        <x:v>Rate denominator.</x:v>
      </x:c>
    </x:row>
    <x:row r="48" ht="18" customHeight="1">
      <x:c r="A48" s="4"/>
      <x:c r="B48" s="4"/>
      <x:c r="C48" s="4"/>
      <x:c r="D48" s="4"/>
      <x:c r="E48" s="4"/>
      <x:c r="F48" s="4"/>
    </x:row>
    <x:row r="49" ht="18" customHeight="1">
      <x:c r="A49" s="4"/>
      <x:c r="B49" s="4"/>
      <x:c r="C49" s="4"/>
      <x:c r="D49" s="4"/>
      <x:c r="E49" s="4"/>
      <x:c r="F49" s="4"/>
    </x:row>
    <x:row r="50" ht="18" customHeight="1">
      <x:c r="A50" s="4"/>
      <x:c r="B50" s="4"/>
      <x:c r="C50" s="4"/>
      <x:c r="D50" s="4"/>
      <x:c r="E50" s="4"/>
      <x:c r="F50" s="4"/>
    </x:row>
    <x:row r="51" ht="18" customHeight="1">
      <x:c r="A51" s="4"/>
      <x:c r="B51" s="4"/>
      <x:c r="C51" s="4"/>
      <x:c r="D51" s="4"/>
      <x:c r="E51" s="4"/>
      <x:c r="F51" s="4"/>
    </x:row>
    <x:row r="52" ht="18" customHeight="1">
      <x:c r="A52" s="4"/>
      <x:c r="B52" s="4"/>
      <x:c r="C52" s="4"/>
      <x:c r="D52" s="4"/>
      <x:c r="E52" s="4"/>
      <x:c r="F52" s="4"/>
    </x:row>
    <x:row r="53" ht="18" customHeight="1">
      <x:c r="A53" s="4"/>
      <x:c r="B53" s="4"/>
      <x:c r="C53" s="4"/>
      <x:c r="D53" s="4"/>
      <x:c r="E53" s="4"/>
      <x:c r="F53" s="4"/>
    </x:row>
    <x:row r="54" ht="18" customHeight="1">
      <x:c r="A54" s="4"/>
      <x:c r="B54" s="4"/>
      <x:c r="C54" s="4"/>
      <x:c r="D54" s="4"/>
      <x:c r="E54" s="4"/>
      <x:c r="F54" s="4"/>
    </x:row>
    <x:row r="55" ht="18" customHeight="1">
      <x:c r="A55" s="4"/>
      <x:c r="B55" s="4"/>
      <x:c r="C55" s="4"/>
      <x:c r="D55" s="4"/>
      <x:c r="E55" s="4"/>
      <x:c r="F55" s="4"/>
    </x:row>
  </x:sheetData>
  <x:mergeCells>
    <x:mergeCell ref="A1:F1"/>
    <x:mergeCell ref="A2:F2"/>
  </x:mergeCells>
  <x:pageMargins left="0.7" right="0.7" top="0.75" bottom="0.75" header="0.3" footer="0.3"/>
  <x:legacyDrawing xmlns:r="http://schemas.openxmlformats.org/officeDocument/2006/relationships" r:id="Re774ba3c9e6d4811"/>
</x:worksheet>
</file>

<file path=xl/worksheets/sheet4.xml><?xml version="1.0" encoding="utf-8"?>
<x:worksheet xmlns:x="http://schemas.openxmlformats.org/spreadsheetml/2006/main">
  <x:sheetViews>
    <x:sheetView showGridLines="0" workbookViewId="0"/>
  </x:sheetViews>
  <x:sheetFormatPr defaultRowHeight="15"/>
  <x:cols>
    <x:col min="1" max="1" width="43" hidden="0" customWidth="1"/>
    <x:col min="2" max="2" width="15" hidden="0" customWidth="1"/>
    <x:col min="3" max="3" width="15" hidden="0" customWidth="1"/>
    <x:col min="4" max="4" width="15" hidden="0" customWidth="1"/>
    <x:col min="5" max="5" width="19" hidden="0" customWidth="1"/>
    <x:col min="6" max="6" width="57" hidden="0" customWidth="1"/>
  </x:cols>
  <x:sheetData>
    <x:row r="1" ht="34" customHeight="1">
      <x:c r="A1" s="7" t="str">
        <x:v>GROWTH SCENARIOS</x:v>
      </x:c>
      <x:c r="B1" s="7"/>
      <x:c r="C1" s="7"/>
      <x:c r="D1" s="7"/>
      <x:c r="E1" s="7"/>
      <x:c r="F1" s="7"/>
    </x:row>
    <x:row r="2" ht="30" customHeight="1">
      <x:c r="A2" s="11" t="str">
        <x:v>Conditional scenarios, not probabilities. Enter qualified prospects and conversion, not a desired revenue CAGR.</x:v>
      </x:c>
      <x:c r="B2" s="11"/>
      <x:c r="C2" s="11"/>
      <x:c r="D2" s="11"/>
      <x:c r="E2" s="11"/>
      <x:c r="F2" s="11"/>
    </x:row>
    <x:row r="3" ht="18" customHeight="1">
      <x:c r="A3" s="4"/>
      <x:c r="B3" s="4"/>
      <x:c r="C3" s="4"/>
      <x:c r="D3" s="4"/>
      <x:c r="E3" s="4"/>
      <x:c r="F3" s="4"/>
    </x:row>
    <x:row r="4" ht="30" customHeight="1">
      <x:c r="A4" s="16" t="str">
        <x:v>Assumption</x:v>
      </x:c>
      <x:c r="B4" s="16" t="str">
        <x:v>Downside</x:v>
      </x:c>
      <x:c r="C4" s="16" t="str">
        <x:v>Base</x:v>
      </x:c>
      <x:c r="D4" s="16" t="str">
        <x:v>Strong</x:v>
      </x:c>
      <x:c r="E4" s="16" t="str">
        <x:v>Units</x:v>
      </x:c>
      <x:c r="F4" s="16" t="str">
        <x:v>Interpretation</x:v>
      </x:c>
    </x:row>
    <x:row r="5" ht="30" customHeight="1">
      <x:c r="A5" s="30" t="str">
        <x:v>Qualified organic prospects in month 1</x:v>
      </x:c>
      <x:c r="B5" s="32" t="n">
        <x:v>500</x:v>
      </x:c>
      <x:c r="C5" s="32" t="n">
        <x:v>1000</x:v>
      </x:c>
      <x:c r="D5" s="32" t="n">
        <x:v>1500</x:v>
      </x:c>
      <x:c r="E5" s="30" t="str">
        <x:v>visits</x:v>
      </x:c>
      <x:c r="F5" s="30" t="str">
        <x:v>Unique new-prospect equivalents, not raw sessions or free MAU.</x:v>
      </x:c>
    </x:row>
    <x:row r="6" ht="30" customHeight="1">
      <x:c r="A6" s="30" t="str">
        <x:v>Organic monthly growth, year 1</x:v>
      </x:c>
      <x:c r="B6" s="33" t="n">
        <x:v>0.03</x:v>
      </x:c>
      <x:c r="C6" s="33" t="n">
        <x:v>0.12</x:v>
      </x:c>
      <x:c r="D6" s="33" t="n">
        <x:v>0.15</x:v>
      </x:c>
      <x:c r="E6" s="30" t="str">
        <x:v>%</x:v>
      </x:c>
      <x:c r="F6" s="30" t="str">
        <x:v>Unproven assumption; no guaranteed compounding.</x:v>
      </x:c>
    </x:row>
    <x:row r="7" ht="30" customHeight="1">
      <x:c r="A7" s="30" t="str">
        <x:v>Organic monthly growth, year 2</x:v>
      </x:c>
      <x:c r="B7" s="33" t="n">
        <x:v>0.02</x:v>
      </x:c>
      <x:c r="C7" s="33" t="n">
        <x:v>0.08</x:v>
      </x:c>
      <x:c r="D7" s="33" t="n">
        <x:v>0.12</x:v>
      </x:c>
      <x:c r="E7" s="30" t="str">
        <x:v>%</x:v>
      </x:c>
      <x:c r="F7" s="30" t="str">
        <x:v>Not a market benchmark.</x:v>
      </x:c>
    </x:row>
    <x:row r="8" ht="30" customHeight="1">
      <x:c r="A8" s="30" t="str">
        <x:v>Organic monthly growth, year 3</x:v>
      </x:c>
      <x:c r="B8" s="33" t="n">
        <x:v>0.01</x:v>
      </x:c>
      <x:c r="C8" s="33" t="n">
        <x:v>0.06</x:v>
      </x:c>
      <x:c r="D8" s="33" t="n">
        <x:v>0.08</x:v>
      </x:c>
      <x:c r="E8" s="30" t="str">
        <x:v>%</x:v>
      </x:c>
      <x:c r="F8" s="30" t="str">
        <x:v>No automatic traffic from launching more platforms.</x:v>
      </x:c>
    </x:row>
    <x:row r="9" ht="30" customHeight="1">
      <x:c r="A9" s="30" t="str">
        <x:v>Organic prospect to first purchase</x:v>
      </x:c>
      <x:c r="B9" s="33" t="n">
        <x:v>0.004</x:v>
      </x:c>
      <x:c r="C9" s="33" t="n">
        <x:v>0.015</x:v>
      </x:c>
      <x:c r="D9" s="33" t="n">
        <x:v>0.02</x:v>
      </x:c>
      <x:c r="E9" s="30" t="str">
        <x:v>%</x:v>
      </x:c>
      <x:c r="F9" s="30" t="str">
        <x:v>Gross first purchasers; refunds reduce retained payers.</x:v>
      </x:c>
    </x:row>
    <x:row r="10" ht="30" customHeight="1">
      <x:c r="A10" s="30" t="str">
        <x:v>Year-1 paid cost per click</x:v>
      </x:c>
      <x:c r="B10" s="32" t="n">
        <x:v>18</x:v>
      </x:c>
      <x:c r="C10" s="32" t="n">
        <x:v>15</x:v>
      </x:c>
      <x:c r="D10" s="32" t="n">
        <x:v>18</x:v>
      </x:c>
      <x:c r="E10" s="30" t="str">
        <x:v>INR/click</x:v>
      </x:c>
      <x:c r="F10" s="30" t="str">
        <x:v>Illustrative only; includes neither creative nor content.</x:v>
      </x:c>
    </x:row>
    <x:row r="11" ht="30" customHeight="1">
      <x:c r="A11" s="30" t="str">
        <x:v>Paid CPC increase each year</x:v>
      </x:c>
      <x:c r="B11" s="33" t="n">
        <x:v>0.1</x:v>
      </x:c>
      <x:c r="C11" s="33" t="n">
        <x:v>0.1</x:v>
      </x:c>
      <x:c r="D11" s="33" t="n">
        <x:v>0.1</x:v>
      </x:c>
      <x:c r="E11" s="30" t="str">
        <x:v>%</x:v>
      </x:c>
      <x:c r="F11" s="30" t="str">
        <x:v>CPC is 10% higher in Y2 and 21% higher in Y3.</x:v>
      </x:c>
    </x:row>
    <x:row r="12" ht="30" customHeight="1">
      <x:c r="A12" s="30" t="str">
        <x:v>Paid click to first purchase</x:v>
      </x:c>
      <x:c r="B12" s="33" t="n">
        <x:v>0.008</x:v>
      </x:c>
      <x:c r="C12" s="33" t="n">
        <x:v>0.02</x:v>
      </x:c>
      <x:c r="D12" s="33" t="n">
        <x:v>0.03</x:v>
      </x:c>
      <x:c r="E12" s="30" t="str">
        <x:v>%</x:v>
      </x:c>
      <x:c r="F12" s="30" t="str">
        <x:v>Track paid CAC separately from organic/blended.</x:v>
      </x:c>
    </x:row>
    <x:row r="13" ht="30" customHeight="1">
      <x:c r="A13" s="30" t="str">
        <x:v>Paid creative / media allowance</x:v>
      </x:c>
      <x:c r="B13" s="33" t="n">
        <x:v>0.25</x:v>
      </x:c>
      <x:c r="C13" s="33" t="n">
        <x:v>0.25</x:v>
      </x:c>
      <x:c r="D13" s="33" t="n">
        <x:v>0.25</x:v>
      </x:c>
      <x:c r="E13" s="30" t="str">
        <x:v>%</x:v>
      </x:c>
      <x:c r="F13" s="30" t="str">
        <x:v>Media plus this allowance forms loaded paid-channel CAC.</x:v>
      </x:c>
    </x:row>
    <x:row r="14" ht="30" customHeight="1">
      <x:c r="A14" s="30" t="str">
        <x:v>Monthly media budget, M1-M3</x:v>
      </x:c>
      <x:c r="B14" s="32" t="n">
        <x:v>5000</x:v>
      </x:c>
      <x:c r="C14" s="32" t="n">
        <x:v>6000</x:v>
      </x:c>
      <x:c r="D14" s="32" t="n">
        <x:v>10000</x:v>
      </x:c>
      <x:c r="E14" s="30" t="str">
        <x:v>INR/month</x:v>
      </x:c>
      <x:c r="F14" s="30" t="str">
        <x:v>Unapproved schedule; spending requires conversion evidence.</x:v>
      </x:c>
    </x:row>
    <x:row r="15" ht="30" customHeight="1">
      <x:c r="A15" s="30" t="str">
        <x:v>Monthly media budget, M4-M6</x:v>
      </x:c>
      <x:c r="B15" s="32" t="n">
        <x:v>5000</x:v>
      </x:c>
      <x:c r="C15" s="32" t="n">
        <x:v>12000</x:v>
      </x:c>
      <x:c r="D15" s="32" t="n">
        <x:v>20000</x:v>
      </x:c>
      <x:c r="E15" s="30" t="str">
        <x:v>INR/month</x:v>
      </x:c>
      <x:c r="F15" s="30" t="str">
        <x:v>Downside runs a second test, then stops paid spend.</x:v>
      </x:c>
    </x:row>
    <x:row r="16" ht="30" customHeight="1">
      <x:c r="A16" s="30" t="str">
        <x:v>Monthly media budget, M7-M12</x:v>
      </x:c>
      <x:c r="B16" s="32" t="n">
        <x:v>0</x:v>
      </x:c>
      <x:c r="C16" s="32" t="n">
        <x:v>25000</x:v>
      </x:c>
      <x:c r="D16" s="32" t="n">
        <x:v>50000</x:v>
      </x:c>
      <x:c r="E16" s="30" t="str">
        <x:v>INR/month</x:v>
      </x:c>
      <x:c r="F16" s="30" t="str">
        <x:v>Gate on repeat use, purchase and observed CAC.</x:v>
      </x:c>
    </x:row>
    <x:row r="17" ht="30" customHeight="1">
      <x:c r="A17" s="30" t="str">
        <x:v>Monthly media budget, M13-M18</x:v>
      </x:c>
      <x:c r="B17" s="32" t="n">
        <x:v>0</x:v>
      </x:c>
      <x:c r="C17" s="32" t="n">
        <x:v>50000</x:v>
      </x:c>
      <x:c r="D17" s="32" t="n">
        <x:v>100000</x:v>
      </x:c>
      <x:c r="E17" s="30" t="str">
        <x:v>INR/month</x:v>
      </x:c>
      <x:c r="F17" s="30" t="str">
        <x:v>No automatic spend authority.</x:v>
      </x:c>
    </x:row>
    <x:row r="18" ht="30" customHeight="1">
      <x:c r="A18" s="30" t="str">
        <x:v>Monthly media budget, M19-M24</x:v>
      </x:c>
      <x:c r="B18" s="32" t="n">
        <x:v>0</x:v>
      </x:c>
      <x:c r="C18" s="32" t="n">
        <x:v>75000</x:v>
      </x:c>
      <x:c r="D18" s="32" t="n">
        <x:v>150000</x:v>
      </x:c>
      <x:c r="E18" s="30" t="str">
        <x:v>INR/month</x:v>
      </x:c>
      <x:c r="F18" s="30" t="str">
        <x:v>No automatic spend authority.</x:v>
      </x:c>
    </x:row>
    <x:row r="19" ht="30" customHeight="1">
      <x:c r="A19" s="30" t="str">
        <x:v>Monthly media budget, M25-M30</x:v>
      </x:c>
      <x:c r="B19" s="32" t="n">
        <x:v>0</x:v>
      </x:c>
      <x:c r="C19" s="32" t="n">
        <x:v>100000</x:v>
      </x:c>
      <x:c r="D19" s="32" t="n">
        <x:v>250000</x:v>
      </x:c>
      <x:c r="E19" s="30" t="str">
        <x:v>INR/month</x:v>
      </x:c>
      <x:c r="F19" s="30" t="str">
        <x:v>No automatic spend authority.</x:v>
      </x:c>
    </x:row>
    <x:row r="20" ht="30" customHeight="1">
      <x:c r="A20" s="30" t="str">
        <x:v>Monthly media budget, M31-M36</x:v>
      </x:c>
      <x:c r="B20" s="32" t="n">
        <x:v>0</x:v>
      </x:c>
      <x:c r="C20" s="32" t="n">
        <x:v>125000</x:v>
      </x:c>
      <x:c r="D20" s="32" t="n">
        <x:v>400000</x:v>
      </x:c>
      <x:c r="E20" s="30" t="str">
        <x:v>INR/month</x:v>
      </x:c>
      <x:c r="F20" s="30" t="str">
        <x:v>No automatic spend authority.</x:v>
      </x:c>
    </x:row>
    <x:row r="21" ht="30" customHeight="1">
      <x:c r="A21" s="30" t="str">
        <x:v>Content / partner cash budget, Y1</x:v>
      </x:c>
      <x:c r="B21" s="32" t="n">
        <x:v>2000</x:v>
      </x:c>
      <x:c r="C21" s="32" t="n">
        <x:v>5000</x:v>
      </x:c>
      <x:c r="D21" s="32" t="n">
        <x:v>7500</x:v>
      </x:c>
      <x:c r="E21" s="30" t="str">
        <x:v>INR/month</x:v>
      </x:c>
      <x:c r="F21" s="30" t="str">
        <x:v>Additional to paid creative; founder time excluded.</x:v>
      </x:c>
    </x:row>
    <x:row r="22" ht="30" customHeight="1">
      <x:c r="A22" s="30" t="str">
        <x:v>Content / partner cash budget, Y2</x:v>
      </x:c>
      <x:c r="B22" s="32" t="n">
        <x:v>2000</x:v>
      </x:c>
      <x:c r="C22" s="32" t="n">
        <x:v>10000</x:v>
      </x:c>
      <x:c r="D22" s="32" t="n">
        <x:v>15000</x:v>
      </x:c>
      <x:c r="E22" s="30" t="str">
        <x:v>INR/month</x:v>
      </x:c>
      <x:c r="F22" s="30" t="str">
        <x:v>All included in blended cash CAC.</x:v>
      </x:c>
    </x:row>
    <x:row r="23" ht="30" customHeight="1">
      <x:c r="A23" s="30" t="str">
        <x:v>Content / partner cash budget, Y3</x:v>
      </x:c>
      <x:c r="B23" s="32" t="n">
        <x:v>2000</x:v>
      </x:c>
      <x:c r="C23" s="32" t="n">
        <x:v>15000</x:v>
      </x:c>
      <x:c r="D23" s="32" t="n">
        <x:v>25000</x:v>
      </x:c>
      <x:c r="E23" s="30" t="str">
        <x:v>INR/month</x:v>
      </x:c>
      <x:c r="F23" s="30" t="str">
        <x:v>Does not guarantee organic traffic.</x:v>
      </x:c>
    </x:row>
    <x:row r="24" ht="30" customHeight="1">
      <x:c r="A24" s="30" t="str">
        <x:v>Core overhead, Y1</x:v>
      </x:c>
      <x:c r="B24" s="32" t="n">
        <x:v>10000</x:v>
      </x:c>
      <x:c r="C24" s="32" t="n">
        <x:v>10000</x:v>
      </x:c>
      <x:c r="D24" s="32" t="n">
        <x:v>10000</x:v>
      </x:c>
      <x:c r="E24" s="30" t="str">
        <x:v>INR/month</x:v>
      </x:c>
      <x:c r="F24" s="30" t="str">
        <x:v>Hosting, admin, email, monitoring, domains and allocated tools.</x:v>
      </x:c>
    </x:row>
    <x:row r="25" ht="30" customHeight="1">
      <x:c r="A25" s="30" t="str">
        <x:v>Core overhead, Y2</x:v>
      </x:c>
      <x:c r="B25" s="32" t="n">
        <x:v>10000</x:v>
      </x:c>
      <x:c r="C25" s="32" t="n">
        <x:v>15000</x:v>
      </x:c>
      <x:c r="D25" s="32" t="n">
        <x:v>20000</x:v>
      </x:c>
      <x:c r="E25" s="30" t="str">
        <x:v>INR/month</x:v>
      </x:c>
      <x:c r="F25" s="30" t="str">
        <x:v>Separate scale QA reserve is added.</x:v>
      </x:c>
    </x:row>
    <x:row r="26" ht="30" customHeight="1">
      <x:c r="A26" s="30" t="str">
        <x:v>Core overhead, Y3</x:v>
      </x:c>
      <x:c r="B26" s="32" t="n">
        <x:v>10000</x:v>
      </x:c>
      <x:c r="C26" s="32" t="n">
        <x:v>25000</x:v>
      </x:c>
      <x:c r="D26" s="32" t="n">
        <x:v>40000</x:v>
      </x:c>
      <x:c r="E26" s="30" t="str">
        <x:v>INR/month</x:v>
      </x:c>
      <x:c r="F26" s="30" t="str">
        <x:v>No servers processing customer PDFs.</x:v>
      </x:c>
    </x:row>
    <x:row r="27" ht="30" customHeight="1">
      <x:c r="A27" s="30" t="str">
        <x:v>Annual plan share of NEW buyers</x:v>
      </x:c>
      <x:c r="B27" s="40" t="n">
        <x:v>0.65</x:v>
      </x:c>
      <x:c r="C27" s="40" t="n">
        <x:v>0.75</x:v>
      </x:c>
      <x:c r="D27" s="40" t="n">
        <x:v>0.8</x:v>
      </x:c>
      <x:c r="E27" s="30" t="str">
        <x:v>%</x:v>
      </x:c>
      <x:c r="F27" s="30" t="str">
        <x:v>Not the share of active subscribers after churn.</x:v>
      </x:c>
    </x:row>
    <x:row r="28" ht="30" customHeight="1">
      <x:c r="A28" s="30" t="str">
        <x:v>India share of buyers</x:v>
      </x:c>
      <x:c r="B28" s="40" t="n">
        <x:v>0.7</x:v>
      </x:c>
      <x:c r="C28" s="40" t="n">
        <x:v>0.4</x:v>
      </x:c>
      <x:c r="D28" s="40" t="n">
        <x:v>0.25</x:v>
      </x:c>
      <x:c r="E28" s="30" t="str">
        <x:v>%</x:v>
      </x:c>
      <x:c r="F28" s="30" t="str">
        <x:v>Same mix by channel/plan. Price benefit requires obtaining international customers.</x:v>
      </x:c>
    </x:row>
    <x:row r="29" ht="30" customHeight="1">
      <x:c r="A29" s="30" t="str">
        <x:v>Refund fraction of each payment</x:v>
      </x:c>
      <x:c r="B29" s="40" t="n">
        <x:v>0.05</x:v>
      </x:c>
      <x:c r="C29" s="40" t="n">
        <x:v>0.03</x:v>
      </x:c>
      <x:c r="D29" s="40" t="n">
        <x:v>0.02</x:v>
      </x:c>
      <x:c r="E29" s="30" t="str">
        <x:v>%</x:v>
      </x:c>
      <x:c r="F29" s="30" t="str">
        <x:v>Immediate same-month full refund model; fees not refunded.</x:v>
      </x:c>
    </x:row>
    <x:row r="30" ht="30" customHeight="1">
      <x:c r="A30" s="30" t="str">
        <x:v>First annual renewal propensity</x:v>
      </x:c>
      <x:c r="B30" s="40" t="n">
        <x:v>0.2</x:v>
      </x:c>
      <x:c r="C30" s="40" t="n">
        <x:v>0.3</x:v>
      </x:c>
      <x:c r="D30" s="40" t="n">
        <x:v>0.45</x:v>
      </x:c>
      <x:c r="E30" s="30" t="str">
        <x:v>%</x:v>
      </x:c>
      <x:c r="F30" s="30" t="str">
        <x:v>Before modeled refunds; net retention is slightly lower.</x:v>
      </x:c>
    </x:row>
    <x:row r="31" ht="30" customHeight="1">
      <x:c r="A31" s="30" t="str">
        <x:v>Second annual renewal propensity</x:v>
      </x:c>
      <x:c r="B31" s="40" t="n">
        <x:v>0.4</x:v>
      </x:c>
      <x:c r="C31" s="40" t="n">
        <x:v>0.55</x:v>
      </x:c>
      <x:c r="D31" s="40" t="n">
        <x:v>0.65</x:v>
      </x:c>
      <x:c r="E31" s="30" t="str">
        <x:v>%</x:v>
      </x:c>
      <x:c r="F31" s="30" t="str">
        <x:v>Before modeled refunds; survivors can retain better.</x:v>
      </x:c>
    </x:row>
    <x:row r="32" ht="30" customHeight="1">
      <x:c r="A32" s="30" t="str">
        <x:v>First monthly renewal propensity</x:v>
      </x:c>
      <x:c r="B32" s="33" t="n">
        <x:v>0.45</x:v>
      </x:c>
      <x:c r="C32" s="33" t="n">
        <x:v>0.6</x:v>
      </x:c>
      <x:c r="D32" s="33" t="n">
        <x:v>0.7</x:v>
      </x:c>
      <x:c r="E32" s="30" t="str">
        <x:v>%</x:v>
      </x:c>
      <x:c r="F32" s="30" t="str">
        <x:v>Applies at age 1 month, then refunds.</x:v>
      </x:c>
    </x:row>
    <x:row r="33" ht="30" customHeight="1">
      <x:c r="A33" s="30" t="str">
        <x:v>Second monthly renewal propensity</x:v>
      </x:c>
      <x:c r="B33" s="33" t="n">
        <x:v>0.65</x:v>
      </x:c>
      <x:c r="C33" s="33" t="n">
        <x:v>0.75</x:v>
      </x:c>
      <x:c r="D33" s="33" t="n">
        <x:v>0.8</x:v>
      </x:c>
      <x:c r="E33" s="30" t="str">
        <x:v>%</x:v>
      </x:c>
      <x:c r="F33" s="30" t="str">
        <x:v>Applies at age 2 months, then refunds.</x:v>
      </x:c>
    </x:row>
    <x:row r="34" ht="30" customHeight="1">
      <x:c r="A34" s="30" t="str">
        <x:v>Later monthly renewal propensity</x:v>
      </x:c>
      <x:c r="B34" s="33" t="n">
        <x:v>0.82</x:v>
      </x:c>
      <x:c r="C34" s="33" t="n">
        <x:v>0.88</x:v>
      </x:c>
      <x:c r="D34" s="33" t="n">
        <x:v>0.9</x:v>
      </x:c>
      <x:c r="E34" s="30" t="str">
        <x:v>%</x:v>
      </x:c>
      <x:c r="F34" s="30" t="str">
        <x:v>Applies from age 3 onward, then refunds.</x:v>
      </x:c>
    </x:row>
    <x:row r="35" ht="18" customHeight="1">
      <x:c r="A35" s="4"/>
      <x:c r="B35" s="4"/>
      <x:c r="C35" s="4"/>
      <x:c r="D35" s="4"/>
      <x:c r="E35" s="4"/>
      <x:c r="F35" s="4"/>
    </x:row>
    <x:row r="36" ht="18" customHeight="1">
      <x:c r="A36" s="4"/>
      <x:c r="B36" s="4"/>
      <x:c r="C36" s="4"/>
      <x:c r="D36" s="4"/>
      <x:c r="E36" s="4"/>
      <x:c r="F36" s="4"/>
    </x:row>
    <x:row r="37" ht="18" customHeight="1">
      <x:c r="A37" s="4"/>
      <x:c r="B37" s="4"/>
      <x:c r="C37" s="4"/>
      <x:c r="D37" s="4"/>
      <x:c r="E37" s="4"/>
      <x:c r="F37" s="4"/>
    </x:row>
    <x:row r="38" ht="18" customHeight="1">
      <x:c r="A38" s="4"/>
      <x:c r="B38" s="4"/>
      <x:c r="C38" s="4"/>
      <x:c r="D38" s="4"/>
      <x:c r="E38" s="4"/>
      <x:c r="F38" s="4"/>
    </x:row>
    <x:row r="39" ht="18" customHeight="1">
      <x:c r="A39" s="4"/>
      <x:c r="B39" s="4"/>
      <x:c r="C39" s="4"/>
      <x:c r="D39" s="4"/>
      <x:c r="E39" s="4"/>
      <x:c r="F39" s="4"/>
    </x:row>
    <x:row r="40" ht="18" customHeight="1">
      <x:c r="A40" s="4"/>
      <x:c r="B40" s="4"/>
      <x:c r="C40" s="4"/>
      <x:c r="D40" s="4"/>
      <x:c r="E40" s="4"/>
      <x:c r="F40" s="4"/>
    </x:row>
    <x:row r="41" ht="18" customHeight="1">
      <x:c r="A41" s="4"/>
      <x:c r="B41" s="4"/>
      <x:c r="C41" s="4"/>
      <x:c r="D41" s="4"/>
      <x:c r="E41" s="4"/>
      <x:c r="F41" s="4"/>
    </x:row>
    <x:row r="42" ht="18" customHeight="1">
      <x:c r="A42" s="4"/>
      <x:c r="B42" s="4"/>
      <x:c r="C42" s="4"/>
      <x:c r="D42" s="4"/>
      <x:c r="E42" s="4"/>
      <x:c r="F42" s="4"/>
    </x:row>
  </x:sheetData>
  <x:mergeCells>
    <x:mergeCell ref="A1:F1"/>
    <x:mergeCell ref="A2:F2"/>
  </x:mergeCells>
  <x:pageMargins left="0.7" right="0.7" top="0.75" bottom="0.75" header="0.3" footer="0.3"/>
  <x:legacyDrawing xmlns:r="http://schemas.openxmlformats.org/officeDocument/2006/relationships" r:id="R5660bf9e7d7f4fe6"/>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9"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4" customHeight="1">
      <x:c r="A1" s="7" t="str">
        <x:v>ANNUAL RESULTS</x:v>
      </x:c>
      <x:c r="B1" s="7"/>
      <x:c r="C1" s="7"/>
      <x:c r="D1" s="7"/>
      <x:c r="E1" s="7"/>
      <x:c r="F1" s="7"/>
      <x:c r="G1" s="7"/>
      <x:c r="H1" s="7"/>
      <x:c r="I1" s="7"/>
      <x:c r="J1" s="7"/>
      <x:c r="K1" s="7"/>
      <x:c r="L1" s="7"/>
      <x:c r="M1" s="7"/>
      <x:c r="N1" s="7"/>
      <x:c r="O1" s="7"/>
    </x:row>
    <x:row r="2" ht="30" customHeight="1">
      <x:c r="A2" s="11" t="str">
        <x:v>Revenue is earned revenue after sales taxes and refunds, not cash collected. Profit includes all modeled acquisition and scale reserves.</x:v>
      </x:c>
      <x:c r="B2" s="11"/>
      <x:c r="C2" s="11"/>
      <x:c r="D2" s="11"/>
      <x:c r="E2" s="11"/>
      <x:c r="F2" s="11"/>
      <x:c r="G2" s="11"/>
      <x:c r="H2" s="11"/>
      <x:c r="I2" s="11"/>
      <x:c r="J2" s="11"/>
      <x:c r="K2" s="11"/>
      <x:c r="L2" s="11"/>
      <x:c r="M2" s="11"/>
      <x:c r="N2" s="11"/>
      <x:c r="O2" s="11"/>
    </x:row>
    <x:row r="3" ht="18" customHeight="1">
      <x:c r="A3" s="4"/>
      <x:c r="B3" s="4"/>
      <x:c r="C3" s="4"/>
      <x:c r="D3" s="4"/>
      <x:c r="E3" s="4"/>
      <x:c r="F3" s="4"/>
      <x:c r="G3" s="4"/>
      <x:c r="H3" s="4"/>
      <x:c r="I3" s="4"/>
      <x:c r="J3" s="4"/>
      <x:c r="K3" s="4"/>
      <x:c r="L3" s="4"/>
      <x:c r="M3" s="4"/>
      <x:c r="N3" s="4"/>
      <x:c r="O3" s="4"/>
    </x:row>
    <x:row r="4" ht="48" customHeight="1">
      <x:c r="A4" s="16" t="str">
        <x:v>Scenario</x:v>
      </x:c>
      <x:c r="B4" s="16" t="str">
        <x:v>Year</x:v>
      </x:c>
      <x:c r="C4" s="16" t="str">
        <x:v>New gross buyers</x:v>
      </x:c>
      <x:c r="D4" s="16" t="str">
        <x:v>Year-end payers</x:v>
      </x:c>
      <x:c r="E4" s="16" t="str">
        <x:v>Earned revenue (₹ lakh)</x:v>
      </x:c>
      <x:c r="F4" s="16" t="str">
        <x:v>Operating profit (₹ lakh)</x:v>
      </x:c>
      <x:c r="G4" s="16" t="str">
        <x:v>Op. margin</x:v>
      </x:c>
      <x:c r="H4" s="16" t="str">
        <x:v>Acquisition (₹ lakh)</x:v>
      </x:c>
      <x:c r="I4" s="16" t="str">
        <x:v>Cash CAC (₹)</x:v>
      </x:c>
      <x:c r="J4" s="16" t="str">
        <x:v>Year-end monthly revenue (₹ lakh)</x:v>
      </x:c>
      <x:c r="K4" s="16" t="str">
        <x:v>Year-end monthly profit (₹ lakh)</x:v>
      </x:c>
      <x:c r="L4" s="16" t="str">
        <x:v>Cash balance (₹ lakh)</x:v>
      </x:c>
      <x:c r="M4" s="16" t="str">
        <x:v>Deferred revenue (₹ lakh)</x:v>
      </x:c>
      <x:c r="N4" s="16" t="str">
        <x:v>Founder-adjusted profit (₹ lakh)</x:v>
      </x:c>
      <x:c r="O4" s="16" t="str">
        <x:v>Net cash movement (₹ lakh)</x:v>
      </x:c>
    </x:row>
    <x:row r="5" ht="27" customHeight="1">
      <x:c r="A5" s="4" t="str">
        <x:v>Downside</x:v>
      </x:c>
      <x:c r="B5" s="4" t="n">
        <x:v>1</x:v>
      </x:c>
      <x:c r="C5" s="60" t="n">
        <x:f>SUM('Monthly Downside'!B12:M12)</x:f>
        <x:v>41.717392456411936</x:v>
      </x:c>
      <x:c r="D5" s="60" t="n">
        <x:f>'Monthly Downside'!M34</x:f>
        <x:v>28.197819120379723</x:v>
      </x:c>
      <x:c r="E5" s="82" t="n">
        <x:f>SUM('Monthly Downside'!B38:M38)/'Commercial Inputs'!$B$45</x:f>
        <x:v>0.44337331486376824</x:v>
      </x:c>
      <x:c r="F5" s="82" t="n">
        <x:f>SUM('Monthly Downside'!B56:M56)/'Commercial Inputs'!$B$45</x:f>
        <x:v>-1.6986233610931967</x:v>
      </x:c>
      <x:c r="G5" s="83" t="n">
        <x:f>IFERROR(F5/E5,0)</x:f>
        <x:v>-3.8311357588471897</x:v>
      </x:c>
      <x:c r="H5" s="82" t="n">
        <x:f>SUM('Monthly Downside'!B16:M16)/'Commercial Inputs'!$B$45</x:f>
        <x:v>0.615</x:v>
      </x:c>
      <x:c r="I5" s="60" t="n">
        <x:f>IFERROR(H5*'Commercial Inputs'!$B$45/C5,0)</x:f>
        <x:v>1474.205274556835</x:v>
      </x:c>
      <x:c r="J5" s="82" t="n">
        <x:f>'Monthly Downside'!M38/'Commercial Inputs'!$B$45</x:f>
        <x:v>0.05617743806383999</x:v>
      </x:c>
      <x:c r="K5" s="82" t="n">
        <x:f>'Monthly Downside'!M56/'Commercial Inputs'!$B$45</x:f>
        <x:v>-0.074643871077327</x:v>
      </x:c>
      <x:c r="L5" s="82" t="n">
        <x:f>'Monthly Downside'!M64/'Commercial Inputs'!$B$45</x:f>
        <x:v>-0.4868235769522822</x:v>
      </x:c>
      <x:c r="M5" s="82" t="n">
        <x:f>'Monthly Downside'!M65/'Commercial Inputs'!$B$45</x:f>
        <x:v>0.2324926234778846</x:v>
      </x:c>
      <x:c r="N5" s="82" t="n">
        <x:f>SUM('Monthly Downside'!B58:M58)/'Commercial Inputs'!$B$45</x:f>
        <x:v>-13.698623361093198</x:v>
      </x:c>
      <x:c r="O5" s="82" t="n">
        <x:f>SUM('Monthly Downside'!B62:M62)/'Commercial Inputs'!$B$45</x:f>
        <x:v>-1.4868235769522822</x:v>
      </x:c>
    </x:row>
    <x:row r="6" ht="27" customHeight="1">
      <x:c r="A6" s="4" t="str">
        <x:v>Downside</x:v>
      </x:c>
      <x:c r="B6" s="4" t="n">
        <x:v>2</x:v>
      </x:c>
      <x:c r="C6" s="60" t="n">
        <x:f>SUM('Monthly Downside'!N12:Y12)</x:f>
        <x:v>37.873556512893146</x:v>
      </x:c>
      <x:c r="D6" s="60" t="n">
        <x:f>'Monthly Downside'!Y34</x:f>
        <x:v>31.19898493748156</x:v>
      </x:c>
      <x:c r="E6" s="82" t="n">
        <x:f>SUM('Monthly Downside'!N38:Y38)/'Commercial Inputs'!$B$45</x:f>
        <x:v>0.6744307687580664</x:v>
      </x:c>
      <x:c r="F6" s="82" t="n">
        <x:f>SUM('Monthly Downside'!N56:Y56)/'Commercial Inputs'!$B$45</x:f>
        <x:v>-0.9162515746117844</x:v>
      </x:c>
      <x:c r="G6" s="83" t="n">
        <x:f>IFERROR(F6/E6,0)</x:f>
        <x:v>-1.3585554174804628</x:v>
      </x:c>
      <x:c r="H6" s="82" t="n">
        <x:f>SUM('Monthly Downside'!N16:Y16)/'Commercial Inputs'!$B$45</x:f>
        <x:v>0.24</x:v>
      </x:c>
      <x:c r="I6" s="60" t="n">
        <x:f>IFERROR(H6*'Commercial Inputs'!$B$45/C6,0)</x:f>
        <x:v>633.6875173534277</x:v>
      </x:c>
      <x:c r="J6" s="82" t="n">
        <x:f>'Monthly Downside'!Y38/'Commercial Inputs'!$B$45</x:f>
        <x:v>0.062422963999796514</x:v>
      </x:c>
      <x:c r="K6" s="82" t="n">
        <x:f>'Monthly Downside'!Y56/'Commercial Inputs'!$B$45</x:f>
        <x:v>-0.07119253479371936</x:v>
      </x:c>
      <x:c r="L6" s="82" t="n">
        <x:f>'Monthly Downside'!Y64/'Commercial Inputs'!$B$45</x:f>
        <x:v>-1.3467552535683327</x:v>
      </x:c>
      <x:c r="M6" s="82" t="n">
        <x:f>'Monthly Downside'!Y65/'Commercial Inputs'!$B$45</x:f>
        <x:v>0.29743064488700827</x:v>
      </x:c>
      <x:c r="N6" s="82" t="n">
        <x:f>SUM('Monthly Downside'!N58:Y58)/'Commercial Inputs'!$B$45</x:f>
        <x:v>-12.916251574611785</x:v>
      </x:c>
      <x:c r="O6" s="82" t="n">
        <x:f>SUM('Monthly Downside'!N62:Y62)/'Commercial Inputs'!$B$45</x:f>
        <x:v>-0.8599316766160509</x:v>
      </x:c>
    </x:row>
    <x:row r="7" ht="27" customHeight="1">
      <x:c r="A7" s="66" t="str">
        <x:v>Downside</x:v>
      </x:c>
      <x:c r="B7" s="66" t="n">
        <x:v>3</x:v>
      </x:c>
      <x:c r="C7" s="86" t="n">
        <x:f>SUM('Monthly Downside'!Z12:AK12)</x:f>
        <x:v>44.97465872349884</x:v>
      </x:c>
      <x:c r="D7" s="86" t="n">
        <x:f>'Monthly Downside'!AK34</x:f>
        <x:v>37.4328189700891</x:v>
      </x:c>
      <x:c r="E7" s="87" t="n">
        <x:f>SUM('Monthly Downside'!Z38:AK38)/'Commercial Inputs'!$B$45</x:f>
        <x:v>0.8274874930775672</x:v>
      </x:c>
      <x:c r="F7" s="87" t="n">
        <x:f>SUM('Monthly Downside'!Z56:AK56)/'Commercial Inputs'!$B$45</x:f>
        <x:v>-0.7954539862822518</x:v>
      </x:c>
      <x:c r="G7" s="88" t="n">
        <x:f>IFERROR(F7/E7,0)</x:f>
        <x:v>-0.9612882284465989</x:v>
      </x:c>
      <x:c r="H7" s="87" t="n">
        <x:f>SUM('Monthly Downside'!Z16:AK16)/'Commercial Inputs'!$B$45</x:f>
        <x:v>0.24</x:v>
      </x:c>
      <x:c r="I7" s="86" t="n">
        <x:f>IFERROR(H7*'Commercial Inputs'!$B$45/C7,0)</x:f>
        <x:v>533.6338436173663</x:v>
      </x:c>
      <x:c r="J7" s="87" t="n">
        <x:f>'Monthly Downside'!AK38/'Commercial Inputs'!$B$45</x:f>
        <x:v>0.07472312677472866</x:v>
      </x:c>
      <x:c r="K7" s="87" t="n">
        <x:f>'Monthly Downside'!AK56/'Commercial Inputs'!$B$45</x:f>
        <x:v>-0.06152110266951573</x:v>
      </x:c>
      <x:c r="L7" s="87" t="n">
        <x:f>'Monthly Downside'!AK64/'Commercial Inputs'!$B$45</x:f>
        <x:v>-2.0856738987149357</x:v>
      </x:c>
      <x:c r="M7" s="87" t="n">
        <x:f>'Monthly Downside'!AK65/'Commercial Inputs'!$B$45</x:f>
        <x:v>0.3595005582070749</x:v>
      </x:c>
      <x:c r="N7" s="87" t="n">
        <x:f>SUM('Monthly Downside'!Z58:AK58)/'Commercial Inputs'!$B$45</x:f>
        <x:v>-12.795453986282253</x:v>
      </x:c>
      <x:c r="O7" s="87" t="n">
        <x:f>SUM('Monthly Downside'!Z62:AK62)/'Commercial Inputs'!$B$45</x:f>
        <x:v>-0.7389186451466037</x:v>
      </x:c>
    </x:row>
    <x:row r="8" ht="27" customHeight="1">
      <x:c r="A8" s="4" t="str">
        <x:v>Base</x:v>
      </x:c>
      <x:c r="B8" s="4" t="n">
        <x:v>1</x:v>
      </x:c>
      <x:c r="C8" s="60" t="n">
        <x:f>SUM('Monthly Base'!B12:M12)</x:f>
        <x:v>633.9969990683721</x:v>
      </x:c>
      <x:c r="D8" s="60" t="n">
        <x:f>'Monthly Base'!M34</x:f>
        <x:v>523.9364992466149</x:v>
      </x:c>
      <x:c r="E8" s="82" t="n">
        <x:f>SUM('Monthly Base'!B38:M38)/'Commercial Inputs'!$B$45</x:f>
        <x:v>7.103127045858</x:v>
      </x:c>
      <x:c r="F8" s="82" t="n">
        <x:f>SUM('Monthly Base'!B56:M56)/'Commercial Inputs'!$B$45</x:f>
        <x:v>0.1859520493606727</x:v>
      </x:c>
      <x:c r="G8" s="83" t="n">
        <x:f>IFERROR(F8/E8,0)</x:f>
        <x:v>0.026178899541027596</x:v>
      </x:c>
      <x:c r="H8" s="82" t="n">
        <x:f>SUM('Monthly Base'!B16:M16)/'Commercial Inputs'!$B$45</x:f>
        <x:v>3.15</x:v>
      </x:c>
      <x:c r="I8" s="60" t="n">
        <x:f>IFERROR(H8*'Commercial Inputs'!$B$45/C8,0)</x:f>
        <x:v>496.84777761231874</x:v>
      </x:c>
      <x:c r="J8" s="82" t="n">
        <x:f>'Monthly Base'!M38/'Commercial Inputs'!$B$45</x:f>
        <x:v>1.3462122263184144</x:v>
      </x:c>
      <x:c r="K8" s="82" t="n">
        <x:f>'Monthly Base'!M56/'Commercial Inputs'!$B$45</x:f>
        <x:v>0.4413437834388926</x:v>
      </x:c>
      <x:c r="L8" s="82" t="n">
        <x:f>'Monthly Base'!M64/'Commercial Inputs'!$B$45</x:f>
        <x:v>7.821559495926505</x:v>
      </x:c>
      <x:c r="M8" s="82" t="n">
        <x:f>'Monthly Base'!M65/'Commercial Inputs'!$B$45</x:f>
        <x:v>7.5358097556115125</x:v>
      </x:c>
      <x:c r="N8" s="82" t="n">
        <x:f>SUM('Monthly Base'!B58:M58)/'Commercial Inputs'!$B$45</x:f>
        <x:v>-11.814047950639326</x:v>
      </x:c>
      <x:c r="O8" s="82" t="n">
        <x:f>SUM('Monthly Base'!B62:M62)/'Commercial Inputs'!$B$45</x:f>
        <x:v>6.821559495926505</x:v>
      </x:c>
    </x:row>
    <x:row r="9" ht="27" customHeight="1">
      <x:c r="A9" s="4" t="str">
        <x:v>Base</x:v>
      </x:c>
      <x:c r="B9" s="4" t="n">
        <x:v>2</x:v>
      </x:c>
      <x:c r="C9" s="60" t="n">
        <x:f>SUM('Monthly Base'!N12:Y12)</x:f>
        <x:v>1978.4996156669085</x:v>
      </x:c>
      <x:c r="D9" s="60" t="n">
        <x:f>'Monthly Base'!Y34</x:f>
        <x:v>1758.9921688680697</x:v>
      </x:c>
      <x:c r="E9" s="82" t="n">
        <x:f>SUM('Monthly Base'!N38:Y38)/'Commercial Inputs'!$B$45</x:f>
        <x:v>34.89051287948072</x:v>
      </x:c>
      <x:c r="F9" s="82" t="n">
        <x:f>SUM('Monthly Base'!N56:Y56)/'Commercial Inputs'!$B$45</x:f>
        <x:v>12.165032591830554</x:v>
      </x:c>
      <x:c r="G9" s="83" t="n">
        <x:f>IFERROR(F9/E9,0)</x:f>
        <x:v>0.3486630487161704</x:v>
      </x:c>
      <x:c r="H9" s="82" t="n">
        <x:f>SUM('Monthly Base'!N16:Y16)/'Commercial Inputs'!$B$45</x:f>
        <x:v>10.575</x:v>
      </x:c>
      <x:c r="I9" s="60" t="n">
        <x:f>IFERROR(H9*'Commercial Inputs'!$B$45/C9,0)</x:f>
        <x:v>534.4959340027671</x:v>
      </x:c>
      <x:c r="J9" s="82" t="n">
        <x:f>'Monthly Base'!Y38/'Commercial Inputs'!$B$45</x:f>
        <x:v>4.476559031677083</x:v>
      </x:c>
      <x:c r="K9" s="82" t="n">
        <x:f>'Monthly Base'!Y56/'Commercial Inputs'!$B$45</x:f>
        <x:v>2.000081495527593</x:v>
      </x:c>
      <x:c r="L9" s="82" t="n">
        <x:f>'Monthly Base'!Y64/'Commercial Inputs'!$B$45</x:f>
        <x:v>34.25222820073327</x:v>
      </x:c>
      <x:c r="M9" s="82" t="n">
        <x:f>'Monthly Base'!Y65/'Commercial Inputs'!$B$45</x:f>
        <x:v>23.510778052825145</x:v>
      </x:c>
      <x:c r="N9" s="82" t="n">
        <x:f>SUM('Monthly Base'!N58:Y58)/'Commercial Inputs'!$B$45</x:f>
        <x:v>0.16503259183055577</x:v>
      </x:c>
      <x:c r="O9" s="82" t="n">
        <x:f>SUM('Monthly Base'!N62:Y62)/'Commercial Inputs'!$B$45</x:f>
        <x:v>26.43066870480677</x:v>
      </x:c>
    </x:row>
    <x:row r="10" ht="27" customHeight="1">
      <x:c r="A10" s="66" t="str">
        <x:v>Base</x:v>
      </x:c>
      <x:c r="B10" s="66" t="n">
        <x:v>3</x:v>
      </x:c>
      <x:c r="C10" s="86" t="n">
        <x:f>SUM('Monthly Base'!Z12:AK12)</x:f>
        <x:v>3837.203710537847</x:v>
      </x:c>
      <x:c r="D10" s="86" t="n">
        <x:f>'Monthly Base'!AK34</x:f>
        <x:v>3638.210561892481</x:v>
      </x:c>
      <x:c r="E10" s="87" t="n">
        <x:f>SUM('Monthly Base'!Z38:AK38)/'Commercial Inputs'!$B$45</x:f>
        <x:v>82.7405108611773</x:v>
      </x:c>
      <x:c r="F10" s="87" t="n">
        <x:f>SUM('Monthly Base'!Z56:AK56)/'Commercial Inputs'!$B$45</x:f>
        <x:v>39.061071422955635</x:v>
      </x:c>
      <x:c r="G10" s="88" t="n">
        <x:f>IFERROR(F10/E10,0)</x:f>
        <x:v>0.47209125271769975</x:v>
      </x:c>
      <x:c r="H10" s="87" t="n">
        <x:f>SUM('Monthly Base'!Z16:AK16)/'Commercial Inputs'!$B$45</x:f>
        <x:v>18.675</x:v>
      </x:c>
      <x:c r="I10" s="86" t="n">
        <x:f>IFERROR(H10*'Commercial Inputs'!$B$45/C10,0)</x:f>
        <x:v>486.6825274017676</x:v>
      </x:c>
      <x:c r="J10" s="87" t="n">
        <x:f>'Monthly Base'!AK38/'Commercial Inputs'!$B$45</x:f>
        <x:v>9.212255441111445</x:v>
      </x:c>
      <x:c r="K10" s="87" t="n">
        <x:f>'Monthly Base'!AK56/'Commercial Inputs'!$B$45</x:f>
        <x:v>4.941650242224033</x:v>
      </x:c>
      <x:c r="L10" s="87" t="n">
        <x:f>'Monthly Base'!AK64/'Commercial Inputs'!$B$45</x:f>
        <x:v>94.65994774713138</x:v>
      </x:c>
      <x:c r="M10" s="87" t="n">
        <x:f>'Monthly Base'!AK65/'Commercial Inputs'!$B$45</x:f>
        <x:v>47.30929986849993</x:v>
      </x:c>
      <x:c r="N10" s="87" t="n">
        <x:f>SUM('Monthly Base'!Z58:AK58)/'Commercial Inputs'!$B$45</x:f>
        <x:v>27.061071422955635</x:v>
      </x:c>
      <x:c r="O10" s="87" t="n">
        <x:f>SUM('Monthly Base'!Z62:AK62)/'Commercial Inputs'!$B$45</x:f>
        <x:v>60.407719546398084</x:v>
      </x:c>
    </x:row>
    <x:row r="11" ht="27" customHeight="1">
      <x:c r="A11" s="4" t="str">
        <x:v>Strong</x:v>
      </x:c>
      <x:c r="B11" s="4" t="n">
        <x:v>1</x:v>
      </x:c>
      <x:c r="C11" s="60" t="n">
        <x:f>SUM('Monthly Strong'!B12:M12)</x:f>
        <x:v>1520.0500210947416</x:v>
      </x:c>
      <x:c r="D11" s="60" t="n">
        <x:f>'Monthly Strong'!M34</x:f>
        <x:v>1344.2974444610638</x:v>
      </x:c>
      <x:c r="E11" s="82" t="n">
        <x:f>SUM('Monthly Strong'!B38:M38)/'Commercial Inputs'!$B$45</x:f>
        <x:v>18.877322962077685</x:v>
      </x:c>
      <x:c r="F11" s="82" t="n">
        <x:f>SUM('Monthly Strong'!B56:M56)/'Commercial Inputs'!$B$45</x:f>
        <x:v>4.928272955217438</x:v>
      </x:c>
      <x:c r="G11" s="83" t="n">
        <x:f>IFERROR(F11/E11,0)</x:f>
        <x:v>0.26106842400894226</x:v>
      </x:c>
      <x:c r="H11" s="82" t="n">
        <x:f>SUM('Monthly Strong'!B16:M16)/'Commercial Inputs'!$B$45</x:f>
        <x:v>5.775</x:v>
      </x:c>
      <x:c r="I11" s="60" t="n">
        <x:f>IFERROR(H11*'Commercial Inputs'!$B$45/C11,0)</x:f>
        <x:v>379.9217078291173</x:v>
      </x:c>
      <x:c r="J11" s="82" t="n">
        <x:f>'Monthly Strong'!M38/'Commercial Inputs'!$B$45</x:f>
        <x:v>3.798695701304671</x:v>
      </x:c>
      <x:c r="K11" s="82" t="n">
        <x:f>'Monthly Strong'!M56/'Commercial Inputs'!$B$45</x:f>
        <x:v>1.901725217563192</x:v>
      </x:c>
      <x:c r="L11" s="82" t="n">
        <x:f>'Monthly Strong'!M64/'Commercial Inputs'!$B$45</x:f>
        <x:v>25.366468777116538</x:v>
      </x:c>
      <x:c r="M11" s="82" t="n">
        <x:f>'Monthly Strong'!M65/'Commercial Inputs'!$B$45</x:f>
        <x:v>22.178033007156262</x:v>
      </x:c>
      <x:c r="N11" s="82" t="n">
        <x:f>SUM('Monthly Strong'!B58:M58)/'Commercial Inputs'!$B$45</x:f>
        <x:v>-7.071727044782563</x:v>
      </x:c>
      <x:c r="O11" s="82" t="n">
        <x:f>SUM('Monthly Strong'!B62:M62)/'Commercial Inputs'!$B$45</x:f>
        <x:v>24.366468777116538</x:v>
      </x:c>
    </x:row>
    <x:row r="12" ht="27" customHeight="1">
      <x:c r="A12" s="4" t="str">
        <x:v>Strong</x:v>
      </x:c>
      <x:c r="B12" s="4" t="n">
        <x:v>2</x:v>
      </x:c>
      <x:c r="C12" s="60" t="n">
        <x:f>SUM('Monthly Strong'!N12:Y12)</x:f>
        <x:v>6045.227134188717</x:v>
      </x:c>
      <x:c r="D12" s="60" t="n">
        <x:f>'Monthly Strong'!Y34</x:f>
        <x:v>5860.942976386133</x:v>
      </x:c>
      <x:c r="E12" s="82" t="n">
        <x:f>SUM('Monthly Strong'!N38:Y38)/'Commercial Inputs'!$B$45</x:f>
        <x:v>116.13430154138513</x:v>
      </x:c>
      <x:c r="F12" s="82" t="n">
        <x:f>SUM('Monthly Strong'!N56:Y56)/'Commercial Inputs'!$B$45</x:f>
        <x:v>59.1394998580979</x:v>
      </x:c>
      <x:c r="G12" s="83" t="n">
        <x:f>IFERROR(F12/E12,0)</x:f>
        <x:v>0.5092336981681781</x:v>
      </x:c>
      <x:c r="H12" s="82" t="n">
        <x:f>SUM('Monthly Strong'!N16:Y16)/'Commercial Inputs'!$B$45</x:f>
        <x:v>20.55</x:v>
      </x:c>
      <x:c r="I12" s="60" t="n">
        <x:f>IFERROR(H12*'Commercial Inputs'!$B$45/C12,0)</x:f>
        <x:v>339.937599429138</x:v>
      </x:c>
      <x:c r="J12" s="82" t="n">
        <x:f>'Monthly Strong'!Y38/'Commercial Inputs'!$B$45</x:f>
        <x:v>16.425388364926842</x:v>
      </x:c>
      <x:c r="K12" s="82" t="n">
        <x:f>'Monthly Strong'!Y56/'Commercial Inputs'!$B$45</x:f>
        <x:v>9.443143568235097</x:v>
      </x:c>
      <x:c r="L12" s="82" t="n">
        <x:f>'Monthly Strong'!Y64/'Commercial Inputs'!$B$45</x:f>
        <x:v>144.86477505538522</x:v>
      </x:c>
      <x:c r="M12" s="82" t="n">
        <x:f>'Monthly Strong'!Y65/'Commercial Inputs'!$B$45</x:f>
        <x:v>90.48423709697008</x:v>
      </x:c>
      <x:c r="N12" s="82" t="n">
        <x:f>SUM('Monthly Strong'!N58:Y58)/'Commercial Inputs'!$B$45</x:f>
        <x:v>47.1394998580979</x:v>
      </x:c>
      <x:c r="O12" s="82" t="n">
        <x:f>SUM('Monthly Strong'!N62:Y62)/'Commercial Inputs'!$B$45</x:f>
        <x:v>119.4983062782687</x:v>
      </x:c>
    </x:row>
    <x:row r="13" ht="27" customHeight="1">
      <x:c r="A13" s="66" t="str">
        <x:v>Strong</x:v>
      </x:c>
      <x:c r="B13" s="66" t="n">
        <x:v>3</x:v>
      </x:c>
      <x:c r="C13" s="86" t="n">
        <x:f>SUM('Monthly Strong'!Z12:AK12)</x:f>
        <x:v>16516.590444830752</x:v>
      </x:c>
      <x:c r="D13" s="86" t="n">
        <x:f>'Monthly Strong'!AK34</x:f>
        <x:v>16992.972458785694</x:v>
      </x:c>
      <x:c r="E13" s="87" t="n">
        <x:f>SUM('Monthly Strong'!Z38:AK38)/'Commercial Inputs'!$B$45</x:f>
        <x:v>375.5718279377862</x:v>
      </x:c>
      <x:c r="F13" s="87" t="n">
        <x:f>SUM('Monthly Strong'!Z56:AK56)/'Commercial Inputs'!$B$45</x:f>
        <x:v>214.14274577089228</x:v>
      </x:c>
      <x:c r="G13" s="88" t="n">
        <x:f>IFERROR(F13/E13,0)</x:f>
        <x:v>0.5701778723572557</x:v>
      </x:c>
      <x:c r="H13" s="87" t="n">
        <x:f>SUM('Monthly Strong'!Z16:AK16)/'Commercial Inputs'!$B$45</x:f>
        <x:v>51.75</x:v>
      </x:c>
      <x:c r="I13" s="86" t="n">
        <x:f>IFERROR(H13*'Commercial Inputs'!$B$45/C13,0)</x:f>
        <x:v>313.321324839149</x:v>
      </x:c>
      <x:c r="J13" s="87" t="n">
        <x:f>'Monthly Strong'!AK38/'Commercial Inputs'!$B$45</x:f>
        <x:v>47.409029136778024</x:v>
      </x:c>
      <x:c r="K13" s="87" t="n">
        <x:f>'Monthly Strong'!AK56/'Commercial Inputs'!$B$45</x:f>
        <x:v>29.2781176226821</x:v>
      </x:c>
      <x:c r="L13" s="87" t="n">
        <x:f>'Monthly Strong'!AK64/'Commercial Inputs'!$B$45</x:f>
        <x:v>505.90988005625474</x:v>
      </x:c>
      <x:c r="M13" s="87" t="n">
        <x:f>'Monthly Strong'!AK65/'Commercial Inputs'!$B$45</x:f>
        <x:v>255.30864772517913</x:v>
      </x:c>
      <x:c r="N13" s="87" t="n">
        <x:f>SUM('Monthly Strong'!Z58:AK58)/'Commercial Inputs'!$B$45</x:f>
        <x:v>202.14274577089228</x:v>
      </x:c>
      <x:c r="O13" s="87" t="n">
        <x:f>SUM('Monthly Strong'!Z62:AK62)/'Commercial Inputs'!$B$45</x:f>
        <x:v>361.04510500086946</x:v>
      </x:c>
    </x:row>
    <x:row r="14" ht="18" customHeight="1">
      <x:c r="A14" s="4"/>
      <x:c r="B14" s="4"/>
      <x:c r="C14" s="4"/>
      <x:c r="D14" s="4"/>
      <x:c r="E14" s="4"/>
      <x:c r="F14" s="4"/>
      <x:c r="G14" s="4"/>
      <x:c r="H14" s="4"/>
      <x:c r="I14" s="4"/>
      <x:c r="J14" s="4"/>
      <x:c r="K14" s="4"/>
      <x:c r="L14" s="4"/>
      <x:c r="M14" s="4"/>
      <x:c r="N14" s="4"/>
      <x:c r="O14" s="4"/>
    </x:row>
    <x:row r="15" ht="18" customHeight="1">
      <x:c r="A15" s="4"/>
      <x:c r="B15" s="4"/>
      <x:c r="C15" s="4"/>
      <x:c r="D15" s="4"/>
      <x:c r="E15" s="4"/>
      <x:c r="F15" s="4"/>
      <x:c r="G15" s="4"/>
      <x:c r="H15" s="4"/>
      <x:c r="I15" s="4"/>
      <x:c r="J15" s="4"/>
      <x:c r="K15" s="4"/>
      <x:c r="L15" s="4"/>
      <x:c r="M15" s="4"/>
      <x:c r="N15" s="4"/>
      <x:c r="O15" s="4"/>
    </x:row>
    <x:row r="16" ht="18" customHeight="1">
      <x:c r="A16" s="30" t="str">
        <x:v>No probability assigned. No Setapp, enterprise contracts, price increases, ads inside the product, acquisition or exit valuation is included. Negative cash means financing is required or activity must stop.</x:v>
      </x:c>
      <x:c r="B16" s="30"/>
      <x:c r="C16" s="30"/>
      <x:c r="D16" s="30"/>
      <x:c r="E16" s="30"/>
      <x:c r="F16" s="30"/>
      <x:c r="G16" s="30"/>
      <x:c r="H16" s="30"/>
      <x:c r="I16" s="30"/>
      <x:c r="J16" s="30"/>
      <x:c r="K16" s="30"/>
      <x:c r="L16" s="30"/>
      <x:c r="M16" s="30"/>
      <x:c r="N16" s="30"/>
      <x:c r="O16" s="30"/>
    </x:row>
    <x:row r="17" ht="18" customHeight="1">
      <x:c r="A17" s="30"/>
      <x:c r="B17" s="30"/>
      <x:c r="C17" s="30"/>
      <x:c r="D17" s="30"/>
      <x:c r="E17" s="30"/>
      <x:c r="F17" s="30"/>
      <x:c r="G17" s="30"/>
      <x:c r="H17" s="30"/>
      <x:c r="I17" s="30"/>
      <x:c r="J17" s="30"/>
      <x:c r="K17" s="30"/>
      <x:c r="L17" s="30"/>
      <x:c r="M17" s="30"/>
      <x:c r="N17" s="30"/>
      <x:c r="O17" s="30"/>
    </x:row>
    <x:row r="18" ht="18" customHeight="1">
      <x:c r="A18" s="4"/>
      <x:c r="B18" s="4"/>
      <x:c r="C18" s="4"/>
      <x:c r="D18" s="4"/>
      <x:c r="E18" s="4"/>
      <x:c r="F18" s="4"/>
      <x:c r="G18" s="4"/>
      <x:c r="H18" s="4"/>
      <x:c r="I18" s="4"/>
      <x:c r="J18" s="4"/>
      <x:c r="K18" s="4"/>
      <x:c r="L18" s="4"/>
      <x:c r="M18" s="4"/>
      <x:c r="N18" s="4"/>
      <x:c r="O18" s="4"/>
    </x:row>
    <x:row r="19" ht="18" customHeight="1">
      <x:c r="A19" s="4"/>
      <x:c r="B19" s="4"/>
      <x:c r="C19" s="4"/>
      <x:c r="D19" s="4"/>
      <x:c r="E19" s="4"/>
      <x:c r="F19" s="4"/>
      <x:c r="G19" s="4"/>
      <x:c r="H19" s="4"/>
      <x:c r="I19" s="4"/>
      <x:c r="J19" s="4"/>
      <x:c r="K19" s="4"/>
      <x:c r="L19" s="4"/>
      <x:c r="M19" s="4"/>
      <x:c r="N19" s="4"/>
      <x:c r="O19" s="4"/>
    </x:row>
    <x:row r="20" ht="18" customHeight="1">
      <x:c r="A20" s="4"/>
      <x:c r="B20" s="4"/>
      <x:c r="C20" s="4"/>
      <x:c r="D20" s="4"/>
      <x:c r="E20" s="4"/>
      <x:c r="F20" s="4"/>
      <x:c r="G20" s="4"/>
      <x:c r="H20" s="4"/>
      <x:c r="I20" s="4"/>
      <x:c r="J20" s="4"/>
      <x:c r="K20" s="4"/>
      <x:c r="L20" s="4"/>
      <x:c r="M20" s="4"/>
      <x:c r="N20" s="4"/>
      <x:c r="O20" s="4"/>
    </x:row>
    <x:row r="21" ht="18" customHeight="1">
      <x:c r="A21" s="4"/>
      <x:c r="B21" s="4"/>
      <x:c r="C21" s="4"/>
      <x:c r="D21" s="4"/>
      <x:c r="E21" s="4"/>
      <x:c r="F21" s="4"/>
      <x:c r="G21" s="4"/>
      <x:c r="H21" s="4"/>
      <x:c r="I21" s="4"/>
      <x:c r="J21" s="4"/>
      <x:c r="K21" s="4"/>
      <x:c r="L21" s="4"/>
      <x:c r="M21" s="4"/>
      <x:c r="N21" s="4"/>
      <x:c r="O21" s="4"/>
    </x:row>
    <x:row r="22" ht="18" customHeight="1">
      <x:c r="A22" s="4"/>
      <x:c r="B22" s="4"/>
      <x:c r="C22" s="4"/>
      <x:c r="D22" s="4"/>
      <x:c r="E22" s="4"/>
      <x:c r="F22" s="4"/>
      <x:c r="G22" s="4"/>
      <x:c r="H22" s="4"/>
      <x:c r="I22" s="4"/>
      <x:c r="J22" s="4"/>
      <x:c r="K22" s="4"/>
      <x:c r="L22" s="4"/>
      <x:c r="M22" s="4"/>
      <x:c r="N22" s="4"/>
      <x:c r="O22" s="4"/>
    </x:row>
    <x:row r="23" ht="18" customHeight="1">
      <x:c r="A23" s="4"/>
      <x:c r="B23" s="4"/>
      <x:c r="C23" s="4"/>
      <x:c r="D23" s="4"/>
      <x:c r="E23" s="4"/>
      <x:c r="F23" s="4"/>
      <x:c r="G23" s="4"/>
      <x:c r="H23" s="4"/>
      <x:c r="I23" s="4"/>
      <x:c r="J23" s="4"/>
      <x:c r="K23" s="4"/>
      <x:c r="L23" s="4"/>
      <x:c r="M23" s="4"/>
      <x:c r="N23" s="4"/>
      <x:c r="O23" s="4"/>
    </x:row>
    <x:row r="24" ht="18" customHeight="1">
      <x:c r="A24" s="4"/>
      <x:c r="B24" s="4"/>
      <x:c r="C24" s="4"/>
      <x:c r="D24" s="4"/>
      <x:c r="E24" s="4"/>
      <x:c r="F24" s="4"/>
      <x:c r="G24" s="4"/>
      <x:c r="H24" s="4"/>
      <x:c r="I24" s="4"/>
      <x:c r="J24" s="4"/>
      <x:c r="K24" s="4"/>
      <x:c r="L24" s="4"/>
      <x:c r="M24" s="4"/>
      <x:c r="N24" s="4"/>
      <x:c r="O24" s="4"/>
    </x:row>
  </x:sheetData>
  <x:mergeCells>
    <x:mergeCell ref="A1:O1"/>
    <x:mergeCell ref="A2:O2"/>
    <x:mergeCell ref="A16:O1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22" hidden="0" customWidth="1"/>
    <x:col min="3" max="3" width="60" hidden="0" customWidth="1"/>
    <x:col min="4" max="4" width="25" hidden="0" customWidth="1"/>
    <x:col min="5" max="5" width="12" hidden="0" customWidth="1"/>
    <x:col min="6" max="6" width="12" hidden="0" customWidth="1"/>
    <x:col min="7" max="7" width="12" hidden="0" customWidth="1"/>
  </x:cols>
  <x:sheetData>
    <x:row r="1" ht="34" customHeight="1">
      <x:c r="A1" s="7" t="str">
        <x:v>PROFIT TARGETS | MATURE ANNUAL-ONLY BUSINESS</x:v>
      </x:c>
      <x:c r="B1" s="7"/>
      <x:c r="C1" s="7"/>
      <x:c r="D1" s="7"/>
      <x:c r="E1" s="7"/>
      <x:c r="F1" s="7"/>
      <x:c r="G1" s="7"/>
    </x:row>
    <x:row r="2" ht="30" customHeight="1">
      <x:c r="A2" s="11" t="str">
        <x:v>These targets maintain an existing annual base; they do not include incremental growth spending. Uses Base market mix and net-of-refund payers.</x:v>
      </x:c>
      <x:c r="B2" s="11"/>
      <x:c r="C2" s="11"/>
      <x:c r="D2" s="11"/>
      <x:c r="E2" s="11"/>
      <x:c r="F2" s="11"/>
      <x:c r="G2" s="11"/>
    </x:row>
    <x:row r="3" ht="18" customHeight="1">
      <x:c r="A3" s="4"/>
      <x:c r="B3" s="4"/>
      <x:c r="C3" s="4"/>
      <x:c r="D3" s="4"/>
      <x:c r="E3" s="4"/>
      <x:c r="F3" s="4"/>
      <x:c r="G3" s="4"/>
    </x:row>
    <x:row r="4" ht="30" customHeight="1">
      <x:c r="A4" s="16" t="str">
        <x:v>Input / derived measure</x:v>
      </x:c>
      <x:c r="B4" s="16" t="str">
        <x:v>Value</x:v>
      </x:c>
      <x:c r="C4" s="16" t="str">
        <x:v>Explanation</x:v>
      </x:c>
      <x:c r="D4" s="4"/>
      <x:c r="E4" s="4"/>
      <x:c r="F4" s="4"/>
      <x:c r="G4" s="4"/>
    </x:row>
    <x:row r="5" ht="32" customHeight="1">
      <x:c r="A5" s="30" t="str">
        <x:v>Net annual price per retained payer</x:v>
      </x:c>
      <x:c r="B5" s="92" t="n">
        <x:f>'Monthly Base'!B84</x:f>
        <x:v>2837.087118644068</x:v>
      </x:c>
      <x:c r="C5" s="30" t="str">
        <x:v>Sales tax excluded; customers counted after refund.</x:v>
      </x:c>
      <x:c r="D5" s="4"/>
      <x:c r="E5" s="4"/>
      <x:c r="F5" s="4"/>
      <x:c r="G5" s="4"/>
    </x:row>
    <x:row r="6" ht="32" customHeight="1">
      <x:c r="A6" s="30" t="str">
        <x:v>Annual fee cost per retained order</x:v>
      </x:c>
      <x:c r="B6" s="92" t="n">
        <x:f>('Monthly Base'!B86+'Monthly Base'!B88)/(1-'Scenario Inputs'!$C$29)</x:f>
        <x:v>329.1689834003145</x:v>
      </x:c>
      <x:c r="C6" s="30" t="str">
        <x:v>Gross charged fees allocated across retained payers.</x:v>
      </x:c>
      <x:c r="D6" s="4"/>
      <x:c r="E6" s="4"/>
      <x:c r="F6" s="4"/>
      <x:c r="G6" s="4"/>
    </x:row>
    <x:row r="7" ht="32" customHeight="1">
      <x:c r="A7" s="30" t="str">
        <x:v>Annual service / free-tier cost</x:v>
      </x:c>
      <x:c r="B7" s="92" t="n">
        <x:f>'Commercial Inputs'!$B$46*(('Commercial Inputs'!$B$24+'Commercial Inputs'!$B$26*'Commercial Inputs'!$B$25)*'Monthly Base'!B90+'Commercial Inputs'!$B$28)</x:f>
        <x:v>229.88400000000004</x:v>
      </x:c>
      <x:c r="C7" s="30" t="str">
        <x:v>Paid AI, free AI and variable support reserve.</x:v>
      </x:c>
      <x:c r="D7" s="4"/>
      <x:c r="E7" s="4"/>
      <x:c r="F7" s="4"/>
      <x:c r="G7" s="4"/>
    </x:row>
    <x:row r="8" ht="32" customHeight="1">
      <x:c r="A8" s="30" t="str">
        <x:v>Annual contribution before acquisition</x:v>
      </x:c>
      <x:c r="B8" s="92" t="n">
        <x:f>B5-B6-B7</x:f>
        <x:v>2278.0341352437536</x:v>
      </x:c>
      <x:c r="C8" s="30" t="str">
        <x:v>Before fixed overhead and income tax.</x:v>
      </x:c>
      <x:c r="D8" s="4"/>
      <x:c r="E8" s="4"/>
      <x:c r="F8" s="4"/>
      <x:c r="G8" s="4"/>
    </x:row>
    <x:row r="9" ht="32" customHeight="1">
      <x:c r="A9" s="30" t="str">
        <x:v>Net renewal retention</x:v>
      </x:c>
      <x:c r="B9" s="98" t="n">
        <x:f>'Commercial Inputs'!$B$44*(1-'Scenario Inputs'!$C$29)</x:f>
        <x:v>0.291</x:v>
      </x:c>
      <x:c r="C9" s="30" t="str">
        <x:v>Conservative flat 30% renewal propensity, then refund.</x:v>
      </x:c>
      <x:c r="D9" s="4"/>
      <x:c r="E9" s="4"/>
      <x:c r="F9" s="4"/>
      <x:c r="G9" s="4"/>
    </x:row>
    <x:row r="10" ht="32" customHeight="1">
      <x:c r="A10" s="30" t="str">
        <x:v>Cash CAC per retained new annual buyer</x:v>
      </x:c>
      <x:c r="B10" s="92" t="n">
        <x:f>'Commercial Inputs'!$B$43/(1-'Scenario Inputs'!$C$29)</x:f>
        <x:v>670.1030927835052</x:v>
      </x:c>
      <x:c r="C10" s="30" t="str">
        <x:v>Gross-CAC assumption allocated over non-refunded payers.</x:v>
      </x:c>
      <x:c r="D10" s="4"/>
      <x:c r="E10" s="4"/>
      <x:c r="F10" s="4"/>
      <x:c r="G10" s="4"/>
    </x:row>
    <x:row r="11" ht="32" customHeight="1">
      <x:c r="A11" s="30" t="str">
        <x:v>Monthly contribution after replacement CAC</x:v>
      </x:c>
      <x:c r="B11" s="92" t="n">
        <x:f>B8/'Commercial Inputs'!$B$46-(1-B9)*B10/'Commercial Inputs'!$B$46</x:f>
        <x:v>150.24425353835403</x:v>
      </x:c>
      <x:c r="C11" s="30" t="str">
        <x:v>Replace annual nonrenewers; no extra growth.</x:v>
      </x:c>
      <x:c r="D11" s="4"/>
      <x:c r="E11" s="4"/>
      <x:c r="F11" s="4"/>
      <x:c r="G11" s="4"/>
    </x:row>
    <x:row r="12" ht="32" customHeight="1">
      <x:c r="A12" s="30" t="str">
        <x:v>Fixed core + organic maintenance budget</x:v>
      </x:c>
      <x:c r="B12" s="92" t="n">
        <x:f>'Scenario Inputs'!$C$26+'Scenario Inputs'!$C$23+'Commercial Inputs'!$B$32</x:f>
        <x:v>40000</x:v>
      </x:c>
      <x:c r="C12" s="30" t="str">
        <x:v>Scale QA tier added separately. Founder cash pay is zero by default.</x:v>
      </x:c>
      <x:c r="D12" s="4"/>
      <x:c r="E12" s="4"/>
      <x:c r="F12" s="4"/>
      <x:c r="G12" s="4"/>
    </x:row>
    <x:row r="13" ht="18" customHeight="1">
      <x:c r="A13" s="4"/>
      <x:c r="B13" s="4"/>
      <x:c r="C13" s="4"/>
      <x:c r="D13" s="4"/>
      <x:c r="E13" s="4"/>
      <x:c r="F13" s="4"/>
      <x:c r="G13" s="4"/>
    </x:row>
    <x:row r="14" ht="18" customHeight="1">
      <x:c r="A14" s="4"/>
      <x:c r="B14" s="4"/>
      <x:c r="C14" s="4"/>
      <x:c r="D14" s="4"/>
      <x:c r="E14" s="4"/>
      <x:c r="F14" s="4"/>
      <x:c r="G14" s="4"/>
    </x:row>
    <x:row r="15" ht="30" customHeight="1">
      <x:c r="A15" s="96" t="str">
        <x:v>Retained annual payers</x:v>
      </x:c>
      <x:c r="B15" s="16" t="str">
        <x:v>Revenue / month (INR)</x:v>
      </x:c>
      <x:c r="C15" s="16" t="str">
        <x:v>Fixed + QA (INR)</x:v>
      </x:c>
      <x:c r="D15" s="16" t="str">
        <x:v>Profit / month (INR)</x:v>
      </x:c>
      <x:c r="E15" s="4"/>
      <x:c r="F15" s="4"/>
      <x:c r="G15" s="4"/>
    </x:row>
    <x:row r="16" ht="18" customHeight="1">
      <x:c r="A16" s="22" t="n">
        <x:v>100</x:v>
      </x:c>
      <x:c r="B16" s="52" t="n">
        <x:f>A16*$B$5/'Commercial Inputs'!$B$46</x:f>
        <x:v>23642.392655367235</x:v>
      </x:c>
      <x:c r="C16" s="52" t="n">
        <x:f>$B$12+IF(A16&gt;='Commercial Inputs'!$B$38,'Commercial Inputs'!$B$42,IF(A16&gt;='Commercial Inputs'!$B$37,'Commercial Inputs'!$B$41,IF(A16&gt;='Commercial Inputs'!$B$36,'Commercial Inputs'!$B$40,IF(A16&gt;='Commercial Inputs'!$B$35,'Commercial Inputs'!$B$39,0))))</x:f>
        <x:v>40000</x:v>
      </x:c>
      <x:c r="D16" s="52" t="n">
        <x:f>A16*$B$11-C16</x:f>
        <x:v>-24975.574646164598</x:v>
      </x:c>
      <x:c r="E16" s="4"/>
      <x:c r="F16" s="4"/>
      <x:c r="G16" s="4"/>
    </x:row>
    <x:row r="17" ht="18" customHeight="1">
      <x:c r="A17" s="22" t="n">
        <x:v>500</x:v>
      </x:c>
      <x:c r="B17" s="52" t="n">
        <x:f>A17*$B$5/'Commercial Inputs'!$B$46</x:f>
        <x:v>118211.96327683616</x:v>
      </x:c>
      <x:c r="C17" s="52" t="n">
        <x:f>$B$12+IF(A17&gt;='Commercial Inputs'!$B$38,'Commercial Inputs'!$B$42,IF(A17&gt;='Commercial Inputs'!$B$37,'Commercial Inputs'!$B$41,IF(A17&gt;='Commercial Inputs'!$B$36,'Commercial Inputs'!$B$40,IF(A17&gt;='Commercial Inputs'!$B$35,'Commercial Inputs'!$B$39,0))))</x:f>
        <x:v>50000</x:v>
      </x:c>
      <x:c r="D17" s="52" t="n">
        <x:f>A17*$B$11-C17</x:f>
        <x:v>25122.12676917702</x:v>
      </x:c>
      <x:c r="E17" s="4"/>
      <x:c r="F17" s="4"/>
      <x:c r="G17" s="4"/>
    </x:row>
    <x:row r="18" ht="18" customHeight="1">
      <x:c r="A18" s="22" t="n">
        <x:v>1000</x:v>
      </x:c>
      <x:c r="B18" s="52" t="n">
        <x:f>A18*$B$5/'Commercial Inputs'!$B$46</x:f>
        <x:v>236423.92655367233</x:v>
      </x:c>
      <x:c r="C18" s="52" t="n">
        <x:f>$B$12+IF(A18&gt;='Commercial Inputs'!$B$38,'Commercial Inputs'!$B$42,IF(A18&gt;='Commercial Inputs'!$B$37,'Commercial Inputs'!$B$41,IF(A18&gt;='Commercial Inputs'!$B$36,'Commercial Inputs'!$B$40,IF(A18&gt;='Commercial Inputs'!$B$35,'Commercial Inputs'!$B$39,0))))</x:f>
        <x:v>50000</x:v>
      </x:c>
      <x:c r="D18" s="52" t="n">
        <x:f>A18*$B$11-C18</x:f>
        <x:v>100244.25353835404</x:v>
      </x:c>
      <x:c r="E18" s="4"/>
      <x:c r="F18" s="4"/>
      <x:c r="G18" s="4"/>
    </x:row>
    <x:row r="19" ht="18" customHeight="1">
      <x:c r="A19" s="22" t="n">
        <x:v>2500</x:v>
      </x:c>
      <x:c r="B19" s="52" t="n">
        <x:f>A19*$B$5/'Commercial Inputs'!$B$46</x:f>
        <x:v>591059.8163841808</x:v>
      </x:c>
      <x:c r="C19" s="52" t="n">
        <x:f>$B$12+IF(A19&gt;='Commercial Inputs'!$B$38,'Commercial Inputs'!$B$42,IF(A19&gt;='Commercial Inputs'!$B$37,'Commercial Inputs'!$B$41,IF(A19&gt;='Commercial Inputs'!$B$36,'Commercial Inputs'!$B$40,IF(A19&gt;='Commercial Inputs'!$B$35,'Commercial Inputs'!$B$39,0))))</x:f>
        <x:v>65000</x:v>
      </x:c>
      <x:c r="D19" s="52" t="n">
        <x:f>A19*$B$11-C19</x:f>
        <x:v>310610.63384588505</x:v>
      </x:c>
      <x:c r="E19" s="4"/>
      <x:c r="F19" s="4"/>
      <x:c r="G19" s="4"/>
    </x:row>
    <x:row r="20" ht="18" customHeight="1">
      <x:c r="A20" s="22" t="n">
        <x:v>5000</x:v>
      </x:c>
      <x:c r="B20" s="52" t="n">
        <x:f>A20*$B$5/'Commercial Inputs'!$B$46</x:f>
        <x:v>1182119.6327683616</x:v>
      </x:c>
      <x:c r="C20" s="52" t="n">
        <x:f>$B$12+IF(A20&gt;='Commercial Inputs'!$B$38,'Commercial Inputs'!$B$42,IF(A20&gt;='Commercial Inputs'!$B$37,'Commercial Inputs'!$B$41,IF(A20&gt;='Commercial Inputs'!$B$36,'Commercial Inputs'!$B$40,IF(A20&gt;='Commercial Inputs'!$B$35,'Commercial Inputs'!$B$39,0))))</x:f>
        <x:v>115000</x:v>
      </x:c>
      <x:c r="D20" s="52" t="n">
        <x:f>A20*$B$11-C20</x:f>
        <x:v>636221.2676917701</x:v>
      </x:c>
      <x:c r="E20" s="4"/>
      <x:c r="F20" s="4"/>
      <x:c r="G20" s="4"/>
    </x:row>
    <x:row r="21" ht="18" customHeight="1">
      <x:c r="A21" s="22" t="n">
        <x:v>10000</x:v>
      </x:c>
      <x:c r="B21" s="52" t="n">
        <x:f>A21*$B$5/'Commercial Inputs'!$B$46</x:f>
        <x:v>2364239.265536723</x:v>
      </x:c>
      <x:c r="C21" s="52" t="n">
        <x:f>$B$12+IF(A21&gt;='Commercial Inputs'!$B$38,'Commercial Inputs'!$B$42,IF(A21&gt;='Commercial Inputs'!$B$37,'Commercial Inputs'!$B$41,IF(A21&gt;='Commercial Inputs'!$B$36,'Commercial Inputs'!$B$40,IF(A21&gt;='Commercial Inputs'!$B$35,'Commercial Inputs'!$B$39,0))))</x:f>
        <x:v>190000</x:v>
      </x:c>
      <x:c r="D21" s="52" t="n">
        <x:f>A21*$B$11-C21</x:f>
        <x:v>1312442.5353835402</x:v>
      </x:c>
      <x:c r="E21" s="4"/>
      <x:c r="F21" s="4"/>
      <x:c r="G21" s="4"/>
    </x:row>
    <x:row r="22" ht="18" customHeight="1">
      <x:c r="A22" s="22" t="n">
        <x:v>17000</x:v>
      </x:c>
      <x:c r="B22" s="52" t="n">
        <x:f>A22*$B$5/'Commercial Inputs'!$B$46</x:f>
        <x:v>4019206.7514124303</x:v>
      </x:c>
      <x:c r="C22" s="52" t="n">
        <x:f>$B$12+IF(A22&gt;='Commercial Inputs'!$B$38,'Commercial Inputs'!$B$42,IF(A22&gt;='Commercial Inputs'!$B$37,'Commercial Inputs'!$B$41,IF(A22&gt;='Commercial Inputs'!$B$36,'Commercial Inputs'!$B$40,IF(A22&gt;='Commercial Inputs'!$B$35,'Commercial Inputs'!$B$39,0))))</x:f>
        <x:v>190000</x:v>
      </x:c>
      <x:c r="D22" s="52" t="n">
        <x:f>A22*$B$11-C22</x:f>
        <x:v>2364152.3101520184</x:v>
      </x:c>
      <x:c r="E22" s="4"/>
      <x:c r="F22" s="4"/>
      <x:c r="G22" s="4"/>
    </x:row>
    <x:row r="23" ht="18" customHeight="1">
      <x:c r="A23" s="4"/>
      <x:c r="B23" s="4"/>
      <x:c r="C23" s="4"/>
      <x:c r="D23" s="4"/>
      <x:c r="E23" s="4"/>
      <x:c r="F23" s="4"/>
      <x:c r="G23" s="4"/>
    </x:row>
    <x:row r="24" ht="18" customHeight="1">
      <x:c r="A24" s="4"/>
      <x:c r="B24" s="4"/>
      <x:c r="C24" s="4"/>
      <x:c r="D24" s="4"/>
      <x:c r="E24" s="4"/>
      <x:c r="F24" s="4"/>
      <x:c r="G24" s="4"/>
    </x:row>
    <x:row r="25" ht="30" customHeight="1">
      <x:c r="A25" s="16" t="str">
        <x:v>Target monthly profit (INR)</x:v>
      </x:c>
      <x:c r="B25" s="16" t="str">
        <x:v>Required annual payers</x:v>
      </x:c>
      <x:c r="C25" s="16" t="str">
        <x:v>Modeled achieved profit (INR)</x:v>
      </x:c>
      <x:c r="D25" s="4"/>
      <x:c r="E25" s="4"/>
      <x:c r="F25" s="4"/>
      <x:c r="G25" s="4"/>
    </x:row>
    <x:row r="26" ht="18" customHeight="1">
      <x:c r="A26" s="22" t="n">
        <x:v>100000</x:v>
      </x:c>
      <x:c r="B26" s="52" t="n">
        <x:f>MIN(IF(MAX(0,ROUNDUP((A26+$B$12+0)/$B$11,0))&lt;'Commercial Inputs'!$B$35,MAX(0,ROUNDUP((A26+$B$12+0)/$B$11,0)),1E99),IF(MAX('Commercial Inputs'!$B$35,ROUNDUP((A26+$B$12+'Commercial Inputs'!$B$39)/$B$11,0))&lt;'Commercial Inputs'!$B$36,MAX('Commercial Inputs'!$B$35,ROUNDUP((A26+$B$12+'Commercial Inputs'!$B$39)/$B$11,0)),1E99),IF(MAX('Commercial Inputs'!$B$36,ROUNDUP((A26+$B$12+'Commercial Inputs'!$B$40)/$B$11,0))&lt;'Commercial Inputs'!$B$37,MAX('Commercial Inputs'!$B$36,ROUNDUP((A26+$B$12+'Commercial Inputs'!$B$40)/$B$11,0)),1E99),IF(MAX('Commercial Inputs'!$B$37,ROUNDUP((A26+$B$12+'Commercial Inputs'!$B$41)/$B$11,0))&lt;'Commercial Inputs'!$B$38,MAX('Commercial Inputs'!$B$37,ROUNDUP((A26+$B$12+'Commercial Inputs'!$B$41)/$B$11,0)),1E99),MAX('Commercial Inputs'!$B$38,ROUNDUP((A26+$B$12+'Commercial Inputs'!$B$42)/$B$11,0)))</x:f>
        <x:v>999</x:v>
      </x:c>
      <x:c r="C26" s="52" t="n">
        <x:f>B26*$B$11-$B$12-IF(B26&gt;='Commercial Inputs'!$B$38,'Commercial Inputs'!$B$42,IF(B26&gt;='Commercial Inputs'!$B$37,'Commercial Inputs'!$B$41,IF(B26&gt;='Commercial Inputs'!$B$36,'Commercial Inputs'!$B$40,IF(B26&gt;='Commercial Inputs'!$B$35,'Commercial Inputs'!$B$39,0))))</x:f>
        <x:v>100094.00928481566</x:v>
      </x:c>
      <x:c r="D26" s="4"/>
      <x:c r="E26" s="4"/>
      <x:c r="F26" s="4"/>
      <x:c r="G26" s="4"/>
    </x:row>
    <x:row r="27" ht="18" customHeight="1">
      <x:c r="A27" s="22" t="n">
        <x:v>300000</x:v>
      </x:c>
      <x:c r="B27" s="52" t="n">
        <x:f>MIN(IF(MAX(0,ROUNDUP((A27+$B$12+0)/$B$11,0))&lt;'Commercial Inputs'!$B$35,MAX(0,ROUNDUP((A27+$B$12+0)/$B$11,0)),1E99),IF(MAX('Commercial Inputs'!$B$35,ROUNDUP((A27+$B$12+'Commercial Inputs'!$B$39)/$B$11,0))&lt;'Commercial Inputs'!$B$36,MAX('Commercial Inputs'!$B$35,ROUNDUP((A27+$B$12+'Commercial Inputs'!$B$39)/$B$11,0)),1E99),IF(MAX('Commercial Inputs'!$B$36,ROUNDUP((A27+$B$12+'Commercial Inputs'!$B$40)/$B$11,0))&lt;'Commercial Inputs'!$B$37,MAX('Commercial Inputs'!$B$36,ROUNDUP((A27+$B$12+'Commercial Inputs'!$B$40)/$B$11,0)),1E99),IF(MAX('Commercial Inputs'!$B$37,ROUNDUP((A27+$B$12+'Commercial Inputs'!$B$41)/$B$11,0))&lt;'Commercial Inputs'!$B$38,MAX('Commercial Inputs'!$B$37,ROUNDUP((A27+$B$12+'Commercial Inputs'!$B$41)/$B$11,0)),1E99),MAX('Commercial Inputs'!$B$38,ROUNDUP((A27+$B$12+'Commercial Inputs'!$B$42)/$B$11,0)))</x:f>
        <x:v>2430</x:v>
      </x:c>
      <x:c r="C27" s="52" t="n">
        <x:f>B27*$B$11-$B$12-IF(B27&gt;='Commercial Inputs'!$B$38,'Commercial Inputs'!$B$42,IF(B27&gt;='Commercial Inputs'!$B$37,'Commercial Inputs'!$B$41,IF(B27&gt;='Commercial Inputs'!$B$36,'Commercial Inputs'!$B$40,IF(B27&gt;='Commercial Inputs'!$B$35,'Commercial Inputs'!$B$39,0))))</x:f>
        <x:v>300093.5360982003</x:v>
      </x:c>
      <x:c r="D27" s="4"/>
      <x:c r="E27" s="4"/>
      <x:c r="F27" s="4"/>
      <x:c r="G27" s="4"/>
    </x:row>
    <x:row r="28" ht="18" customHeight="1">
      <x:c r="A28" s="22" t="n">
        <x:v>500000</x:v>
      </x:c>
      <x:c r="B28" s="52" t="n">
        <x:f>MIN(IF(MAX(0,ROUNDUP((A28+$B$12+0)/$B$11,0))&lt;'Commercial Inputs'!$B$35,MAX(0,ROUNDUP((A28+$B$12+0)/$B$11,0)),1E99),IF(MAX('Commercial Inputs'!$B$35,ROUNDUP((A28+$B$12+'Commercial Inputs'!$B$39)/$B$11,0))&lt;'Commercial Inputs'!$B$36,MAX('Commercial Inputs'!$B$35,ROUNDUP((A28+$B$12+'Commercial Inputs'!$B$39)/$B$11,0)),1E99),IF(MAX('Commercial Inputs'!$B$36,ROUNDUP((A28+$B$12+'Commercial Inputs'!$B$40)/$B$11,0))&lt;'Commercial Inputs'!$B$37,MAX('Commercial Inputs'!$B$36,ROUNDUP((A28+$B$12+'Commercial Inputs'!$B$40)/$B$11,0)),1E99),IF(MAX('Commercial Inputs'!$B$37,ROUNDUP((A28+$B$12+'Commercial Inputs'!$B$41)/$B$11,0))&lt;'Commercial Inputs'!$B$38,MAX('Commercial Inputs'!$B$37,ROUNDUP((A28+$B$12+'Commercial Inputs'!$B$41)/$B$11,0)),1E99),MAX('Commercial Inputs'!$B$38,ROUNDUP((A28+$B$12+'Commercial Inputs'!$B$42)/$B$11,0)))</x:f>
        <x:v>3761</x:v>
      </x:c>
      <x:c r="C28" s="52" t="n">
        <x:f>B28*$B$11-$B$12-IF(B28&gt;='Commercial Inputs'!$B$38,'Commercial Inputs'!$B$42,IF(B28&gt;='Commercial Inputs'!$B$37,'Commercial Inputs'!$B$41,IF(B28&gt;='Commercial Inputs'!$B$36,'Commercial Inputs'!$B$40,IF(B28&gt;='Commercial Inputs'!$B$35,'Commercial Inputs'!$B$39,0))))</x:f>
        <x:v>500068.6375577495</x:v>
      </x:c>
      <x:c r="D28" s="4"/>
      <x:c r="E28" s="4"/>
      <x:c r="F28" s="4"/>
      <x:c r="G28" s="4"/>
    </x:row>
    <x:row r="29" ht="18" customHeight="1">
      <x:c r="A29" s="22" t="n">
        <x:v>1000000</x:v>
      </x:c>
      <x:c r="B29" s="52" t="n">
        <x:f>MIN(IF(MAX(0,ROUNDUP((A29+$B$12+0)/$B$11,0))&lt;'Commercial Inputs'!$B$35,MAX(0,ROUNDUP((A29+$B$12+0)/$B$11,0)),1E99),IF(MAX('Commercial Inputs'!$B$35,ROUNDUP((A29+$B$12+'Commercial Inputs'!$B$39)/$B$11,0))&lt;'Commercial Inputs'!$B$36,MAX('Commercial Inputs'!$B$35,ROUNDUP((A29+$B$12+'Commercial Inputs'!$B$39)/$B$11,0)),1E99),IF(MAX('Commercial Inputs'!$B$36,ROUNDUP((A29+$B$12+'Commercial Inputs'!$B$40)/$B$11,0))&lt;'Commercial Inputs'!$B$37,MAX('Commercial Inputs'!$B$36,ROUNDUP((A29+$B$12+'Commercial Inputs'!$B$40)/$B$11,0)),1E99),IF(MAX('Commercial Inputs'!$B$37,ROUNDUP((A29+$B$12+'Commercial Inputs'!$B$41)/$B$11,0))&lt;'Commercial Inputs'!$B$38,MAX('Commercial Inputs'!$B$37,ROUNDUP((A29+$B$12+'Commercial Inputs'!$B$41)/$B$11,0)),1E99),MAX('Commercial Inputs'!$B$38,ROUNDUP((A29+$B$12+'Commercial Inputs'!$B$42)/$B$11,0)))</x:f>
        <x:v>7422</x:v>
      </x:c>
      <x:c r="C29" s="52" t="n">
        <x:f>B29*$B$11-$B$12-IF(B29&gt;='Commercial Inputs'!$B$38,'Commercial Inputs'!$B$42,IF(B29&gt;='Commercial Inputs'!$B$37,'Commercial Inputs'!$B$41,IF(B29&gt;='Commercial Inputs'!$B$36,'Commercial Inputs'!$B$40,IF(B29&gt;='Commercial Inputs'!$B$35,'Commercial Inputs'!$B$39,0))))</x:f>
        <x:v>1000112.8497616637</x:v>
      </x:c>
      <x:c r="D29" s="4"/>
      <x:c r="E29" s="4"/>
      <x:c r="F29" s="4"/>
      <x:c r="G29" s="4"/>
    </x:row>
    <x:row r="30" ht="18" customHeight="1">
      <x:c r="A30" s="4"/>
      <x:c r="B30" s="4"/>
      <x:c r="C30" s="4"/>
      <x:c r="D30" s="4"/>
      <x:c r="E30" s="4"/>
      <x:c r="F30" s="4"/>
      <x:c r="G30" s="4"/>
    </x:row>
    <x:row r="31" ht="18" customHeight="1">
      <x:c r="A31" s="4"/>
      <x:c r="B31" s="4"/>
      <x:c r="C31" s="4"/>
      <x:c r="D31" s="4"/>
      <x:c r="E31" s="4"/>
      <x:c r="F31" s="4"/>
      <x:c r="G31" s="4"/>
    </x:row>
    <x:row r="32" ht="18" customHeight="1">
      <x:c r="A32" s="30" t="str">
        <x:v>Do not apply mature annual-only thresholds as a launch forecast. The 36-month Base includes monthly subscriptions, front-loaded acquisition, growing media budgets and cohort renewal timing. Keeping the subscriber base flat costs less than growing it.</x:v>
      </x:c>
      <x:c r="B32" s="30"/>
      <x:c r="C32" s="30"/>
      <x:c r="D32" s="30"/>
      <x:c r="E32" s="30"/>
      <x:c r="F32" s="30"/>
      <x:c r="G32" s="30"/>
    </x:row>
    <x:row r="33" ht="18" customHeight="1">
      <x:c r="A33" s="30"/>
      <x:c r="B33" s="30"/>
      <x:c r="C33" s="30"/>
      <x:c r="D33" s="30"/>
      <x:c r="E33" s="30"/>
      <x:c r="F33" s="30"/>
      <x:c r="G33" s="30"/>
    </x:row>
    <x:row r="34" ht="18" customHeight="1">
      <x:c r="A34" s="30"/>
      <x:c r="B34" s="30"/>
      <x:c r="C34" s="30"/>
      <x:c r="D34" s="30"/>
      <x:c r="E34" s="30"/>
      <x:c r="F34" s="30"/>
      <x:c r="G34" s="30"/>
    </x:row>
    <x:row r="35" ht="18" customHeight="1">
      <x:c r="A35" s="4"/>
      <x:c r="B35" s="4"/>
      <x:c r="C35" s="4"/>
      <x:c r="D35" s="4"/>
      <x:c r="E35" s="4"/>
      <x:c r="F35" s="4"/>
      <x:c r="G35" s="4"/>
    </x:row>
    <x:row r="36" ht="18" customHeight="1">
      <x:c r="A36" s="4"/>
      <x:c r="B36" s="4"/>
      <x:c r="C36" s="4"/>
      <x:c r="D36" s="4"/>
      <x:c r="E36" s="4"/>
      <x:c r="F36" s="4"/>
      <x:c r="G36" s="4"/>
    </x:row>
    <x:row r="37" ht="18" customHeight="1">
      <x:c r="A37" s="4"/>
      <x:c r="B37" s="4"/>
      <x:c r="C37" s="4"/>
      <x:c r="D37" s="4"/>
      <x:c r="E37" s="4"/>
      <x:c r="F37" s="4"/>
      <x:c r="G37" s="4"/>
    </x:row>
    <x:row r="38" ht="18" customHeight="1">
      <x:c r="A38" s="4"/>
      <x:c r="B38" s="4"/>
      <x:c r="C38" s="4"/>
      <x:c r="D38" s="4"/>
      <x:c r="E38" s="4"/>
      <x:c r="F38" s="4"/>
      <x:c r="G38" s="4"/>
    </x:row>
    <x:row r="39" ht="18" customHeight="1">
      <x:c r="A39" s="4"/>
      <x:c r="B39" s="4"/>
      <x:c r="C39" s="4"/>
      <x:c r="D39" s="4"/>
      <x:c r="E39" s="4"/>
      <x:c r="F39" s="4"/>
      <x:c r="G39" s="4"/>
    </x:row>
    <x:row r="40" ht="18" customHeight="1">
      <x:c r="A40" s="4"/>
      <x:c r="B40" s="4"/>
      <x:c r="C40" s="4"/>
      <x:c r="D40" s="4"/>
      <x:c r="E40" s="4"/>
      <x:c r="F40" s="4"/>
      <x:c r="G40" s="4"/>
    </x:row>
    <x:row r="41" ht="18" customHeight="1">
      <x:c r="A41" s="4"/>
      <x:c r="B41" s="4"/>
      <x:c r="C41" s="4"/>
      <x:c r="D41" s="4"/>
      <x:c r="E41" s="4"/>
      <x:c r="F41" s="4"/>
      <x:c r="G41" s="4"/>
    </x:row>
    <x:row r="42" ht="18" customHeight="1">
      <x:c r="A42" s="4"/>
      <x:c r="B42" s="4"/>
      <x:c r="C42" s="4"/>
      <x:c r="D42" s="4"/>
      <x:c r="E42" s="4"/>
      <x:c r="F42" s="4"/>
      <x:c r="G42" s="4"/>
    </x:row>
    <x:row r="43" ht="18" customHeight="1">
      <x:c r="A43" s="4"/>
      <x:c r="B43" s="4"/>
      <x:c r="C43" s="4"/>
      <x:c r="D43" s="4"/>
      <x:c r="E43" s="4"/>
      <x:c r="F43" s="4"/>
      <x:c r="G43" s="4"/>
    </x:row>
    <x:row r="44" ht="18" customHeight="1">
      <x:c r="A44" s="4"/>
      <x:c r="B44" s="4"/>
      <x:c r="C44" s="4"/>
      <x:c r="D44" s="4"/>
      <x:c r="E44" s="4"/>
      <x:c r="F44" s="4"/>
      <x:c r="G44" s="4"/>
    </x:row>
    <x:row r="45" ht="18" customHeight="1">
      <x:c r="A45" s="4"/>
      <x:c r="B45" s="4"/>
      <x:c r="C45" s="4"/>
      <x:c r="D45" s="4"/>
      <x:c r="E45" s="4"/>
      <x:c r="F45" s="4"/>
      <x:c r="G45" s="4"/>
    </x:row>
  </x:sheetData>
  <x:mergeCells>
    <x:mergeCell ref="A1:G1"/>
    <x:mergeCell ref="A2:G2"/>
    <x:mergeCell ref="A32:G3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s>
  <x:sheetData>
    <x:row r="1" ht="29" customHeight="1">
      <x:c r="A1" s="50" t="str">
        <x:v>DOWNSIDE | MONTHLY COHORT MODEL</x:v>
      </x:c>
      <x:c r="B1" s="50"/>
      <x:c r="C1" s="50"/>
      <x:c r="D1" s="50"/>
      <x:c r="E1" s="50"/>
      <x:c r="F1" s="50"/>
      <x:c r="G1" s="50"/>
      <x:c r="H1" s="50"/>
      <x:c r="I1" s="50"/>
      <x:c r="J1" s="50"/>
      <x:c r="K1" s="50"/>
      <x:c r="L1" s="50"/>
      <x:c r="M1" s="50"/>
      <x:c r="N1" s="50"/>
      <x:c r="O1" s="50"/>
      <x:c r="P1" s="50"/>
      <x:c r="Q1" s="50"/>
      <x:c r="R1" s="50"/>
      <x:c r="S1" s="50"/>
      <x:c r="T1" s="50"/>
      <x:c r="U1" s="50"/>
      <x:c r="V1" s="50"/>
      <x:c r="W1" s="50"/>
      <x:c r="X1" s="50"/>
      <x:c r="Y1" s="50"/>
      <x:c r="Z1" s="50"/>
      <x:c r="AA1" s="50"/>
      <x:c r="AB1" s="50"/>
      <x:c r="AC1" s="50"/>
      <x:c r="AD1" s="50"/>
      <x:c r="AE1" s="50"/>
      <x:c r="AF1" s="50"/>
      <x:c r="AG1" s="50"/>
      <x:c r="AH1" s="50"/>
      <x:c r="AI1" s="50"/>
      <x:c r="AJ1" s="50"/>
      <x:c r="AK1" s="50"/>
    </x:row>
    <x:row r="2" ht="24" customHeight="1">
      <x:c r="A2" s="11" t="str">
        <x:v>INR unless stated. Purchases occur at month start; annual revenue is earned over 12 months. No founder salary or income tax in the base case.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row>
    <x:row r="3" ht="18"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row>
    <x:row r="4" ht="18"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row>
    <x:row r="5" ht="30" customHeight="1">
      <x:c r="A5" s="16" t="str">
        <x:v>Month after paid launch</x:v>
      </x:c>
      <x:c r="B5" s="16" t="n">
        <x:v>1</x:v>
      </x:c>
      <x:c r="C5" s="16" t="n">
        <x:v>2</x:v>
      </x:c>
      <x:c r="D5" s="16" t="n">
        <x:v>3</x:v>
      </x:c>
      <x:c r="E5" s="16" t="n">
        <x:v>4</x:v>
      </x:c>
      <x:c r="F5" s="16" t="n">
        <x:v>5</x:v>
      </x:c>
      <x:c r="G5" s="16" t="n">
        <x:v>6</x:v>
      </x:c>
      <x:c r="H5" s="16" t="n">
        <x:v>7</x:v>
      </x:c>
      <x:c r="I5" s="16" t="n">
        <x:v>8</x:v>
      </x:c>
      <x:c r="J5" s="16" t="n">
        <x:v>9</x:v>
      </x:c>
      <x:c r="K5" s="16" t="n">
        <x:v>10</x:v>
      </x:c>
      <x:c r="L5" s="16" t="n">
        <x:v>11</x:v>
      </x:c>
      <x:c r="M5" s="16" t="n">
        <x:v>12</x:v>
      </x:c>
      <x:c r="N5" s="16" t="n">
        <x:v>13</x:v>
      </x:c>
      <x:c r="O5" s="16" t="n">
        <x:v>14</x:v>
      </x:c>
      <x:c r="P5" s="16" t="n">
        <x:v>15</x:v>
      </x:c>
      <x:c r="Q5" s="16" t="n">
        <x:v>16</x:v>
      </x:c>
      <x:c r="R5" s="16" t="n">
        <x:v>17</x:v>
      </x:c>
      <x:c r="S5" s="16" t="n">
        <x:v>18</x:v>
      </x:c>
      <x:c r="T5" s="16" t="n">
        <x:v>19</x:v>
      </x:c>
      <x:c r="U5" s="16" t="n">
        <x:v>20</x:v>
      </x:c>
      <x:c r="V5" s="16" t="n">
        <x:v>21</x:v>
      </x:c>
      <x:c r="W5" s="16" t="n">
        <x:v>22</x:v>
      </x:c>
      <x:c r="X5" s="16" t="n">
        <x:v>23</x:v>
      </x:c>
      <x:c r="Y5" s="16" t="n">
        <x:v>24</x:v>
      </x:c>
      <x:c r="Z5" s="16" t="n">
        <x:v>25</x:v>
      </x:c>
      <x:c r="AA5" s="16" t="n">
        <x:v>26</x:v>
      </x:c>
      <x:c r="AB5" s="16" t="n">
        <x:v>27</x:v>
      </x:c>
      <x:c r="AC5" s="16" t="n">
        <x:v>28</x:v>
      </x:c>
      <x:c r="AD5" s="16" t="n">
        <x:v>29</x:v>
      </x:c>
      <x:c r="AE5" s="16" t="n">
        <x:v>30</x:v>
      </x:c>
      <x:c r="AF5" s="16" t="n">
        <x:v>31</x:v>
      </x:c>
      <x:c r="AG5" s="16" t="n">
        <x:v>32</x:v>
      </x:c>
      <x:c r="AH5" s="16" t="n">
        <x:v>33</x:v>
      </x:c>
      <x:c r="AI5" s="16" t="n">
        <x:v>34</x:v>
      </x:c>
      <x:c r="AJ5" s="16" t="n">
        <x:v>35</x:v>
      </x:c>
      <x:c r="AK5" s="16" t="n">
        <x:v>36</x:v>
      </x:c>
    </x:row>
    <x:row r="6" ht="18" customHeight="1">
      <x:c r="A6" s="4" t="str">
        <x:v>Qualified organic prospects</x:v>
      </x:c>
      <x:c r="B6" s="58" t="n">
        <x:f>'Scenario Inputs'!$B$5</x:f>
        <x:v>500</x:v>
      </x:c>
      <x:c r="C6" s="58" t="n">
        <x:f>B6*(1+'Scenario Inputs'!$B$6)</x:f>
        <x:v>515</x:v>
      </x:c>
      <x:c r="D6" s="58" t="n">
        <x:f>C6*(1+'Scenario Inputs'!$B$6)</x:f>
        <x:v>530.45</x:v>
      </x:c>
      <x:c r="E6" s="58" t="n">
        <x:f>D6*(1+'Scenario Inputs'!$B$6)</x:f>
        <x:v>546.3635</x:v>
      </x:c>
      <x:c r="F6" s="58" t="n">
        <x:f>E6*(1+'Scenario Inputs'!$B$6)</x:f>
        <x:v>562.754405</x:v>
      </x:c>
      <x:c r="G6" s="58" t="n">
        <x:f>F6*(1+'Scenario Inputs'!$B$6)</x:f>
        <x:v>579.6370371500001</x:v>
      </x:c>
      <x:c r="H6" s="58" t="n">
        <x:f>G6*(1+'Scenario Inputs'!$B$6)</x:f>
        <x:v>597.0261482645001</x:v>
      </x:c>
      <x:c r="I6" s="58" t="n">
        <x:f>H6*(1+'Scenario Inputs'!$B$6)</x:f>
        <x:v>614.9369327124351</x:v>
      </x:c>
      <x:c r="J6" s="58" t="n">
        <x:f>I6*(1+'Scenario Inputs'!$B$6)</x:f>
        <x:v>633.3850406938082</x:v>
      </x:c>
      <x:c r="K6" s="58" t="n">
        <x:f>J6*(1+'Scenario Inputs'!$B$6)</x:f>
        <x:v>652.3865919146224</x:v>
      </x:c>
      <x:c r="L6" s="58" t="n">
        <x:f>K6*(1+'Scenario Inputs'!$B$6)</x:f>
        <x:v>671.958189672061</x:v>
      </x:c>
      <x:c r="M6" s="58" t="n">
        <x:f>L6*(1+'Scenario Inputs'!$B$6)</x:f>
        <x:v>692.1169353622229</x:v>
      </x:c>
      <x:c r="N6" s="58" t="n">
        <x:f>M6*(1+'Scenario Inputs'!$B$7)</x:f>
        <x:v>705.9592740694674</x:v>
      </x:c>
      <x:c r="O6" s="58" t="n">
        <x:f>N6*(1+'Scenario Inputs'!$B$7)</x:f>
        <x:v>720.0784595508567</x:v>
      </x:c>
      <x:c r="P6" s="58" t="n">
        <x:f>O6*(1+'Scenario Inputs'!$B$7)</x:f>
        <x:v>734.4800287418739</x:v>
      </x:c>
      <x:c r="Q6" s="58" t="n">
        <x:f>P6*(1+'Scenario Inputs'!$B$7)</x:f>
        <x:v>749.1696293167114</x:v>
      </x:c>
      <x:c r="R6" s="58" t="n">
        <x:f>Q6*(1+'Scenario Inputs'!$B$7)</x:f>
        <x:v>764.1530219030457</x:v>
      </x:c>
      <x:c r="S6" s="58" t="n">
        <x:f>R6*(1+'Scenario Inputs'!$B$7)</x:f>
        <x:v>779.4360823411066</x:v>
      </x:c>
      <x:c r="T6" s="58" t="n">
        <x:f>S6*(1+'Scenario Inputs'!$B$7)</x:f>
        <x:v>795.0248039879287</x:v>
      </x:c>
      <x:c r="U6" s="58" t="n">
        <x:f>T6*(1+'Scenario Inputs'!$B$7)</x:f>
        <x:v>810.9253000676873</x:v>
      </x:c>
      <x:c r="V6" s="58" t="n">
        <x:f>U6*(1+'Scenario Inputs'!$B$7)</x:f>
        <x:v>827.143806069041</x:v>
      </x:c>
      <x:c r="W6" s="58" t="n">
        <x:f>V6*(1+'Scenario Inputs'!$B$7)</x:f>
        <x:v>843.6866821904218</x:v>
      </x:c>
      <x:c r="X6" s="58" t="n">
        <x:f>W6*(1+'Scenario Inputs'!$B$7)</x:f>
        <x:v>860.5604158342303</x:v>
      </x:c>
      <x:c r="Y6" s="58" t="n">
        <x:f>X6*(1+'Scenario Inputs'!$B$7)</x:f>
        <x:v>877.7716241509149</x:v>
      </x:c>
      <x:c r="Z6" s="58" t="n">
        <x:f>Y6*(1+'Scenario Inputs'!$B$8)</x:f>
        <x:v>886.5493403924241</x:v>
      </x:c>
      <x:c r="AA6" s="58" t="n">
        <x:f>Z6*(1+'Scenario Inputs'!$B$8)</x:f>
        <x:v>895.4148337963484</x:v>
      </x:c>
      <x:c r="AB6" s="58" t="n">
        <x:f>AA6*(1+'Scenario Inputs'!$B$8)</x:f>
        <x:v>904.3689821343119</x:v>
      </x:c>
      <x:c r="AC6" s="58" t="n">
        <x:f>AB6*(1+'Scenario Inputs'!$B$8)</x:f>
        <x:v>913.412671955655</x:v>
      </x:c>
      <x:c r="AD6" s="58" t="n">
        <x:f>AC6*(1+'Scenario Inputs'!$B$8)</x:f>
        <x:v>922.5467986752116</x:v>
      </x:c>
      <x:c r="AE6" s="58" t="n">
        <x:f>AD6*(1+'Scenario Inputs'!$B$8)</x:f>
        <x:v>931.7722666619637</x:v>
      </x:c>
      <x:c r="AF6" s="58" t="n">
        <x:f>AE6*(1+'Scenario Inputs'!$B$8)</x:f>
        <x:v>941.0899893285833</x:v>
      </x:c>
      <x:c r="AG6" s="58" t="n">
        <x:f>AF6*(1+'Scenario Inputs'!$B$8)</x:f>
        <x:v>950.5008892218692</x:v>
      </x:c>
      <x:c r="AH6" s="58" t="n">
        <x:f>AG6*(1+'Scenario Inputs'!$B$8)</x:f>
        <x:v>960.0058981140879</x:v>
      </x:c>
      <x:c r="AI6" s="58" t="n">
        <x:f>AH6*(1+'Scenario Inputs'!$B$8)</x:f>
        <x:v>969.6059570952289</x:v>
      </x:c>
      <x:c r="AJ6" s="58" t="n">
        <x:f>AI6*(1+'Scenario Inputs'!$B$8)</x:f>
        <x:v>979.3020166661812</x:v>
      </x:c>
      <x:c r="AK6" s="58" t="n">
        <x:f>AJ6*(1+'Scenario Inputs'!$B$8)</x:f>
        <x:v>989.095036832843</x:v>
      </x:c>
    </x:row>
    <x:row r="7" ht="18" customHeight="1">
      <x:c r="A7" s="4" t="str">
        <x:v>Paid media spend (INR)</x:v>
      </x:c>
      <x:c r="B7" s="60" t="n">
        <x:f>'Scenario Inputs'!$B$14</x:f>
        <x:v>5000</x:v>
      </x:c>
      <x:c r="C7" s="60" t="n">
        <x:f>'Scenario Inputs'!$B$14</x:f>
        <x:v>5000</x:v>
      </x:c>
      <x:c r="D7" s="60" t="n">
        <x:f>'Scenario Inputs'!$B$14</x:f>
        <x:v>5000</x:v>
      </x:c>
      <x:c r="E7" s="60" t="n">
        <x:f>'Scenario Inputs'!$B$15</x:f>
        <x:v>5000</x:v>
      </x:c>
      <x:c r="F7" s="60" t="n">
        <x:f>'Scenario Inputs'!$B$15</x:f>
        <x:v>5000</x:v>
      </x:c>
      <x:c r="G7" s="60" t="n">
        <x:f>'Scenario Inputs'!$B$15</x:f>
        <x:v>5000</x:v>
      </x:c>
      <x:c r="H7" s="60" t="n">
        <x:f>'Scenario Inputs'!$B$16</x:f>
        <x:v>0</x:v>
      </x:c>
      <x:c r="I7" s="60" t="n">
        <x:f>'Scenario Inputs'!$B$16</x:f>
        <x:v>0</x:v>
      </x:c>
      <x:c r="J7" s="60" t="n">
        <x:f>'Scenario Inputs'!$B$16</x:f>
        <x:v>0</x:v>
      </x:c>
      <x:c r="K7" s="60" t="n">
        <x:f>'Scenario Inputs'!$B$16</x:f>
        <x:v>0</x:v>
      </x:c>
      <x:c r="L7" s="60" t="n">
        <x:f>'Scenario Inputs'!$B$16</x:f>
        <x:v>0</x:v>
      </x:c>
      <x:c r="M7" s="60" t="n">
        <x:f>'Scenario Inputs'!$B$16</x:f>
        <x:v>0</x:v>
      </x:c>
      <x:c r="N7" s="60" t="n">
        <x:f>'Scenario Inputs'!$B$17</x:f>
        <x:v>0</x:v>
      </x:c>
      <x:c r="O7" s="60" t="n">
        <x:f>'Scenario Inputs'!$B$17</x:f>
        <x:v>0</x:v>
      </x:c>
      <x:c r="P7" s="60" t="n">
        <x:f>'Scenario Inputs'!$B$17</x:f>
        <x:v>0</x:v>
      </x:c>
      <x:c r="Q7" s="60" t="n">
        <x:f>'Scenario Inputs'!$B$17</x:f>
        <x:v>0</x:v>
      </x:c>
      <x:c r="R7" s="60" t="n">
        <x:f>'Scenario Inputs'!$B$17</x:f>
        <x:v>0</x:v>
      </x:c>
      <x:c r="S7" s="60" t="n">
        <x:f>'Scenario Inputs'!$B$17</x:f>
        <x:v>0</x:v>
      </x:c>
      <x:c r="T7" s="60" t="n">
        <x:f>'Scenario Inputs'!$B$18</x:f>
        <x:v>0</x:v>
      </x:c>
      <x:c r="U7" s="60" t="n">
        <x:f>'Scenario Inputs'!$B$18</x:f>
        <x:v>0</x:v>
      </x:c>
      <x:c r="V7" s="60" t="n">
        <x:f>'Scenario Inputs'!$B$18</x:f>
        <x:v>0</x:v>
      </x:c>
      <x:c r="W7" s="60" t="n">
        <x:f>'Scenario Inputs'!$B$18</x:f>
        <x:v>0</x:v>
      </x:c>
      <x:c r="X7" s="60" t="n">
        <x:f>'Scenario Inputs'!$B$18</x:f>
        <x:v>0</x:v>
      </x:c>
      <x:c r="Y7" s="60" t="n">
        <x:f>'Scenario Inputs'!$B$18</x:f>
        <x:v>0</x:v>
      </x:c>
      <x:c r="Z7" s="60" t="n">
        <x:f>'Scenario Inputs'!$B$19</x:f>
        <x:v>0</x:v>
      </x:c>
      <x:c r="AA7" s="60" t="n">
        <x:f>'Scenario Inputs'!$B$19</x:f>
        <x:v>0</x:v>
      </x:c>
      <x:c r="AB7" s="60" t="n">
        <x:f>'Scenario Inputs'!$B$19</x:f>
        <x:v>0</x:v>
      </x:c>
      <x:c r="AC7" s="60" t="n">
        <x:f>'Scenario Inputs'!$B$19</x:f>
        <x:v>0</x:v>
      </x:c>
      <x:c r="AD7" s="60" t="n">
        <x:f>'Scenario Inputs'!$B$19</x:f>
        <x:v>0</x:v>
      </x:c>
      <x:c r="AE7" s="60" t="n">
        <x:f>'Scenario Inputs'!$B$19</x:f>
        <x:v>0</x:v>
      </x:c>
      <x:c r="AF7" s="60" t="n">
        <x:f>'Scenario Inputs'!$B$20</x:f>
        <x:v>0</x:v>
      </x:c>
      <x:c r="AG7" s="60" t="n">
        <x:f>'Scenario Inputs'!$B$20</x:f>
        <x:v>0</x:v>
      </x:c>
      <x:c r="AH7" s="60" t="n">
        <x:f>'Scenario Inputs'!$B$20</x:f>
        <x:v>0</x:v>
      </x:c>
      <x:c r="AI7" s="60" t="n">
        <x:f>'Scenario Inputs'!$B$20</x:f>
        <x:v>0</x:v>
      </x:c>
      <x:c r="AJ7" s="60" t="n">
        <x:f>'Scenario Inputs'!$B$20</x:f>
        <x:v>0</x:v>
      </x:c>
      <x:c r="AK7" s="60" t="n">
        <x:f>'Scenario Inputs'!$B$20</x:f>
        <x:v>0</x:v>
      </x:c>
    </x:row>
    <x:row r="8" ht="18" customHeight="1">
      <x:c r="A8" s="4" t="str">
        <x:v>Paid CPC (INR)</x:v>
      </x:c>
      <x:c r="B8" s="64" t="n">
        <x:f>'Scenario Inputs'!$B$10*(1+'Scenario Inputs'!$B$11)^0</x:f>
        <x:v>18</x:v>
      </x:c>
      <x:c r="C8" s="64" t="n">
        <x:f>'Scenario Inputs'!$B$10*(1+'Scenario Inputs'!$B$11)^0</x:f>
        <x:v>18</x:v>
      </x:c>
      <x:c r="D8" s="64" t="n">
        <x:f>'Scenario Inputs'!$B$10*(1+'Scenario Inputs'!$B$11)^0</x:f>
        <x:v>18</x:v>
      </x:c>
      <x:c r="E8" s="64" t="n">
        <x:f>'Scenario Inputs'!$B$10*(1+'Scenario Inputs'!$B$11)^0</x:f>
        <x:v>18</x:v>
      </x:c>
      <x:c r="F8" s="64" t="n">
        <x:f>'Scenario Inputs'!$B$10*(1+'Scenario Inputs'!$B$11)^0</x:f>
        <x:v>18</x:v>
      </x:c>
      <x:c r="G8" s="64" t="n">
        <x:f>'Scenario Inputs'!$B$10*(1+'Scenario Inputs'!$B$11)^0</x:f>
        <x:v>18</x:v>
      </x:c>
      <x:c r="H8" s="64" t="n">
        <x:f>'Scenario Inputs'!$B$10*(1+'Scenario Inputs'!$B$11)^0</x:f>
        <x:v>18</x:v>
      </x:c>
      <x:c r="I8" s="64" t="n">
        <x:f>'Scenario Inputs'!$B$10*(1+'Scenario Inputs'!$B$11)^0</x:f>
        <x:v>18</x:v>
      </x:c>
      <x:c r="J8" s="64" t="n">
        <x:f>'Scenario Inputs'!$B$10*(1+'Scenario Inputs'!$B$11)^0</x:f>
        <x:v>18</x:v>
      </x:c>
      <x:c r="K8" s="64" t="n">
        <x:f>'Scenario Inputs'!$B$10*(1+'Scenario Inputs'!$B$11)^0</x:f>
        <x:v>18</x:v>
      </x:c>
      <x:c r="L8" s="64" t="n">
        <x:f>'Scenario Inputs'!$B$10*(1+'Scenario Inputs'!$B$11)^0</x:f>
        <x:v>18</x:v>
      </x:c>
      <x:c r="M8" s="64" t="n">
        <x:f>'Scenario Inputs'!$B$10*(1+'Scenario Inputs'!$B$11)^0</x:f>
        <x:v>18</x:v>
      </x:c>
      <x:c r="N8" s="64" t="n">
        <x:f>'Scenario Inputs'!$B$10*(1+'Scenario Inputs'!$B$11)^1</x:f>
        <x:v>19.8</x:v>
      </x:c>
      <x:c r="O8" s="64" t="n">
        <x:f>'Scenario Inputs'!$B$10*(1+'Scenario Inputs'!$B$11)^1</x:f>
        <x:v>19.8</x:v>
      </x:c>
      <x:c r="P8" s="64" t="n">
        <x:f>'Scenario Inputs'!$B$10*(1+'Scenario Inputs'!$B$11)^1</x:f>
        <x:v>19.8</x:v>
      </x:c>
      <x:c r="Q8" s="64" t="n">
        <x:f>'Scenario Inputs'!$B$10*(1+'Scenario Inputs'!$B$11)^1</x:f>
        <x:v>19.8</x:v>
      </x:c>
      <x:c r="R8" s="64" t="n">
        <x:f>'Scenario Inputs'!$B$10*(1+'Scenario Inputs'!$B$11)^1</x:f>
        <x:v>19.8</x:v>
      </x:c>
      <x:c r="S8" s="64" t="n">
        <x:f>'Scenario Inputs'!$B$10*(1+'Scenario Inputs'!$B$11)^1</x:f>
        <x:v>19.8</x:v>
      </x:c>
      <x:c r="T8" s="64" t="n">
        <x:f>'Scenario Inputs'!$B$10*(1+'Scenario Inputs'!$B$11)^1</x:f>
        <x:v>19.8</x:v>
      </x:c>
      <x:c r="U8" s="64" t="n">
        <x:f>'Scenario Inputs'!$B$10*(1+'Scenario Inputs'!$B$11)^1</x:f>
        <x:v>19.8</x:v>
      </x:c>
      <x:c r="V8" s="64" t="n">
        <x:f>'Scenario Inputs'!$B$10*(1+'Scenario Inputs'!$B$11)^1</x:f>
        <x:v>19.8</x:v>
      </x:c>
      <x:c r="W8" s="64" t="n">
        <x:f>'Scenario Inputs'!$B$10*(1+'Scenario Inputs'!$B$11)^1</x:f>
        <x:v>19.8</x:v>
      </x:c>
      <x:c r="X8" s="64" t="n">
        <x:f>'Scenario Inputs'!$B$10*(1+'Scenario Inputs'!$B$11)^1</x:f>
        <x:v>19.8</x:v>
      </x:c>
      <x:c r="Y8" s="64" t="n">
        <x:f>'Scenario Inputs'!$B$10*(1+'Scenario Inputs'!$B$11)^1</x:f>
        <x:v>19.8</x:v>
      </x:c>
      <x:c r="Z8" s="64" t="n">
        <x:f>'Scenario Inputs'!$B$10*(1+'Scenario Inputs'!$B$11)^2</x:f>
        <x:v>21.780000000000005</x:v>
      </x:c>
      <x:c r="AA8" s="64" t="n">
        <x:f>'Scenario Inputs'!$B$10*(1+'Scenario Inputs'!$B$11)^2</x:f>
        <x:v>21.780000000000005</x:v>
      </x:c>
      <x:c r="AB8" s="64" t="n">
        <x:f>'Scenario Inputs'!$B$10*(1+'Scenario Inputs'!$B$11)^2</x:f>
        <x:v>21.780000000000005</x:v>
      </x:c>
      <x:c r="AC8" s="64" t="n">
        <x:f>'Scenario Inputs'!$B$10*(1+'Scenario Inputs'!$B$11)^2</x:f>
        <x:v>21.780000000000005</x:v>
      </x:c>
      <x:c r="AD8" s="64" t="n">
        <x:f>'Scenario Inputs'!$B$10*(1+'Scenario Inputs'!$B$11)^2</x:f>
        <x:v>21.780000000000005</x:v>
      </x:c>
      <x:c r="AE8" s="64" t="n">
        <x:f>'Scenario Inputs'!$B$10*(1+'Scenario Inputs'!$B$11)^2</x:f>
        <x:v>21.780000000000005</x:v>
      </x:c>
      <x:c r="AF8" s="64" t="n">
        <x:f>'Scenario Inputs'!$B$10*(1+'Scenario Inputs'!$B$11)^2</x:f>
        <x:v>21.780000000000005</x:v>
      </x:c>
      <x:c r="AG8" s="64" t="n">
        <x:f>'Scenario Inputs'!$B$10*(1+'Scenario Inputs'!$B$11)^2</x:f>
        <x:v>21.780000000000005</x:v>
      </x:c>
      <x:c r="AH8" s="64" t="n">
        <x:f>'Scenario Inputs'!$B$10*(1+'Scenario Inputs'!$B$11)^2</x:f>
        <x:v>21.780000000000005</x:v>
      </x:c>
      <x:c r="AI8" s="64" t="n">
        <x:f>'Scenario Inputs'!$B$10*(1+'Scenario Inputs'!$B$11)^2</x:f>
        <x:v>21.780000000000005</x:v>
      </x:c>
      <x:c r="AJ8" s="64" t="n">
        <x:f>'Scenario Inputs'!$B$10*(1+'Scenario Inputs'!$B$11)^2</x:f>
        <x:v>21.780000000000005</x:v>
      </x:c>
      <x:c r="AK8" s="64" t="n">
        <x:f>'Scenario Inputs'!$B$10*(1+'Scenario Inputs'!$B$11)^2</x:f>
        <x:v>21.780000000000005</x:v>
      </x:c>
    </x:row>
    <x:row r="9" ht="18" customHeight="1">
      <x:c r="A9" s="4" t="str">
        <x:v>Paid clicks / prospect equivalents</x:v>
      </x:c>
      <x:c r="B9" s="58" t="n">
        <x:f>B7/B8</x:f>
        <x:v>277.77777777777777</x:v>
      </x:c>
      <x:c r="C9" s="58" t="n">
        <x:f>C7/C8</x:f>
        <x:v>277.77777777777777</x:v>
      </x:c>
      <x:c r="D9" s="58" t="n">
        <x:f>D7/D8</x:f>
        <x:v>277.77777777777777</x:v>
      </x:c>
      <x:c r="E9" s="58" t="n">
        <x:f>E7/E8</x:f>
        <x:v>277.77777777777777</x:v>
      </x:c>
      <x:c r="F9" s="58" t="n">
        <x:f>F7/F8</x:f>
        <x:v>277.77777777777777</x:v>
      </x:c>
      <x:c r="G9" s="58" t="n">
        <x:f>G7/G8</x:f>
        <x:v>277.77777777777777</x:v>
      </x:c>
      <x:c r="H9" s="58" t="n">
        <x:f>H7/H8</x:f>
        <x:v>0</x:v>
      </x:c>
      <x:c r="I9" s="58" t="n">
        <x:f>I7/I8</x:f>
        <x:v>0</x:v>
      </x:c>
      <x:c r="J9" s="58" t="n">
        <x:f>J7/J8</x:f>
        <x:v>0</x:v>
      </x:c>
      <x:c r="K9" s="58" t="n">
        <x:f>K7/K8</x:f>
        <x:v>0</x:v>
      </x:c>
      <x:c r="L9" s="58" t="n">
        <x:f>L7/L8</x:f>
        <x:v>0</x:v>
      </x:c>
      <x:c r="M9" s="58" t="n">
        <x:f>M7/M8</x:f>
        <x:v>0</x:v>
      </x:c>
      <x:c r="N9" s="58" t="n">
        <x:f>N7/N8</x:f>
        <x:v>0</x:v>
      </x:c>
      <x:c r="O9" s="58" t="n">
        <x:f>O7/O8</x:f>
        <x:v>0</x:v>
      </x:c>
      <x:c r="P9" s="58" t="n">
        <x:f>P7/P8</x:f>
        <x:v>0</x:v>
      </x:c>
      <x:c r="Q9" s="58" t="n">
        <x:f>Q7/Q8</x:f>
        <x:v>0</x:v>
      </x:c>
      <x:c r="R9" s="58" t="n">
        <x:f>R7/R8</x:f>
        <x:v>0</x:v>
      </x:c>
      <x:c r="S9" s="58" t="n">
        <x:f>S7/S8</x:f>
        <x:v>0</x:v>
      </x:c>
      <x:c r="T9" s="58" t="n">
        <x:f>T7/T8</x:f>
        <x:v>0</x:v>
      </x:c>
      <x:c r="U9" s="58" t="n">
        <x:f>U7/U8</x:f>
        <x:v>0</x:v>
      </x:c>
      <x:c r="V9" s="58" t="n">
        <x:f>V7/V8</x:f>
        <x:v>0</x:v>
      </x:c>
      <x:c r="W9" s="58" t="n">
        <x:f>W7/W8</x:f>
        <x:v>0</x:v>
      </x:c>
      <x:c r="X9" s="58" t="n">
        <x:f>X7/X8</x:f>
        <x:v>0</x:v>
      </x:c>
      <x:c r="Y9" s="58" t="n">
        <x:f>Y7/Y8</x:f>
        <x:v>0</x:v>
      </x:c>
      <x:c r="Z9" s="58" t="n">
        <x:f>Z7/Z8</x:f>
        <x:v>0</x:v>
      </x:c>
      <x:c r="AA9" s="58" t="n">
        <x:f>AA7/AA8</x:f>
        <x:v>0</x:v>
      </x:c>
      <x:c r="AB9" s="58" t="n">
        <x:f>AB7/AB8</x:f>
        <x:v>0</x:v>
      </x:c>
      <x:c r="AC9" s="58" t="n">
        <x:f>AC7/AC8</x:f>
        <x:v>0</x:v>
      </x:c>
      <x:c r="AD9" s="58" t="n">
        <x:f>AD7/AD8</x:f>
        <x:v>0</x:v>
      </x:c>
      <x:c r="AE9" s="58" t="n">
        <x:f>AE7/AE8</x:f>
        <x:v>0</x:v>
      </x:c>
      <x:c r="AF9" s="58" t="n">
        <x:f>AF7/AF8</x:f>
        <x:v>0</x:v>
      </x:c>
      <x:c r="AG9" s="58" t="n">
        <x:f>AG7/AG8</x:f>
        <x:v>0</x:v>
      </x:c>
      <x:c r="AH9" s="58" t="n">
        <x:f>AH7/AH8</x:f>
        <x:v>0</x:v>
      </x:c>
      <x:c r="AI9" s="58" t="n">
        <x:f>AI7/AI8</x:f>
        <x:v>0</x:v>
      </x:c>
      <x:c r="AJ9" s="58" t="n">
        <x:f>AJ7/AJ8</x:f>
        <x:v>0</x:v>
      </x:c>
      <x:c r="AK9" s="58" t="n">
        <x:f>AK7/AK8</x:f>
        <x:v>0</x:v>
      </x:c>
    </x:row>
    <x:row r="10" ht="18" customHeight="1">
      <x:c r="A10" s="4" t="str">
        <x:v>New gross buyers: organic</x:v>
      </x:c>
      <x:c r="B10" s="58" t="n">
        <x:f>B6*'Scenario Inputs'!$B$9</x:f>
        <x:v>2</x:v>
      </x:c>
      <x:c r="C10" s="58" t="n">
        <x:f>C6*'Scenario Inputs'!$B$9</x:f>
        <x:v>2.06</x:v>
      </x:c>
      <x:c r="D10" s="58" t="n">
        <x:f>D6*'Scenario Inputs'!$B$9</x:f>
        <x:v>2.1218000000000004</x:v>
      </x:c>
      <x:c r="E10" s="58" t="n">
        <x:f>E6*'Scenario Inputs'!$B$9</x:f>
        <x:v>2.185454</x:v>
      </x:c>
      <x:c r="F10" s="58" t="n">
        <x:f>F6*'Scenario Inputs'!$B$9</x:f>
        <x:v>2.2510176200000003</x:v>
      </x:c>
      <x:c r="G10" s="58" t="n">
        <x:f>G6*'Scenario Inputs'!$B$9</x:f>
        <x:v>2.3185481486000006</x:v>
      </x:c>
      <x:c r="H10" s="58" t="n">
        <x:f>H6*'Scenario Inputs'!$B$9</x:f>
        <x:v>2.3881045930580003</x:v>
      </x:c>
      <x:c r="I10" s="58" t="n">
        <x:f>I6*'Scenario Inputs'!$B$9</x:f>
        <x:v>2.4597477308497404</x:v>
      </x:c>
      <x:c r="J10" s="58" t="n">
        <x:f>J6*'Scenario Inputs'!$B$9</x:f>
        <x:v>2.5335401627752328</x:v>
      </x:c>
      <x:c r="K10" s="58" t="n">
        <x:f>K6*'Scenario Inputs'!$B$9</x:f>
        <x:v>2.60954636765849</x:v>
      </x:c>
      <x:c r="L10" s="58" t="n">
        <x:f>L6*'Scenario Inputs'!$B$9</x:f>
        <x:v>2.6878327586882444</x:v>
      </x:c>
      <x:c r="M10" s="58" t="n">
        <x:f>M6*'Scenario Inputs'!$B$9</x:f>
        <x:v>2.7684677414488914</x:v>
      </x:c>
      <x:c r="N10" s="58" t="n">
        <x:f>N6*'Scenario Inputs'!$B$9</x:f>
        <x:v>2.8238370962778694</x:v>
      </x:c>
      <x:c r="O10" s="58" t="n">
        <x:f>O6*'Scenario Inputs'!$B$9</x:f>
        <x:v>2.880313838203427</x:v>
      </x:c>
      <x:c r="P10" s="58" t="n">
        <x:f>P6*'Scenario Inputs'!$B$9</x:f>
        <x:v>2.9379201149674956</x:v>
      </x:c>
      <x:c r="Q10" s="58" t="n">
        <x:f>Q6*'Scenario Inputs'!$B$9</x:f>
        <x:v>2.9966785172668455</x:v>
      </x:c>
      <x:c r="R10" s="58" t="n">
        <x:f>R6*'Scenario Inputs'!$B$9</x:f>
        <x:v>3.0566120876121827</x:v>
      </x:c>
      <x:c r="S10" s="58" t="n">
        <x:f>S6*'Scenario Inputs'!$B$9</x:f>
        <x:v>3.1177443293644265</x:v>
      </x:c>
      <x:c r="T10" s="58" t="n">
        <x:f>T6*'Scenario Inputs'!$B$9</x:f>
        <x:v>3.180099215951715</x:v>
      </x:c>
      <x:c r="U10" s="58" t="n">
        <x:f>U6*'Scenario Inputs'!$B$9</x:f>
        <x:v>3.2437012002707495</x:v>
      </x:c>
      <x:c r="V10" s="58" t="n">
        <x:f>V6*'Scenario Inputs'!$B$9</x:f>
        <x:v>3.308575224276164</x:v>
      </x:c>
      <x:c r="W10" s="58" t="n">
        <x:f>W6*'Scenario Inputs'!$B$9</x:f>
        <x:v>3.3747467287616875</x:v>
      </x:c>
      <x:c r="X10" s="58" t="n">
        <x:f>X6*'Scenario Inputs'!$B$9</x:f>
        <x:v>3.442241663336921</x:v>
      </x:c>
      <x:c r="Y10" s="58" t="n">
        <x:f>Y6*'Scenario Inputs'!$B$9</x:f>
        <x:v>3.5110864966036597</x:v>
      </x:c>
      <x:c r="Z10" s="58" t="n">
        <x:f>Z6*'Scenario Inputs'!$B$9</x:f>
        <x:v>3.5461973615696967</x:v>
      </x:c>
      <x:c r="AA10" s="58" t="n">
        <x:f>AA6*'Scenario Inputs'!$B$9</x:f>
        <x:v>3.5816593351853934</x:v>
      </x:c>
      <x:c r="AB10" s="58" t="n">
        <x:f>AB6*'Scenario Inputs'!$B$9</x:f>
        <x:v>3.6174759285372473</x:v>
      </x:c>
      <x:c r="AC10" s="58" t="n">
        <x:f>AC6*'Scenario Inputs'!$B$9</x:f>
        <x:v>3.65365068782262</x:v>
      </x:c>
      <x:c r="AD10" s="58" t="n">
        <x:f>AD6*'Scenario Inputs'!$B$9</x:f>
        <x:v>3.6901871947008464</x:v>
      </x:c>
      <x:c r="AE10" s="58" t="n">
        <x:f>AE6*'Scenario Inputs'!$B$9</x:f>
        <x:v>3.727089066647855</x:v>
      </x:c>
      <x:c r="AF10" s="58" t="n">
        <x:f>AF6*'Scenario Inputs'!$B$9</x:f>
        <x:v>3.7643599573143334</x:v>
      </x:c>
      <x:c r="AG10" s="58" t="n">
        <x:f>AG6*'Scenario Inputs'!$B$9</x:f>
        <x:v>3.802003556887477</x:v>
      </x:c>
      <x:c r="AH10" s="58" t="n">
        <x:f>AH6*'Scenario Inputs'!$B$9</x:f>
        <x:v>3.840023592456352</x:v>
      </x:c>
      <x:c r="AI10" s="58" t="n">
        <x:f>AI6*'Scenario Inputs'!$B$9</x:f>
        <x:v>3.8784238283809156</x:v>
      </x:c>
      <x:c r="AJ10" s="58" t="n">
        <x:f>AJ6*'Scenario Inputs'!$B$9</x:f>
        <x:v>3.917208066664725</x:v>
      </x:c>
      <x:c r="AK10" s="58" t="n">
        <x:f>AK6*'Scenario Inputs'!$B$9</x:f>
        <x:v>3.956380147331372</x:v>
      </x:c>
    </x:row>
    <x:row r="11" ht="18" customHeight="1">
      <x:c r="A11" s="4" t="str">
        <x:v>New gross buyers: paid</x:v>
      </x:c>
      <x:c r="B11" s="58" t="n">
        <x:f>B9*'Scenario Inputs'!$B$12</x:f>
        <x:v>2.2222222222222223</x:v>
      </x:c>
      <x:c r="C11" s="58" t="n">
        <x:f>C9*'Scenario Inputs'!$B$12</x:f>
        <x:v>2.2222222222222223</x:v>
      </x:c>
      <x:c r="D11" s="58" t="n">
        <x:f>D9*'Scenario Inputs'!$B$12</x:f>
        <x:v>2.2222222222222223</x:v>
      </x:c>
      <x:c r="E11" s="58" t="n">
        <x:f>E9*'Scenario Inputs'!$B$12</x:f>
        <x:v>2.2222222222222223</x:v>
      </x:c>
      <x:c r="F11" s="58" t="n">
        <x:f>F9*'Scenario Inputs'!$B$12</x:f>
        <x:v>2.2222222222222223</x:v>
      </x:c>
      <x:c r="G11" s="58" t="n">
        <x:f>G9*'Scenario Inputs'!$B$12</x:f>
        <x:v>2.2222222222222223</x:v>
      </x:c>
      <x:c r="H11" s="58" t="n">
        <x:f>H9*'Scenario Inputs'!$B$12</x:f>
        <x:v>0</x:v>
      </x:c>
      <x:c r="I11" s="58" t="n">
        <x:f>I9*'Scenario Inputs'!$B$12</x:f>
        <x:v>0</x:v>
      </x:c>
      <x:c r="J11" s="58" t="n">
        <x:f>J9*'Scenario Inputs'!$B$12</x:f>
        <x:v>0</x:v>
      </x:c>
      <x:c r="K11" s="58" t="n">
        <x:f>K9*'Scenario Inputs'!$B$12</x:f>
        <x:v>0</x:v>
      </x:c>
      <x:c r="L11" s="58" t="n">
        <x:f>L9*'Scenario Inputs'!$B$12</x:f>
        <x:v>0</x:v>
      </x:c>
      <x:c r="M11" s="58" t="n">
        <x:f>M9*'Scenario Inputs'!$B$12</x:f>
        <x:v>0</x:v>
      </x:c>
      <x:c r="N11" s="58" t="n">
        <x:f>N9*'Scenario Inputs'!$B$12</x:f>
        <x:v>0</x:v>
      </x:c>
      <x:c r="O11" s="58" t="n">
        <x:f>O9*'Scenario Inputs'!$B$12</x:f>
        <x:v>0</x:v>
      </x:c>
      <x:c r="P11" s="58" t="n">
        <x:f>P9*'Scenario Inputs'!$B$12</x:f>
        <x:v>0</x:v>
      </x:c>
      <x:c r="Q11" s="58" t="n">
        <x:f>Q9*'Scenario Inputs'!$B$12</x:f>
        <x:v>0</x:v>
      </x:c>
      <x:c r="R11" s="58" t="n">
        <x:f>R9*'Scenario Inputs'!$B$12</x:f>
        <x:v>0</x:v>
      </x:c>
      <x:c r="S11" s="58" t="n">
        <x:f>S9*'Scenario Inputs'!$B$12</x:f>
        <x:v>0</x:v>
      </x:c>
      <x:c r="T11" s="58" t="n">
        <x:f>T9*'Scenario Inputs'!$B$12</x:f>
        <x:v>0</x:v>
      </x:c>
      <x:c r="U11" s="58" t="n">
        <x:f>U9*'Scenario Inputs'!$B$12</x:f>
        <x:v>0</x:v>
      </x:c>
      <x:c r="V11" s="58" t="n">
        <x:f>V9*'Scenario Inputs'!$B$12</x:f>
        <x:v>0</x:v>
      </x:c>
      <x:c r="W11" s="58" t="n">
        <x:f>W9*'Scenario Inputs'!$B$12</x:f>
        <x:v>0</x:v>
      </x:c>
      <x:c r="X11" s="58" t="n">
        <x:f>X9*'Scenario Inputs'!$B$12</x:f>
        <x:v>0</x:v>
      </x:c>
      <x:c r="Y11" s="58" t="n">
        <x:f>Y9*'Scenario Inputs'!$B$12</x:f>
        <x:v>0</x:v>
      </x:c>
      <x:c r="Z11" s="58" t="n">
        <x:f>Z9*'Scenario Inputs'!$B$12</x:f>
        <x:v>0</x:v>
      </x:c>
      <x:c r="AA11" s="58" t="n">
        <x:f>AA9*'Scenario Inputs'!$B$12</x:f>
        <x:v>0</x:v>
      </x:c>
      <x:c r="AB11" s="58" t="n">
        <x:f>AB9*'Scenario Inputs'!$B$12</x:f>
        <x:v>0</x:v>
      </x:c>
      <x:c r="AC11" s="58" t="n">
        <x:f>AC9*'Scenario Inputs'!$B$12</x:f>
        <x:v>0</x:v>
      </x:c>
      <x:c r="AD11" s="58" t="n">
        <x:f>AD9*'Scenario Inputs'!$B$12</x:f>
        <x:v>0</x:v>
      </x:c>
      <x:c r="AE11" s="58" t="n">
        <x:f>AE9*'Scenario Inputs'!$B$12</x:f>
        <x:v>0</x:v>
      </x:c>
      <x:c r="AF11" s="58" t="n">
        <x:f>AF9*'Scenario Inputs'!$B$12</x:f>
        <x:v>0</x:v>
      </x:c>
      <x:c r="AG11" s="58" t="n">
        <x:f>AG9*'Scenario Inputs'!$B$12</x:f>
        <x:v>0</x:v>
      </x:c>
      <x:c r="AH11" s="58" t="n">
        <x:f>AH9*'Scenario Inputs'!$B$12</x:f>
        <x:v>0</x:v>
      </x:c>
      <x:c r="AI11" s="58" t="n">
        <x:f>AI9*'Scenario Inputs'!$B$12</x:f>
        <x:v>0</x:v>
      </x:c>
      <x:c r="AJ11" s="58" t="n">
        <x:f>AJ9*'Scenario Inputs'!$B$12</x:f>
        <x:v>0</x:v>
      </x:c>
      <x:c r="AK11" s="58" t="n">
        <x:f>AK9*'Scenario Inputs'!$B$12</x:f>
        <x:v>0</x:v>
      </x:c>
    </x:row>
    <x:row r="12" ht="18" customHeight="1">
      <x:c r="A12" s="4" t="str">
        <x:v>Total new gross buyers</x:v>
      </x:c>
      <x:c r="B12" s="58" t="n">
        <x:f>SUM(B10:B11)</x:f>
        <x:v>4.222222222222222</x:v>
      </x:c>
      <x:c r="C12" s="58" t="n">
        <x:f>SUM(C10:C11)</x:f>
        <x:v>4.282222222222222</x:v>
      </x:c>
      <x:c r="D12" s="58" t="n">
        <x:f>SUM(D10:D11)</x:f>
        <x:v>4.344022222222223</x:v>
      </x:c>
      <x:c r="E12" s="58" t="n">
        <x:f>SUM(E10:E11)</x:f>
        <x:v>4.407676222222222</x:v>
      </x:c>
      <x:c r="F12" s="58" t="n">
        <x:f>SUM(F10:F11)</x:f>
        <x:v>4.473239842222222</x:v>
      </x:c>
      <x:c r="G12" s="58" t="n">
        <x:f>SUM(G10:G11)</x:f>
        <x:v>4.540770370822223</x:v>
      </x:c>
      <x:c r="H12" s="58" t="n">
        <x:f>SUM(H10:H11)</x:f>
        <x:v>2.3881045930580003</x:v>
      </x:c>
      <x:c r="I12" s="58" t="n">
        <x:f>SUM(I10:I11)</x:f>
        <x:v>2.4597477308497404</x:v>
      </x:c>
      <x:c r="J12" s="58" t="n">
        <x:f>SUM(J10:J11)</x:f>
        <x:v>2.5335401627752328</x:v>
      </x:c>
      <x:c r="K12" s="58" t="n">
        <x:f>SUM(K10:K11)</x:f>
        <x:v>2.60954636765849</x:v>
      </x:c>
      <x:c r="L12" s="58" t="n">
        <x:f>SUM(L10:L11)</x:f>
        <x:v>2.6878327586882444</x:v>
      </x:c>
      <x:c r="M12" s="58" t="n">
        <x:f>SUM(M10:M11)</x:f>
        <x:v>2.7684677414488914</x:v>
      </x:c>
      <x:c r="N12" s="58" t="n">
        <x:f>SUM(N10:N11)</x:f>
        <x:v>2.8238370962778694</x:v>
      </x:c>
      <x:c r="O12" s="58" t="n">
        <x:f>SUM(O10:O11)</x:f>
        <x:v>2.880313838203427</x:v>
      </x:c>
      <x:c r="P12" s="58" t="n">
        <x:f>SUM(P10:P11)</x:f>
        <x:v>2.9379201149674956</x:v>
      </x:c>
      <x:c r="Q12" s="58" t="n">
        <x:f>SUM(Q10:Q11)</x:f>
        <x:v>2.9966785172668455</x:v>
      </x:c>
      <x:c r="R12" s="58" t="n">
        <x:f>SUM(R10:R11)</x:f>
        <x:v>3.0566120876121827</x:v>
      </x:c>
      <x:c r="S12" s="58" t="n">
        <x:f>SUM(S10:S11)</x:f>
        <x:v>3.1177443293644265</x:v>
      </x:c>
      <x:c r="T12" s="58" t="n">
        <x:f>SUM(T10:T11)</x:f>
        <x:v>3.180099215951715</x:v>
      </x:c>
      <x:c r="U12" s="58" t="n">
        <x:f>SUM(U10:U11)</x:f>
        <x:v>3.2437012002707495</x:v>
      </x:c>
      <x:c r="V12" s="58" t="n">
        <x:f>SUM(V10:V11)</x:f>
        <x:v>3.308575224276164</x:v>
      </x:c>
      <x:c r="W12" s="58" t="n">
        <x:f>SUM(W10:W11)</x:f>
        <x:v>3.3747467287616875</x:v>
      </x:c>
      <x:c r="X12" s="58" t="n">
        <x:f>SUM(X10:X11)</x:f>
        <x:v>3.442241663336921</x:v>
      </x:c>
      <x:c r="Y12" s="58" t="n">
        <x:f>SUM(Y10:Y11)</x:f>
        <x:v>3.5110864966036597</x:v>
      </x:c>
      <x:c r="Z12" s="58" t="n">
        <x:f>SUM(Z10:Z11)</x:f>
        <x:v>3.5461973615696967</x:v>
      </x:c>
      <x:c r="AA12" s="58" t="n">
        <x:f>SUM(AA10:AA11)</x:f>
        <x:v>3.5816593351853934</x:v>
      </x:c>
      <x:c r="AB12" s="58" t="n">
        <x:f>SUM(AB10:AB11)</x:f>
        <x:v>3.6174759285372473</x:v>
      </x:c>
      <x:c r="AC12" s="58" t="n">
        <x:f>SUM(AC10:AC11)</x:f>
        <x:v>3.65365068782262</x:v>
      </x:c>
      <x:c r="AD12" s="58" t="n">
        <x:f>SUM(AD10:AD11)</x:f>
        <x:v>3.6901871947008464</x:v>
      </x:c>
      <x:c r="AE12" s="58" t="n">
        <x:f>SUM(AE10:AE11)</x:f>
        <x:v>3.727089066647855</x:v>
      </x:c>
      <x:c r="AF12" s="58" t="n">
        <x:f>SUM(AF10:AF11)</x:f>
        <x:v>3.7643599573143334</x:v>
      </x:c>
      <x:c r="AG12" s="58" t="n">
        <x:f>SUM(AG10:AG11)</x:f>
        <x:v>3.802003556887477</x:v>
      </x:c>
      <x:c r="AH12" s="58" t="n">
        <x:f>SUM(AH10:AH11)</x:f>
        <x:v>3.840023592456352</x:v>
      </x:c>
      <x:c r="AI12" s="58" t="n">
        <x:f>SUM(AI10:AI11)</x:f>
        <x:v>3.8784238283809156</x:v>
      </x:c>
      <x:c r="AJ12" s="58" t="n">
        <x:f>SUM(AJ10:AJ11)</x:f>
        <x:v>3.917208066664725</x:v>
      </x:c>
      <x:c r="AK12" s="58" t="n">
        <x:f>SUM(AK10:AK11)</x:f>
        <x:v>3.956380147331372</x:v>
      </x:c>
    </x:row>
    <x:row r="13" ht="18" customHeight="1">
      <x:c r="A13" s="4" t="str">
        <x:v>New buyers after refunds</x:v>
      </x:c>
      <x:c r="B13" s="58" t="n">
        <x:f>B12*(1-'Scenario Inputs'!$B$29)</x:f>
        <x:v>4.011111111111111</x:v>
      </x:c>
      <x:c r="C13" s="58" t="n">
        <x:f>C12*(1-'Scenario Inputs'!$B$29)</x:f>
        <x:v>4.068111111111111</x:v>
      </x:c>
      <x:c r="D13" s="58" t="n">
        <x:f>D12*(1-'Scenario Inputs'!$B$29)</x:f>
        <x:v>4.126821111111111</x:v>
      </x:c>
      <x:c r="E13" s="58" t="n">
        <x:f>E12*(1-'Scenario Inputs'!$B$29)</x:f>
        <x:v>4.187292411111111</x:v>
      </x:c>
      <x:c r="F13" s="58" t="n">
        <x:f>F12*(1-'Scenario Inputs'!$B$29)</x:f>
        <x:v>4.249577850111111</x:v>
      </x:c>
      <x:c r="G13" s="58" t="n">
        <x:f>G12*(1-'Scenario Inputs'!$B$29)</x:f>
        <x:v>4.313731852281111</x:v>
      </x:c>
      <x:c r="H13" s="58" t="n">
        <x:f>H12*(1-'Scenario Inputs'!$B$29)</x:f>
        <x:v>2.2686993634051</x:v>
      </x:c>
      <x:c r="I13" s="58" t="n">
        <x:f>I12*(1-'Scenario Inputs'!$B$29)</x:f>
        <x:v>2.3367603443072533</x:v>
      </x:c>
      <x:c r="J13" s="58" t="n">
        <x:f>J12*(1-'Scenario Inputs'!$B$29)</x:f>
        <x:v>2.406863154636471</x:v>
      </x:c>
      <x:c r="K13" s="58" t="n">
        <x:f>K12*(1-'Scenario Inputs'!$B$29)</x:f>
        <x:v>2.4790690492755654</x:v>
      </x:c>
      <x:c r="L13" s="58" t="n">
        <x:f>L12*(1-'Scenario Inputs'!$B$29)</x:f>
        <x:v>2.553441120753832</x:v>
      </x:c>
      <x:c r="M13" s="58" t="n">
        <x:f>M12*(1-'Scenario Inputs'!$B$29)</x:f>
        <x:v>2.6300443543764467</x:v>
      </x:c>
      <x:c r="N13" s="58" t="n">
        <x:f>N12*(1-'Scenario Inputs'!$B$29)</x:f>
        <x:v>2.682645241463976</x:v>
      </x:c>
      <x:c r="O13" s="58" t="n">
        <x:f>O12*(1-'Scenario Inputs'!$B$29)</x:f>
        <x:v>2.7362981462932554</x:v>
      </x:c>
      <x:c r="P13" s="58" t="n">
        <x:f>P12*(1-'Scenario Inputs'!$B$29)</x:f>
        <x:v>2.7910241092191206</x:v>
      </x:c>
      <x:c r="Q13" s="58" t="n">
        <x:f>Q12*(1-'Scenario Inputs'!$B$29)</x:f>
        <x:v>2.846844591403503</x:v>
      </x:c>
      <x:c r="R13" s="58" t="n">
        <x:f>R12*(1-'Scenario Inputs'!$B$29)</x:f>
        <x:v>2.9037814832315734</x:v>
      </x:c>
      <x:c r="S13" s="58" t="n">
        <x:f>S12*(1-'Scenario Inputs'!$B$29)</x:f>
        <x:v>2.961857112896205</x:v>
      </x:c>
      <x:c r="T13" s="58" t="n">
        <x:f>T12*(1-'Scenario Inputs'!$B$29)</x:f>
        <x:v>3.021094255154129</x:v>
      </x:c>
      <x:c r="U13" s="58" t="n">
        <x:f>U12*(1-'Scenario Inputs'!$B$29)</x:f>
        <x:v>3.0815161402572118</x:v>
      </x:c>
      <x:c r="V13" s="58" t="n">
        <x:f>V12*(1-'Scenario Inputs'!$B$29)</x:f>
        <x:v>3.143146463062356</x:v>
      </x:c>
      <x:c r="W13" s="58" t="n">
        <x:f>W12*(1-'Scenario Inputs'!$B$29)</x:f>
        <x:v>3.206009392323603</x:v>
      </x:c>
      <x:c r="X13" s="58" t="n">
        <x:f>X12*(1-'Scenario Inputs'!$B$29)</x:f>
        <x:v>3.270129580170075</x:v>
      </x:c>
      <x:c r="Y13" s="58" t="n">
        <x:f>Y12*(1-'Scenario Inputs'!$B$29)</x:f>
        <x:v>3.3355321717734765</x:v>
      </x:c>
      <x:c r="Z13" s="58" t="n">
        <x:f>Z12*(1-'Scenario Inputs'!$B$29)</x:f>
        <x:v>3.368887493491212</x:v>
      </x:c>
      <x:c r="AA13" s="58" t="n">
        <x:f>AA12*(1-'Scenario Inputs'!$B$29)</x:f>
        <x:v>3.4025763684261237</x:v>
      </x:c>
      <x:c r="AB13" s="58" t="n">
        <x:f>AB12*(1-'Scenario Inputs'!$B$29)</x:f>
        <x:v>3.4366021321103846</x:v>
      </x:c>
      <x:c r="AC13" s="58" t="n">
        <x:f>AC12*(1-'Scenario Inputs'!$B$29)</x:f>
        <x:v>3.470968153431489</x:v>
      </x:c>
      <x:c r="AD13" s="58" t="n">
        <x:f>AD12*(1-'Scenario Inputs'!$B$29)</x:f>
        <x:v>3.505677834965804</x:v>
      </x:c>
      <x:c r="AE13" s="58" t="n">
        <x:f>AE12*(1-'Scenario Inputs'!$B$29)</x:f>
        <x:v>3.540734613315462</x:v>
      </x:c>
      <x:c r="AF13" s="58" t="n">
        <x:f>AF12*(1-'Scenario Inputs'!$B$29)</x:f>
        <x:v>3.5761419594486163</x:v>
      </x:c>
      <x:c r="AG13" s="58" t="n">
        <x:f>AG12*(1-'Scenario Inputs'!$B$29)</x:f>
        <x:v>3.611903379043103</x:v>
      </x:c>
      <x:c r="AH13" s="58" t="n">
        <x:f>AH12*(1-'Scenario Inputs'!$B$29)</x:f>
        <x:v>3.648022412833534</x:v>
      </x:c>
      <x:c r="AI13" s="58" t="n">
        <x:f>AI12*(1-'Scenario Inputs'!$B$29)</x:f>
        <x:v>3.6845026369618696</x:v>
      </x:c>
      <x:c r="AJ13" s="58" t="n">
        <x:f>AJ12*(1-'Scenario Inputs'!$B$29)</x:f>
        <x:v>3.7213476633314886</x:v>
      </x:c>
      <x:c r="AK13" s="58" t="n">
        <x:f>AK12*(1-'Scenario Inputs'!$B$29)</x:f>
        <x:v>3.7585611399648036</x:v>
      </x:c>
    </x:row>
    <x:row r="14" ht="18" customHeight="1">
      <x:c r="A14" s="4" t="str">
        <x:v>Paid creative allowance (INR)</x:v>
      </x:c>
      <x:c r="B14" s="58" t="n">
        <x:f>B7*'Scenario Inputs'!$B$13</x:f>
        <x:v>1250</x:v>
      </x:c>
      <x:c r="C14" s="58" t="n">
        <x:f>C7*'Scenario Inputs'!$B$13</x:f>
        <x:v>1250</x:v>
      </x:c>
      <x:c r="D14" s="58" t="n">
        <x:f>D7*'Scenario Inputs'!$B$13</x:f>
        <x:v>1250</x:v>
      </x:c>
      <x:c r="E14" s="58" t="n">
        <x:f>E7*'Scenario Inputs'!$B$13</x:f>
        <x:v>1250</x:v>
      </x:c>
      <x:c r="F14" s="58" t="n">
        <x:f>F7*'Scenario Inputs'!$B$13</x:f>
        <x:v>1250</x:v>
      </x:c>
      <x:c r="G14" s="58" t="n">
        <x:f>G7*'Scenario Inputs'!$B$13</x:f>
        <x:v>1250</x:v>
      </x:c>
      <x:c r="H14" s="58" t="n">
        <x:f>H7*'Scenario Inputs'!$B$13</x:f>
        <x:v>0</x:v>
      </x:c>
      <x:c r="I14" s="58" t="n">
        <x:f>I7*'Scenario Inputs'!$B$13</x:f>
        <x:v>0</x:v>
      </x:c>
      <x:c r="J14" s="58" t="n">
        <x:f>J7*'Scenario Inputs'!$B$13</x:f>
        <x:v>0</x:v>
      </x:c>
      <x:c r="K14" s="58" t="n">
        <x:f>K7*'Scenario Inputs'!$B$13</x:f>
        <x:v>0</x:v>
      </x:c>
      <x:c r="L14" s="58" t="n">
        <x:f>L7*'Scenario Inputs'!$B$13</x:f>
        <x:v>0</x:v>
      </x:c>
      <x:c r="M14" s="58" t="n">
        <x:f>M7*'Scenario Inputs'!$B$13</x:f>
        <x:v>0</x:v>
      </x:c>
      <x:c r="N14" s="58" t="n">
        <x:f>N7*'Scenario Inputs'!$B$13</x:f>
        <x:v>0</x:v>
      </x:c>
      <x:c r="O14" s="58" t="n">
        <x:f>O7*'Scenario Inputs'!$B$13</x:f>
        <x:v>0</x:v>
      </x:c>
      <x:c r="P14" s="58" t="n">
        <x:f>P7*'Scenario Inputs'!$B$13</x:f>
        <x:v>0</x:v>
      </x:c>
      <x:c r="Q14" s="58" t="n">
        <x:f>Q7*'Scenario Inputs'!$B$13</x:f>
        <x:v>0</x:v>
      </x:c>
      <x:c r="R14" s="58" t="n">
        <x:f>R7*'Scenario Inputs'!$B$13</x:f>
        <x:v>0</x:v>
      </x:c>
      <x:c r="S14" s="58" t="n">
        <x:f>S7*'Scenario Inputs'!$B$13</x:f>
        <x:v>0</x:v>
      </x:c>
      <x:c r="T14" s="58" t="n">
        <x:f>T7*'Scenario Inputs'!$B$13</x:f>
        <x:v>0</x:v>
      </x:c>
      <x:c r="U14" s="58" t="n">
        <x:f>U7*'Scenario Inputs'!$B$13</x:f>
        <x:v>0</x:v>
      </x:c>
      <x:c r="V14" s="58" t="n">
        <x:f>V7*'Scenario Inputs'!$B$13</x:f>
        <x:v>0</x:v>
      </x:c>
      <x:c r="W14" s="58" t="n">
        <x:f>W7*'Scenario Inputs'!$B$13</x:f>
        <x:v>0</x:v>
      </x:c>
      <x:c r="X14" s="58" t="n">
        <x:f>X7*'Scenario Inputs'!$B$13</x:f>
        <x:v>0</x:v>
      </x:c>
      <x:c r="Y14" s="58" t="n">
        <x:f>Y7*'Scenario Inputs'!$B$13</x:f>
        <x:v>0</x:v>
      </x:c>
      <x:c r="Z14" s="58" t="n">
        <x:f>Z7*'Scenario Inputs'!$B$13</x:f>
        <x:v>0</x:v>
      </x:c>
      <x:c r="AA14" s="58" t="n">
        <x:f>AA7*'Scenario Inputs'!$B$13</x:f>
        <x:v>0</x:v>
      </x:c>
      <x:c r="AB14" s="58" t="n">
        <x:f>AB7*'Scenario Inputs'!$B$13</x:f>
        <x:v>0</x:v>
      </x:c>
      <x:c r="AC14" s="58" t="n">
        <x:f>AC7*'Scenario Inputs'!$B$13</x:f>
        <x:v>0</x:v>
      </x:c>
      <x:c r="AD14" s="58" t="n">
        <x:f>AD7*'Scenario Inputs'!$B$13</x:f>
        <x:v>0</x:v>
      </x:c>
      <x:c r="AE14" s="58" t="n">
        <x:f>AE7*'Scenario Inputs'!$B$13</x:f>
        <x:v>0</x:v>
      </x:c>
      <x:c r="AF14" s="58" t="n">
        <x:f>AF7*'Scenario Inputs'!$B$13</x:f>
        <x:v>0</x:v>
      </x:c>
      <x:c r="AG14" s="58" t="n">
        <x:f>AG7*'Scenario Inputs'!$B$13</x:f>
        <x:v>0</x:v>
      </x:c>
      <x:c r="AH14" s="58" t="n">
        <x:f>AH7*'Scenario Inputs'!$B$13</x:f>
        <x:v>0</x:v>
      </x:c>
      <x:c r="AI14" s="58" t="n">
        <x:f>AI7*'Scenario Inputs'!$B$13</x:f>
        <x:v>0</x:v>
      </x:c>
      <x:c r="AJ14" s="58" t="n">
        <x:f>AJ7*'Scenario Inputs'!$B$13</x:f>
        <x:v>0</x:v>
      </x:c>
      <x:c r="AK14" s="58" t="n">
        <x:f>AK7*'Scenario Inputs'!$B$13</x:f>
        <x:v>0</x:v>
      </x:c>
    </x:row>
    <x:row r="15" ht="18" customHeight="1">
      <x:c r="A15" s="4" t="str">
        <x:v>Organic / partner content cash (INR)</x:v>
      </x:c>
      <x:c r="B15" s="60" t="n">
        <x:f>'Scenario Inputs'!$B$21</x:f>
        <x:v>2000</x:v>
      </x:c>
      <x:c r="C15" s="60" t="n">
        <x:f>'Scenario Inputs'!$B$21</x:f>
        <x:v>2000</x:v>
      </x:c>
      <x:c r="D15" s="60" t="n">
        <x:f>'Scenario Inputs'!$B$21</x:f>
        <x:v>2000</x:v>
      </x:c>
      <x:c r="E15" s="60" t="n">
        <x:f>'Scenario Inputs'!$B$21</x:f>
        <x:v>2000</x:v>
      </x:c>
      <x:c r="F15" s="60" t="n">
        <x:f>'Scenario Inputs'!$B$21</x:f>
        <x:v>2000</x:v>
      </x:c>
      <x:c r="G15" s="60" t="n">
        <x:f>'Scenario Inputs'!$B$21</x:f>
        <x:v>2000</x:v>
      </x:c>
      <x:c r="H15" s="60" t="n">
        <x:f>'Scenario Inputs'!$B$21</x:f>
        <x:v>2000</x:v>
      </x:c>
      <x:c r="I15" s="60" t="n">
        <x:f>'Scenario Inputs'!$B$21</x:f>
        <x:v>2000</x:v>
      </x:c>
      <x:c r="J15" s="60" t="n">
        <x:f>'Scenario Inputs'!$B$21</x:f>
        <x:v>2000</x:v>
      </x:c>
      <x:c r="K15" s="60" t="n">
        <x:f>'Scenario Inputs'!$B$21</x:f>
        <x:v>2000</x:v>
      </x:c>
      <x:c r="L15" s="60" t="n">
        <x:f>'Scenario Inputs'!$B$21</x:f>
        <x:v>2000</x:v>
      </x:c>
      <x:c r="M15" s="60" t="n">
        <x:f>'Scenario Inputs'!$B$21</x:f>
        <x:v>2000</x:v>
      </x:c>
      <x:c r="N15" s="60" t="n">
        <x:f>'Scenario Inputs'!$B$22</x:f>
        <x:v>2000</x:v>
      </x:c>
      <x:c r="O15" s="60" t="n">
        <x:f>'Scenario Inputs'!$B$22</x:f>
        <x:v>2000</x:v>
      </x:c>
      <x:c r="P15" s="60" t="n">
        <x:f>'Scenario Inputs'!$B$22</x:f>
        <x:v>2000</x:v>
      </x:c>
      <x:c r="Q15" s="60" t="n">
        <x:f>'Scenario Inputs'!$B$22</x:f>
        <x:v>2000</x:v>
      </x:c>
      <x:c r="R15" s="60" t="n">
        <x:f>'Scenario Inputs'!$B$22</x:f>
        <x:v>2000</x:v>
      </x:c>
      <x:c r="S15" s="60" t="n">
        <x:f>'Scenario Inputs'!$B$22</x:f>
        <x:v>2000</x:v>
      </x:c>
      <x:c r="T15" s="60" t="n">
        <x:f>'Scenario Inputs'!$B$22</x:f>
        <x:v>2000</x:v>
      </x:c>
      <x:c r="U15" s="60" t="n">
        <x:f>'Scenario Inputs'!$B$22</x:f>
        <x:v>2000</x:v>
      </x:c>
      <x:c r="V15" s="60" t="n">
        <x:f>'Scenario Inputs'!$B$22</x:f>
        <x:v>2000</x:v>
      </x:c>
      <x:c r="W15" s="60" t="n">
        <x:f>'Scenario Inputs'!$B$22</x:f>
        <x:v>2000</x:v>
      </x:c>
      <x:c r="X15" s="60" t="n">
        <x:f>'Scenario Inputs'!$B$22</x:f>
        <x:v>2000</x:v>
      </x:c>
      <x:c r="Y15" s="60" t="n">
        <x:f>'Scenario Inputs'!$B$22</x:f>
        <x:v>2000</x:v>
      </x:c>
      <x:c r="Z15" s="60" t="n">
        <x:f>'Scenario Inputs'!$B$23</x:f>
        <x:v>2000</x:v>
      </x:c>
      <x:c r="AA15" s="60" t="n">
        <x:f>'Scenario Inputs'!$B$23</x:f>
        <x:v>2000</x:v>
      </x:c>
      <x:c r="AB15" s="60" t="n">
        <x:f>'Scenario Inputs'!$B$23</x:f>
        <x:v>2000</x:v>
      </x:c>
      <x:c r="AC15" s="60" t="n">
        <x:f>'Scenario Inputs'!$B$23</x:f>
        <x:v>2000</x:v>
      </x:c>
      <x:c r="AD15" s="60" t="n">
        <x:f>'Scenario Inputs'!$B$23</x:f>
        <x:v>2000</x:v>
      </x:c>
      <x:c r="AE15" s="60" t="n">
        <x:f>'Scenario Inputs'!$B$23</x:f>
        <x:v>2000</x:v>
      </x:c>
      <x:c r="AF15" s="60" t="n">
        <x:f>'Scenario Inputs'!$B$23</x:f>
        <x:v>2000</x:v>
      </x:c>
      <x:c r="AG15" s="60" t="n">
        <x:f>'Scenario Inputs'!$B$23</x:f>
        <x:v>2000</x:v>
      </x:c>
      <x:c r="AH15" s="60" t="n">
        <x:f>'Scenario Inputs'!$B$23</x:f>
        <x:v>2000</x:v>
      </x:c>
      <x:c r="AI15" s="60" t="n">
        <x:f>'Scenario Inputs'!$B$23</x:f>
        <x:v>2000</x:v>
      </x:c>
      <x:c r="AJ15" s="60" t="n">
        <x:f>'Scenario Inputs'!$B$23</x:f>
        <x:v>2000</x:v>
      </x:c>
      <x:c r="AK15" s="60" t="n">
        <x:f>'Scenario Inputs'!$B$23</x:f>
        <x:v>2000</x:v>
      </x:c>
    </x:row>
    <x:row r="16" ht="18" customHeight="1">
      <x:c r="A16" s="74" t="str">
        <x:v>TOTAL ACQUISITION SPEND (INR)</x:v>
      </x:c>
      <x:c r="B16" s="75" t="n">
        <x:f>B7+SUM(B14:B15)</x:f>
        <x:v>8250</x:v>
      </x:c>
      <x:c r="C16" s="75" t="n">
        <x:f>C7+SUM(C14:C15)</x:f>
        <x:v>8250</x:v>
      </x:c>
      <x:c r="D16" s="75" t="n">
        <x:f>D7+SUM(D14:D15)</x:f>
        <x:v>8250</x:v>
      </x:c>
      <x:c r="E16" s="75" t="n">
        <x:f>E7+SUM(E14:E15)</x:f>
        <x:v>8250</x:v>
      </x:c>
      <x:c r="F16" s="75" t="n">
        <x:f>F7+SUM(F14:F15)</x:f>
        <x:v>8250</x:v>
      </x:c>
      <x:c r="G16" s="75" t="n">
        <x:f>G7+SUM(G14:G15)</x:f>
        <x:v>8250</x:v>
      </x:c>
      <x:c r="H16" s="75" t="n">
        <x:f>H7+SUM(H14:H15)</x:f>
        <x:v>2000</x:v>
      </x:c>
      <x:c r="I16" s="75" t="n">
        <x:f>I7+SUM(I14:I15)</x:f>
        <x:v>2000</x:v>
      </x:c>
      <x:c r="J16" s="75" t="n">
        <x:f>J7+SUM(J14:J15)</x:f>
        <x:v>2000</x:v>
      </x:c>
      <x:c r="K16" s="75" t="n">
        <x:f>K7+SUM(K14:K15)</x:f>
        <x:v>2000</x:v>
      </x:c>
      <x:c r="L16" s="75" t="n">
        <x:f>L7+SUM(L14:L15)</x:f>
        <x:v>2000</x:v>
      </x:c>
      <x:c r="M16" s="75" t="n">
        <x:f>M7+SUM(M14:M15)</x:f>
        <x:v>2000</x:v>
      </x:c>
      <x:c r="N16" s="75" t="n">
        <x:f>N7+SUM(N14:N15)</x:f>
        <x:v>2000</x:v>
      </x:c>
      <x:c r="O16" s="75" t="n">
        <x:f>O7+SUM(O14:O15)</x:f>
        <x:v>2000</x:v>
      </x:c>
      <x:c r="P16" s="75" t="n">
        <x:f>P7+SUM(P14:P15)</x:f>
        <x:v>2000</x:v>
      </x:c>
      <x:c r="Q16" s="75" t="n">
        <x:f>Q7+SUM(Q14:Q15)</x:f>
        <x:v>2000</x:v>
      </x:c>
      <x:c r="R16" s="75" t="n">
        <x:f>R7+SUM(R14:R15)</x:f>
        <x:v>2000</x:v>
      </x:c>
      <x:c r="S16" s="75" t="n">
        <x:f>S7+SUM(S14:S15)</x:f>
        <x:v>2000</x:v>
      </x:c>
      <x:c r="T16" s="75" t="n">
        <x:f>T7+SUM(T14:T15)</x:f>
        <x:v>2000</x:v>
      </x:c>
      <x:c r="U16" s="75" t="n">
        <x:f>U7+SUM(U14:U15)</x:f>
        <x:v>2000</x:v>
      </x:c>
      <x:c r="V16" s="75" t="n">
        <x:f>V7+SUM(V14:V15)</x:f>
        <x:v>2000</x:v>
      </x:c>
      <x:c r="W16" s="75" t="n">
        <x:f>W7+SUM(W14:W15)</x:f>
        <x:v>2000</x:v>
      </x:c>
      <x:c r="X16" s="75" t="n">
        <x:f>X7+SUM(X14:X15)</x:f>
        <x:v>2000</x:v>
      </x:c>
      <x:c r="Y16" s="75" t="n">
        <x:f>Y7+SUM(Y14:Y15)</x:f>
        <x:v>2000</x:v>
      </x:c>
      <x:c r="Z16" s="75" t="n">
        <x:f>Z7+SUM(Z14:Z15)</x:f>
        <x:v>2000</x:v>
      </x:c>
      <x:c r="AA16" s="75" t="n">
        <x:f>AA7+SUM(AA14:AA15)</x:f>
        <x:v>2000</x:v>
      </x:c>
      <x:c r="AB16" s="75" t="n">
        <x:f>AB7+SUM(AB14:AB15)</x:f>
        <x:v>2000</x:v>
      </x:c>
      <x:c r="AC16" s="75" t="n">
        <x:f>AC7+SUM(AC14:AC15)</x:f>
        <x:v>2000</x:v>
      </x:c>
      <x:c r="AD16" s="75" t="n">
        <x:f>AD7+SUM(AD14:AD15)</x:f>
        <x:v>2000</x:v>
      </x:c>
      <x:c r="AE16" s="75" t="n">
        <x:f>AE7+SUM(AE14:AE15)</x:f>
        <x:v>2000</x:v>
      </x:c>
      <x:c r="AF16" s="75" t="n">
        <x:f>AF7+SUM(AF14:AF15)</x:f>
        <x:v>2000</x:v>
      </x:c>
      <x:c r="AG16" s="75" t="n">
        <x:f>AG7+SUM(AG14:AG15)</x:f>
        <x:v>2000</x:v>
      </x:c>
      <x:c r="AH16" s="75" t="n">
        <x:f>AH7+SUM(AH14:AH15)</x:f>
        <x:v>2000</x:v>
      </x:c>
      <x:c r="AI16" s="75" t="n">
        <x:f>AI7+SUM(AI14:AI15)</x:f>
        <x:v>2000</x:v>
      </x:c>
      <x:c r="AJ16" s="75" t="n">
        <x:f>AJ7+SUM(AJ14:AJ15)</x:f>
        <x:v>2000</x:v>
      </x:c>
      <x:c r="AK16" s="75" t="n">
        <x:f>AK7+SUM(AK14:AK15)</x:f>
        <x:v>2000</x:v>
      </x:c>
    </x:row>
    <x:row r="17" ht="18" customHeight="1">
      <x:c r="A17" s="4" t="str">
        <x:v>Blended cash CAC (INR / gross buyer)</x:v>
      </x:c>
      <x:c r="B17" s="64" t="n">
        <x:f>IFERROR(B16/B12,0)</x:f>
        <x:v>1953.9473684210525</x:v>
      </x:c>
      <x:c r="C17" s="64" t="n">
        <x:f>IFERROR(C16/C12,0)</x:f>
        <x:v>1926.56979761287</x:v>
      </x:c>
      <x:c r="D17" s="64" t="n">
        <x:f>IFERROR(D16/D12,0)</x:f>
        <x:v>1899.1615553429742</x:v>
      </x:c>
      <x:c r="E17" s="64" t="n">
        <x:f>IFERROR(E16/E12,0)</x:f>
        <x:v>1871.734579415316</x:v>
      </x:c>
      <x:c r="F17" s="64" t="n">
        <x:f>IFERROR(F16/F12,0)</x:f>
        <x:v>1844.3008403281935</x:v>
      </x:c>
      <x:c r="G17" s="64" t="n">
        <x:f>IFERROR(G16/G12,0)</x:f>
        <x:v>1816.8723203913362</x:v>
      </x:c>
      <x:c r="H17" s="64" t="n">
        <x:f>IFERROR(H16/H12,0)</x:f>
        <x:v>837.4842566836543</x:v>
      </x:c>
      <x:c r="I17" s="64" t="n">
        <x:f>IFERROR(I16/I12,0)</x:f>
        <x:v>813.0915113433537</x:v>
      </x:c>
      <x:c r="J17" s="64" t="n">
        <x:f>IFERROR(J16/J12,0)</x:f>
        <x:v>789.4092343139355</x:v>
      </x:c>
      <x:c r="K17" s="64" t="n">
        <x:f>IFERROR(K16/K12,0)</x:f>
        <x:v>766.4167323436267</x:v>
      </x:c>
      <x:c r="L17" s="64" t="n">
        <x:f>IFERROR(L16/L12,0)</x:f>
        <x:v>744.093914896725</x:v>
      </x:c>
      <x:c r="M17" s="64" t="n">
        <x:f>IFERROR(M16/M12,0)</x:f>
        <x:v>722.4212765987622</x:v>
      </x:c>
      <x:c r="N17" s="64" t="n">
        <x:f>IFERROR(N16/N12,0)</x:f>
        <x:v>708.2561535281982</x:v>
      </x:c>
      <x:c r="O17" s="64" t="n">
        <x:f>IFERROR(O16/O12,0)</x:f>
        <x:v>694.3687779688217</x:v>
      </x:c>
      <x:c r="P17" s="64" t="n">
        <x:f>IFERROR(P16/P12,0)</x:f>
        <x:v>680.7537038910017</x:v>
      </x:c>
      <x:c r="Q17" s="64" t="n">
        <x:f>IFERROR(Q16/Q12,0)</x:f>
        <x:v>667.4055920500016</x:v>
      </x:c>
      <x:c r="R17" s="64" t="n">
        <x:f>IFERROR(R16/R12,0)</x:f>
        <x:v>654.3192078921584</x:v>
      </x:c>
      <x:c r="S17" s="64" t="n">
        <x:f>IFERROR(S16/S12,0)</x:f>
        <x:v>641.489419502116</x:v>
      </x:c>
      <x:c r="T17" s="64" t="n">
        <x:f>IFERROR(T16/T12,0)</x:f>
        <x:v>628.9111955903098</x:v>
      </x:c>
      <x:c r="U17" s="64" t="n">
        <x:f>IFERROR(U16/U12,0)</x:f>
        <x:v>616.5796035199115</x:v>
      </x:c>
      <x:c r="V17" s="64" t="n">
        <x:f>IFERROR(V16/V12,0)</x:f>
        <x:v>604.4898073724623</x:v>
      </x:c>
      <x:c r="W17" s="64" t="n">
        <x:f>IFERROR(W16/W12,0)</x:f>
        <x:v>592.6370660514337</x:v>
      </x:c>
      <x:c r="X17" s="64" t="n">
        <x:f>IFERROR(X16/X12,0)</x:f>
        <x:v>581.0167314229742</x:v>
      </x:c>
      <x:c r="Y17" s="64" t="n">
        <x:f>IFERROR(Y16/Y12,0)</x:f>
        <x:v>569.624246493112</x:v>
      </x:c>
      <x:c r="Z17" s="64" t="n">
        <x:f>IFERROR(Z16/Z12,0)</x:f>
        <x:v>563.9844024684277</x:v>
      </x:c>
      <x:c r="AA17" s="64" t="n">
        <x:f>IFERROR(AA16/AA12,0)</x:f>
        <x:v>558.4003984835917</x:v>
      </x:c>
      <x:c r="AB17" s="64" t="n">
        <x:f>IFERROR(AB16/AB12,0)</x:f>
        <x:v>552.8716816669225</x:v>
      </x:c>
      <x:c r="AC17" s="64" t="n">
        <x:f>IFERROR(AC16/AC12,0)</x:f>
        <x:v>547.3977046207153</x:v>
      </x:c>
      <x:c r="AD17" s="64" t="n">
        <x:f>IFERROR(AD16/AD12,0)</x:f>
        <x:v>541.9779253670449</x:v>
      </x:c>
      <x:c r="AE17" s="64" t="n">
        <x:f>IFERROR(AE16/AE12,0)</x:f>
        <x:v>536.6118072941038</x:v>
      </x:c>
      <x:c r="AF17" s="64" t="n">
        <x:f>IFERROR(AF16/AF12,0)</x:f>
        <x:v>531.2988191030731</x:v>
      </x:c>
      <x:c r="AG17" s="64" t="n">
        <x:f>IFERROR(AG16/AG12,0)</x:f>
        <x:v>526.0384347555179</x:v>
      </x:c>
      <x:c r="AH17" s="64" t="n">
        <x:f>IFERROR(AH16/AH12,0)</x:f>
        <x:v>520.8301334213048</x:v>
      </x:c>
      <x:c r="AI17" s="64" t="n">
        <x:f>IFERROR(AI16/AI12,0)</x:f>
        <x:v>515.6733994270345</x:v>
      </x:c>
      <x:c r="AJ17" s="64" t="n">
        <x:f>IFERROR(AJ16/AJ12,0)</x:f>
        <x:v>510.5677222049846</x:v>
      </x:c>
      <x:c r="AK17" s="64" t="n">
        <x:f>IFERROR(AK16/AK12,0)</x:f>
        <x:v>505.51259624255897</x:v>
      </x:c>
    </x:row>
    <x:row r="18" ht="18" customHeight="1">
      <x:c r="A18" s="4" t="str">
        <x:v>Loaded paid-channel CAC (INR)</x:v>
      </x:c>
      <x:c r="B18" s="64" t="n">
        <x:f>IFERROR((B7+B14)/B11,0)</x:f>
        <x:v>2812.5</x:v>
      </x:c>
      <x:c r="C18" s="64" t="n">
        <x:f>IFERROR((C7+C14)/C11,0)</x:f>
        <x:v>2812.5</x:v>
      </x:c>
      <x:c r="D18" s="64" t="n">
        <x:f>IFERROR((D7+D14)/D11,0)</x:f>
        <x:v>2812.5</x:v>
      </x:c>
      <x:c r="E18" s="64" t="n">
        <x:f>IFERROR((E7+E14)/E11,0)</x:f>
        <x:v>2812.5</x:v>
      </x:c>
      <x:c r="F18" s="64" t="n">
        <x:f>IFERROR((F7+F14)/F11,0)</x:f>
        <x:v>2812.5</x:v>
      </x:c>
      <x:c r="G18" s="64" t="n">
        <x:f>IFERROR((G7+G14)/G11,0)</x:f>
        <x:v>2812.5</x:v>
      </x:c>
      <x:c r="H18" s="64" t="n">
        <x:f>IFERROR((H7+H14)/H11,0)</x:f>
        <x:v>0</x:v>
      </x:c>
      <x:c r="I18" s="64" t="n">
        <x:f>IFERROR((I7+I14)/I11,0)</x:f>
        <x:v>0</x:v>
      </x:c>
      <x:c r="J18" s="64" t="n">
        <x:f>IFERROR((J7+J14)/J11,0)</x:f>
        <x:v>0</x:v>
      </x:c>
      <x:c r="K18" s="64" t="n">
        <x:f>IFERROR((K7+K14)/K11,0)</x:f>
        <x:v>0</x:v>
      </x:c>
      <x:c r="L18" s="64" t="n">
        <x:f>IFERROR((L7+L14)/L11,0)</x:f>
        <x:v>0</x:v>
      </x:c>
      <x:c r="M18" s="64" t="n">
        <x:f>IFERROR((M7+M14)/M11,0)</x:f>
        <x:v>0</x:v>
      </x:c>
      <x:c r="N18" s="64" t="n">
        <x:f>IFERROR((N7+N14)/N11,0)</x:f>
        <x:v>0</x:v>
      </x:c>
      <x:c r="O18" s="64" t="n">
        <x:f>IFERROR((O7+O14)/O11,0)</x:f>
        <x:v>0</x:v>
      </x:c>
      <x:c r="P18" s="64" t="n">
        <x:f>IFERROR((P7+P14)/P11,0)</x:f>
        <x:v>0</x:v>
      </x:c>
      <x:c r="Q18" s="64" t="n">
        <x:f>IFERROR((Q7+Q14)/Q11,0)</x:f>
        <x:v>0</x:v>
      </x:c>
      <x:c r="R18" s="64" t="n">
        <x:f>IFERROR((R7+R14)/R11,0)</x:f>
        <x:v>0</x:v>
      </x:c>
      <x:c r="S18" s="64" t="n">
        <x:f>IFERROR((S7+S14)/S11,0)</x:f>
        <x:v>0</x:v>
      </x:c>
      <x:c r="T18" s="64" t="n">
        <x:f>IFERROR((T7+T14)/T11,0)</x:f>
        <x:v>0</x:v>
      </x:c>
      <x:c r="U18" s="64" t="n">
        <x:f>IFERROR((U7+U14)/U11,0)</x:f>
        <x:v>0</x:v>
      </x:c>
      <x:c r="V18" s="64" t="n">
        <x:f>IFERROR((V7+V14)/V11,0)</x:f>
        <x:v>0</x:v>
      </x:c>
      <x:c r="W18" s="64" t="n">
        <x:f>IFERROR((W7+W14)/W11,0)</x:f>
        <x:v>0</x:v>
      </x:c>
      <x:c r="X18" s="64" t="n">
        <x:f>IFERROR((X7+X14)/X11,0)</x:f>
        <x:v>0</x:v>
      </x:c>
      <x:c r="Y18" s="64" t="n">
        <x:f>IFERROR((Y7+Y14)/Y11,0)</x:f>
        <x:v>0</x:v>
      </x:c>
      <x:c r="Z18" s="64" t="n">
        <x:f>IFERROR((Z7+Z14)/Z11,0)</x:f>
        <x:v>0</x:v>
      </x:c>
      <x:c r="AA18" s="64" t="n">
        <x:f>IFERROR((AA7+AA14)/AA11,0)</x:f>
        <x:v>0</x:v>
      </x:c>
      <x:c r="AB18" s="64" t="n">
        <x:f>IFERROR((AB7+AB14)/AB11,0)</x:f>
        <x:v>0</x:v>
      </x:c>
      <x:c r="AC18" s="64" t="n">
        <x:f>IFERROR((AC7+AC14)/AC11,0)</x:f>
        <x:v>0</x:v>
      </x:c>
      <x:c r="AD18" s="64" t="n">
        <x:f>IFERROR((AD7+AD14)/AD11,0)</x:f>
        <x:v>0</x:v>
      </x:c>
      <x:c r="AE18" s="64" t="n">
        <x:f>IFERROR((AE7+AE14)/AE11,0)</x:f>
        <x:v>0</x:v>
      </x:c>
      <x:c r="AF18" s="64" t="n">
        <x:f>IFERROR((AF7+AF14)/AF11,0)</x:f>
        <x:v>0</x:v>
      </x:c>
      <x:c r="AG18" s="64" t="n">
        <x:f>IFERROR((AG7+AG14)/AG11,0)</x:f>
        <x:v>0</x:v>
      </x:c>
      <x:c r="AH18" s="64" t="n">
        <x:f>IFERROR((AH7+AH14)/AH11,0)</x:f>
        <x:v>0</x:v>
      </x:c>
      <x:c r="AI18" s="64" t="n">
        <x:f>IFERROR((AI7+AI14)/AI11,0)</x:f>
        <x:v>0</x:v>
      </x:c>
      <x:c r="AJ18" s="64" t="n">
        <x:f>IFERROR((AJ7+AJ14)/AJ11,0)</x:f>
        <x:v>0</x:v>
      </x:c>
      <x:c r="AK18" s="64" t="n">
        <x:f>IFERROR((AK7+AK14)/AK11,0)</x:f>
        <x:v>0</x:v>
      </x:c>
    </x:row>
    <x:row r="19" ht="18" customHeight="1">
      <x:c r="A19" s="4" t="str"/>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row>
    <x:row r="20" ht="18" customHeight="1">
      <x:c r="A20" s="4" t="str">
        <x:v>New annual payers after refunds</x:v>
      </x:c>
      <x:c r="B20" s="58" t="n">
        <x:f>B12*'Scenario Inputs'!$B$27*(1-'Scenario Inputs'!$B$29)</x:f>
        <x:v>2.607222222222222</x:v>
      </x:c>
      <x:c r="C20" s="58" t="n">
        <x:f>C12*'Scenario Inputs'!$B$27*(1-'Scenario Inputs'!$B$29)</x:f>
        <x:v>2.644272222222222</x:v>
      </x:c>
      <x:c r="D20" s="58" t="n">
        <x:f>D12*'Scenario Inputs'!$B$27*(1-'Scenario Inputs'!$B$29)</x:f>
        <x:v>2.6824337222222225</x:v>
      </x:c>
      <x:c r="E20" s="58" t="n">
        <x:f>E12*'Scenario Inputs'!$B$27*(1-'Scenario Inputs'!$B$29)</x:f>
        <x:v>2.7217400672222225</x:v>
      </x:c>
      <x:c r="F20" s="58" t="n">
        <x:f>F12*'Scenario Inputs'!$B$27*(1-'Scenario Inputs'!$B$29)</x:f>
        <x:v>2.762225602572222</x:v>
      </x:c>
      <x:c r="G20" s="58" t="n">
        <x:f>G12*'Scenario Inputs'!$B$27*(1-'Scenario Inputs'!$B$29)</x:f>
        <x:v>2.803925703982723</x:v>
      </x:c>
      <x:c r="H20" s="58" t="n">
        <x:f>H12*'Scenario Inputs'!$B$27*(1-'Scenario Inputs'!$B$29)</x:f>
        <x:v>1.4746545862133151</x:v>
      </x:c>
      <x:c r="I20" s="58" t="n">
        <x:f>I12*'Scenario Inputs'!$B$27*(1-'Scenario Inputs'!$B$29)</x:f>
        <x:v>1.5188942237997145</x:v>
      </x:c>
      <x:c r="J20" s="58" t="n">
        <x:f>J12*'Scenario Inputs'!$B$27*(1-'Scenario Inputs'!$B$29)</x:f>
        <x:v>1.5644610505137062</x:v>
      </x:c>
      <x:c r="K20" s="58" t="n">
        <x:f>K12*'Scenario Inputs'!$B$27*(1-'Scenario Inputs'!$B$29)</x:f>
        <x:v>1.6113948820291173</x:v>
      </x:c>
      <x:c r="L20" s="58" t="n">
        <x:f>L12*'Scenario Inputs'!$B$27*(1-'Scenario Inputs'!$B$29)</x:f>
        <x:v>1.6597367284899909</x:v>
      </x:c>
      <x:c r="M20" s="58" t="n">
        <x:f>M12*'Scenario Inputs'!$B$27*(1-'Scenario Inputs'!$B$29)</x:f>
        <x:v>1.7095288303446903</x:v>
      </x:c>
      <x:c r="N20" s="58" t="n">
        <x:f>N12*'Scenario Inputs'!$B$27*(1-'Scenario Inputs'!$B$29)</x:f>
        <x:v>1.7437194069515844</x:v>
      </x:c>
      <x:c r="O20" s="58" t="n">
        <x:f>O12*'Scenario Inputs'!$B$27*(1-'Scenario Inputs'!$B$29)</x:f>
        <x:v>1.778593795090616</x:v>
      </x:c>
      <x:c r="P20" s="58" t="n">
        <x:f>P12*'Scenario Inputs'!$B$27*(1-'Scenario Inputs'!$B$29)</x:f>
        <x:v>1.8141656709924285</x:v>
      </x:c>
      <x:c r="Q20" s="58" t="n">
        <x:f>Q12*'Scenario Inputs'!$B$27*(1-'Scenario Inputs'!$B$29)</x:f>
        <x:v>1.8504489844122771</x:v>
      </x:c>
      <x:c r="R20" s="58" t="n">
        <x:f>R12*'Scenario Inputs'!$B$27*(1-'Scenario Inputs'!$B$29)</x:f>
        <x:v>1.8874579641005227</x:v>
      </x:c>
      <x:c r="S20" s="58" t="n">
        <x:f>S12*'Scenario Inputs'!$B$27*(1-'Scenario Inputs'!$B$29)</x:f>
        <x:v>1.9252071233825332</x:v>
      </x:c>
      <x:c r="T20" s="58" t="n">
        <x:f>T12*'Scenario Inputs'!$B$27*(1-'Scenario Inputs'!$B$29)</x:f>
        <x:v>1.963711265850184</x:v>
      </x:c>
      <x:c r="U20" s="58" t="n">
        <x:f>U12*'Scenario Inputs'!$B$27*(1-'Scenario Inputs'!$B$29)</x:f>
        <x:v>2.0029854911671876</x:v>
      </x:c>
      <x:c r="V20" s="58" t="n">
        <x:f>V12*'Scenario Inputs'!$B$27*(1-'Scenario Inputs'!$B$29)</x:f>
        <x:v>2.043045200990531</x:v>
      </x:c>
      <x:c r="W20" s="58" t="n">
        <x:f>W12*'Scenario Inputs'!$B$27*(1-'Scenario Inputs'!$B$29)</x:f>
        <x:v>2.083906105010342</x:v>
      </x:c>
      <x:c r="X20" s="58" t="n">
        <x:f>X12*'Scenario Inputs'!$B$27*(1-'Scenario Inputs'!$B$29)</x:f>
        <x:v>2.1255842271105485</x:v>
      </x:c>
      <x:c r="Y20" s="58" t="n">
        <x:f>Y12*'Scenario Inputs'!$B$27*(1-'Scenario Inputs'!$B$29)</x:f>
        <x:v>2.1680959116527596</x:v>
      </x:c>
      <x:c r="Z20" s="58" t="n">
        <x:f>Z12*'Scenario Inputs'!$B$27*(1-'Scenario Inputs'!$B$29)</x:f>
        <x:v>2.189776870769288</x:v>
      </x:c>
      <x:c r="AA20" s="58" t="n">
        <x:f>AA12*'Scenario Inputs'!$B$27*(1-'Scenario Inputs'!$B$29)</x:f>
        <x:v>2.2116746394769806</x:v>
      </x:c>
      <x:c r="AB20" s="58" t="n">
        <x:f>AB12*'Scenario Inputs'!$B$27*(1-'Scenario Inputs'!$B$29)</x:f>
        <x:v>2.23379138587175</x:v>
      </x:c>
      <x:c r="AC20" s="58" t="n">
        <x:f>AC12*'Scenario Inputs'!$B$27*(1-'Scenario Inputs'!$B$29)</x:f>
        <x:v>2.2561292997304676</x:v>
      </x:c>
      <x:c r="AD20" s="58" t="n">
        <x:f>AD12*'Scenario Inputs'!$B$27*(1-'Scenario Inputs'!$B$29)</x:f>
        <x:v>2.2786905927277727</x:v>
      </x:c>
      <x:c r="AE20" s="58" t="n">
        <x:f>AE12*'Scenario Inputs'!$B$27*(1-'Scenario Inputs'!$B$29)</x:f>
        <x:v>2.3014774986550504</x:v>
      </x:c>
      <x:c r="AF20" s="58" t="n">
        <x:f>AF12*'Scenario Inputs'!$B$27*(1-'Scenario Inputs'!$B$29)</x:f>
        <x:v>2.3244922736416007</x:v>
      </x:c>
      <x:c r="AG20" s="58" t="n">
        <x:f>AG12*'Scenario Inputs'!$B$27*(1-'Scenario Inputs'!$B$29)</x:f>
        <x:v>2.347737196378017</x:v>
      </x:c>
      <x:c r="AH20" s="58" t="n">
        <x:f>AH12*'Scenario Inputs'!$B$27*(1-'Scenario Inputs'!$B$29)</x:f>
        <x:v>2.3712145683417973</x:v>
      </x:c>
      <x:c r="AI20" s="58" t="n">
        <x:f>AI12*'Scenario Inputs'!$B$27*(1-'Scenario Inputs'!$B$29)</x:f>
        <x:v>2.3949267140252153</x:v>
      </x:c>
      <x:c r="AJ20" s="58" t="n">
        <x:f>AJ12*'Scenario Inputs'!$B$27*(1-'Scenario Inputs'!$B$29)</x:f>
        <x:v>2.4188759811654674</x:v>
      </x:c>
      <x:c r="AK20" s="58" t="n">
        <x:f>AK12*'Scenario Inputs'!$B$27*(1-'Scenario Inputs'!$B$29)</x:f>
        <x:v>2.4430647409771225</x:v>
      </x:c>
    </x:row>
    <x:row r="21" ht="18" customHeight="1">
      <x:c r="A21" s="4" t="str">
        <x:v>First annual renewals after refunds</x:v>
      </x:c>
      <x:c r="B21" s="58" t="n">
        <x:f>0*'Scenario Inputs'!$B$30*(1-'Scenario Inputs'!$B$29)</x:f>
        <x:v>0</x:v>
      </x:c>
      <x:c r="C21" s="58" t="n">
        <x:f>0*'Scenario Inputs'!$B$30*(1-'Scenario Inputs'!$B$29)</x:f>
        <x:v>0</x:v>
      </x:c>
      <x:c r="D21" s="58" t="n">
        <x:f>0*'Scenario Inputs'!$B$30*(1-'Scenario Inputs'!$B$29)</x:f>
        <x:v>0</x:v>
      </x:c>
      <x:c r="E21" s="58" t="n">
        <x:f>0*'Scenario Inputs'!$B$30*(1-'Scenario Inputs'!$B$29)</x:f>
        <x:v>0</x:v>
      </x:c>
      <x:c r="F21" s="58" t="n">
        <x:f>0*'Scenario Inputs'!$B$30*(1-'Scenario Inputs'!$B$29)</x:f>
        <x:v>0</x:v>
      </x:c>
      <x:c r="G21" s="58" t="n">
        <x:f>0*'Scenario Inputs'!$B$30*(1-'Scenario Inputs'!$B$29)</x:f>
        <x:v>0</x:v>
      </x:c>
      <x:c r="H21" s="58" t="n">
        <x:f>0*'Scenario Inputs'!$B$30*(1-'Scenario Inputs'!$B$29)</x:f>
        <x:v>0</x:v>
      </x:c>
      <x:c r="I21" s="58" t="n">
        <x:f>0*'Scenario Inputs'!$B$30*(1-'Scenario Inputs'!$B$29)</x:f>
        <x:v>0</x:v>
      </x:c>
      <x:c r="J21" s="58" t="n">
        <x:f>0*'Scenario Inputs'!$B$30*(1-'Scenario Inputs'!$B$29)</x:f>
        <x:v>0</x:v>
      </x:c>
      <x:c r="K21" s="58" t="n">
        <x:f>0*'Scenario Inputs'!$B$30*(1-'Scenario Inputs'!$B$29)</x:f>
        <x:v>0</x:v>
      </x:c>
      <x:c r="L21" s="58" t="n">
        <x:f>0*'Scenario Inputs'!$B$30*(1-'Scenario Inputs'!$B$29)</x:f>
        <x:v>0</x:v>
      </x:c>
      <x:c r="M21" s="58" t="n">
        <x:f>0*'Scenario Inputs'!$B$30*(1-'Scenario Inputs'!$B$29)</x:f>
        <x:v>0</x:v>
      </x:c>
      <x:c r="N21" s="58" t="n">
        <x:f>B20*'Scenario Inputs'!$B$30*(1-'Scenario Inputs'!$B$29)</x:f>
        <x:v>0.4953722222222222</x:v>
      </x:c>
      <x:c r="O21" s="58" t="n">
        <x:f>C20*'Scenario Inputs'!$B$30*(1-'Scenario Inputs'!$B$29)</x:f>
        <x:v>0.5024117222222222</x:v>
      </x:c>
      <x:c r="P21" s="58" t="n">
        <x:f>D20*'Scenario Inputs'!$B$30*(1-'Scenario Inputs'!$B$29)</x:f>
        <x:v>0.5096624072222223</x:v>
      </x:c>
      <x:c r="Q21" s="58" t="n">
        <x:f>E20*'Scenario Inputs'!$B$30*(1-'Scenario Inputs'!$B$29)</x:f>
        <x:v>0.5171306127722223</x:v>
      </x:c>
      <x:c r="R21" s="58" t="n">
        <x:f>F20*'Scenario Inputs'!$B$30*(1-'Scenario Inputs'!$B$29)</x:f>
        <x:v>0.5248228644887222</x:v>
      </x:c>
      <x:c r="S21" s="58" t="n">
        <x:f>G20*'Scenario Inputs'!$B$30*(1-'Scenario Inputs'!$B$29)</x:f>
        <x:v>0.5327458837567174</x:v>
      </x:c>
      <x:c r="T21" s="58" t="n">
        <x:f>H20*'Scenario Inputs'!$B$30*(1-'Scenario Inputs'!$B$29)</x:f>
        <x:v>0.2801843713805299</x:v>
      </x:c>
      <x:c r="U21" s="58" t="n">
        <x:f>I20*'Scenario Inputs'!$B$30*(1-'Scenario Inputs'!$B$29)</x:f>
        <x:v>0.2885899025219458</x:v>
      </x:c>
      <x:c r="V21" s="58" t="n">
        <x:f>J20*'Scenario Inputs'!$B$30*(1-'Scenario Inputs'!$B$29)</x:f>
        <x:v>0.29724759959760416</x:v>
      </x:c>
      <x:c r="W21" s="58" t="n">
        <x:f>K20*'Scenario Inputs'!$B$30*(1-'Scenario Inputs'!$B$29)</x:f>
        <x:v>0.30616502758553227</x:v>
      </x:c>
      <x:c r="X21" s="58" t="n">
        <x:f>L20*'Scenario Inputs'!$B$30*(1-'Scenario Inputs'!$B$29)</x:f>
        <x:v>0.3153499784130983</x:v>
      </x:c>
      <x:c r="Y21" s="58" t="n">
        <x:f>M20*'Scenario Inputs'!$B$30*(1-'Scenario Inputs'!$B$29)</x:f>
        <x:v>0.32481047776549116</x:v>
      </x:c>
      <x:c r="Z21" s="58" t="n">
        <x:f>N20*'Scenario Inputs'!$B$30*(1-'Scenario Inputs'!$B$29)</x:f>
        <x:v>0.33130668732080104</x:v>
      </x:c>
      <x:c r="AA21" s="58" t="n">
        <x:f>O20*'Scenario Inputs'!$B$30*(1-'Scenario Inputs'!$B$29)</x:f>
        <x:v>0.33793282106721706</x:v>
      </x:c>
      <x:c r="AB21" s="58" t="n">
        <x:f>P20*'Scenario Inputs'!$B$30*(1-'Scenario Inputs'!$B$29)</x:f>
        <x:v>0.34469147748856144</x:v>
      </x:c>
      <x:c r="AC21" s="58" t="n">
        <x:f>Q20*'Scenario Inputs'!$B$30*(1-'Scenario Inputs'!$B$29)</x:f>
        <x:v>0.3515853070383327</x:v>
      </x:c>
      <x:c r="AD21" s="58" t="n">
        <x:f>R20*'Scenario Inputs'!$B$30*(1-'Scenario Inputs'!$B$29)</x:f>
        <x:v>0.35861701317909933</x:v>
      </x:c>
      <x:c r="AE21" s="58" t="n">
        <x:f>S20*'Scenario Inputs'!$B$30*(1-'Scenario Inputs'!$B$29)</x:f>
        <x:v>0.3657893534426813</x:v>
      </x:c>
      <x:c r="AF21" s="58" t="n">
        <x:f>T20*'Scenario Inputs'!$B$30*(1-'Scenario Inputs'!$B$29)</x:f>
        <x:v>0.373105140511535</x:v>
      </x:c>
      <x:c r="AG21" s="58" t="n">
        <x:f>U20*'Scenario Inputs'!$B$30*(1-'Scenario Inputs'!$B$29)</x:f>
        <x:v>0.3805672433217656</x:v>
      </x:c>
      <x:c r="AH21" s="58" t="n">
        <x:f>V20*'Scenario Inputs'!$B$30*(1-'Scenario Inputs'!$B$29)</x:f>
        <x:v>0.3881785881882009</x:v>
      </x:c>
      <x:c r="AI21" s="58" t="n">
        <x:f>W20*'Scenario Inputs'!$B$30*(1-'Scenario Inputs'!$B$29)</x:f>
        <x:v>0.395942159951965</x:v>
      </x:c>
      <x:c r="AJ21" s="58" t="n">
        <x:f>X20*'Scenario Inputs'!$B$30*(1-'Scenario Inputs'!$B$29)</x:f>
        <x:v>0.4038610031510042</x:v>
      </x:c>
      <x:c r="AK21" s="58" t="n">
        <x:f>Y20*'Scenario Inputs'!$B$30*(1-'Scenario Inputs'!$B$29)</x:f>
        <x:v>0.41193822321402435</x:v>
      </x:c>
    </x:row>
    <x:row r="22" ht="18" customHeight="1">
      <x:c r="A22" s="4" t="str">
        <x:v>Second annual renewals after refunds</x:v>
      </x:c>
      <x:c r="B22" s="58" t="n">
        <x:f>0*'Scenario Inputs'!$B$31*(1-'Scenario Inputs'!$B$29)</x:f>
        <x:v>0</x:v>
      </x:c>
      <x:c r="C22" s="58" t="n">
        <x:f>0*'Scenario Inputs'!$B$31*(1-'Scenario Inputs'!$B$29)</x:f>
        <x:v>0</x:v>
      </x:c>
      <x:c r="D22" s="58" t="n">
        <x:f>0*'Scenario Inputs'!$B$31*(1-'Scenario Inputs'!$B$29)</x:f>
        <x:v>0</x:v>
      </x:c>
      <x:c r="E22" s="58" t="n">
        <x:f>0*'Scenario Inputs'!$B$31*(1-'Scenario Inputs'!$B$29)</x:f>
        <x:v>0</x:v>
      </x:c>
      <x:c r="F22" s="58" t="n">
        <x:f>0*'Scenario Inputs'!$B$31*(1-'Scenario Inputs'!$B$29)</x:f>
        <x:v>0</x:v>
      </x:c>
      <x:c r="G22" s="58" t="n">
        <x:f>0*'Scenario Inputs'!$B$31*(1-'Scenario Inputs'!$B$29)</x:f>
        <x:v>0</x:v>
      </x:c>
      <x:c r="H22" s="58" t="n">
        <x:f>0*'Scenario Inputs'!$B$31*(1-'Scenario Inputs'!$B$29)</x:f>
        <x:v>0</x:v>
      </x:c>
      <x:c r="I22" s="58" t="n">
        <x:f>0*'Scenario Inputs'!$B$31*(1-'Scenario Inputs'!$B$29)</x:f>
        <x:v>0</x:v>
      </x:c>
      <x:c r="J22" s="58" t="n">
        <x:f>0*'Scenario Inputs'!$B$31*(1-'Scenario Inputs'!$B$29)</x:f>
        <x:v>0</x:v>
      </x:c>
      <x:c r="K22" s="58" t="n">
        <x:f>0*'Scenario Inputs'!$B$31*(1-'Scenario Inputs'!$B$29)</x:f>
        <x:v>0</x:v>
      </x:c>
      <x:c r="L22" s="58" t="n">
        <x:f>0*'Scenario Inputs'!$B$31*(1-'Scenario Inputs'!$B$29)</x:f>
        <x:v>0</x:v>
      </x:c>
      <x:c r="M22" s="58" t="n">
        <x:f>0*'Scenario Inputs'!$B$31*(1-'Scenario Inputs'!$B$29)</x:f>
        <x:v>0</x:v>
      </x:c>
      <x:c r="N22" s="58" t="n">
        <x:f>B21*'Scenario Inputs'!$B$31*(1-'Scenario Inputs'!$B$29)</x:f>
        <x:v>0</x:v>
      </x:c>
      <x:c r="O22" s="58" t="n">
        <x:f>C21*'Scenario Inputs'!$B$31*(1-'Scenario Inputs'!$B$29)</x:f>
        <x:v>0</x:v>
      </x:c>
      <x:c r="P22" s="58" t="n">
        <x:f>D21*'Scenario Inputs'!$B$31*(1-'Scenario Inputs'!$B$29)</x:f>
        <x:v>0</x:v>
      </x:c>
      <x:c r="Q22" s="58" t="n">
        <x:f>E21*'Scenario Inputs'!$B$31*(1-'Scenario Inputs'!$B$29)</x:f>
        <x:v>0</x:v>
      </x:c>
      <x:c r="R22" s="58" t="n">
        <x:f>F21*'Scenario Inputs'!$B$31*(1-'Scenario Inputs'!$B$29)</x:f>
        <x:v>0</x:v>
      </x:c>
      <x:c r="S22" s="58" t="n">
        <x:f>G21*'Scenario Inputs'!$B$31*(1-'Scenario Inputs'!$B$29)</x:f>
        <x:v>0</x:v>
      </x:c>
      <x:c r="T22" s="58" t="n">
        <x:f>H21*'Scenario Inputs'!$B$31*(1-'Scenario Inputs'!$B$29)</x:f>
        <x:v>0</x:v>
      </x:c>
      <x:c r="U22" s="58" t="n">
        <x:f>I21*'Scenario Inputs'!$B$31*(1-'Scenario Inputs'!$B$29)</x:f>
        <x:v>0</x:v>
      </x:c>
      <x:c r="V22" s="58" t="n">
        <x:f>J21*'Scenario Inputs'!$B$31*(1-'Scenario Inputs'!$B$29)</x:f>
        <x:v>0</x:v>
      </x:c>
      <x:c r="W22" s="58" t="n">
        <x:f>K21*'Scenario Inputs'!$B$31*(1-'Scenario Inputs'!$B$29)</x:f>
        <x:v>0</x:v>
      </x:c>
      <x:c r="X22" s="58" t="n">
        <x:f>L21*'Scenario Inputs'!$B$31*(1-'Scenario Inputs'!$B$29)</x:f>
        <x:v>0</x:v>
      </x:c>
      <x:c r="Y22" s="58" t="n">
        <x:f>M21*'Scenario Inputs'!$B$31*(1-'Scenario Inputs'!$B$29)</x:f>
        <x:v>0</x:v>
      </x:c>
      <x:c r="Z22" s="58" t="n">
        <x:f>N21*'Scenario Inputs'!$B$31*(1-'Scenario Inputs'!$B$29)</x:f>
        <x:v>0.18824144444444446</x:v>
      </x:c>
      <x:c r="AA22" s="58" t="n">
        <x:f>O21*'Scenario Inputs'!$B$31*(1-'Scenario Inputs'!$B$29)</x:f>
        <x:v>0.19091645444444444</x:v>
      </x:c>
      <x:c r="AB22" s="58" t="n">
        <x:f>P21*'Scenario Inputs'!$B$31*(1-'Scenario Inputs'!$B$29)</x:f>
        <x:v>0.1936717147444445</x:v>
      </x:c>
      <x:c r="AC22" s="58" t="n">
        <x:f>Q21*'Scenario Inputs'!$B$31*(1-'Scenario Inputs'!$B$29)</x:f>
        <x:v>0.19650963285344447</x:v>
      </x:c>
      <x:c r="AD22" s="58" t="n">
        <x:f>R21*'Scenario Inputs'!$B$31*(1-'Scenario Inputs'!$B$29)</x:f>
        <x:v>0.19943268850571444</x:v>
      </x:c>
      <x:c r="AE22" s="58" t="n">
        <x:f>S21*'Scenario Inputs'!$B$31*(1-'Scenario Inputs'!$B$29)</x:f>
        <x:v>0.20244343582755261</x:v>
      </x:c>
      <x:c r="AF22" s="58" t="n">
        <x:f>T21*'Scenario Inputs'!$B$31*(1-'Scenario Inputs'!$B$29)</x:f>
        <x:v>0.10647006112460135</x:v>
      </x:c>
      <x:c r="AG22" s="58" t="n">
        <x:f>U21*'Scenario Inputs'!$B$31*(1-'Scenario Inputs'!$B$29)</x:f>
        <x:v>0.10966416295833939</x:v>
      </x:c>
      <x:c r="AH22" s="58" t="n">
        <x:f>V21*'Scenario Inputs'!$B$31*(1-'Scenario Inputs'!$B$29)</x:f>
        <x:v>0.11295408784708957</x:v>
      </x:c>
      <x:c r="AI22" s="58" t="n">
        <x:f>W21*'Scenario Inputs'!$B$31*(1-'Scenario Inputs'!$B$29)</x:f>
        <x:v>0.11634271048250226</x:v>
      </x:c>
      <x:c r="AJ22" s="58" t="n">
        <x:f>X21*'Scenario Inputs'!$B$31*(1-'Scenario Inputs'!$B$29)</x:f>
        <x:v>0.11983299179697735</x:v>
      </x:c>
      <x:c r="AK22" s="58" t="n">
        <x:f>Y21*'Scenario Inputs'!$B$31*(1-'Scenario Inputs'!$B$29)</x:f>
        <x:v>0.12342798155088663</x:v>
      </x:c>
    </x:row>
    <x:row r="23" ht="18" customHeight="1">
      <x:c r="A23" s="4" t="str">
        <x:v>Annual terms ending this month</x:v>
      </x:c>
      <x:c r="B23" s="58" t="n">
        <x:f>0+0+0</x:f>
        <x:v>0</x:v>
      </x:c>
      <x:c r="C23" s="58" t="n">
        <x:f>0+0+0</x:f>
        <x:v>0</x:v>
      </x:c>
      <x:c r="D23" s="58" t="n">
        <x:f>0+0+0</x:f>
        <x:v>0</x:v>
      </x:c>
      <x:c r="E23" s="58" t="n">
        <x:f>0+0+0</x:f>
        <x:v>0</x:v>
      </x:c>
      <x:c r="F23" s="58" t="n">
        <x:f>0+0+0</x:f>
        <x:v>0</x:v>
      </x:c>
      <x:c r="G23" s="58" t="n">
        <x:f>0+0+0</x:f>
        <x:v>0</x:v>
      </x:c>
      <x:c r="H23" s="58" t="n">
        <x:f>0+0+0</x:f>
        <x:v>0</x:v>
      </x:c>
      <x:c r="I23" s="58" t="n">
        <x:f>0+0+0</x:f>
        <x:v>0</x:v>
      </x:c>
      <x:c r="J23" s="58" t="n">
        <x:f>0+0+0</x:f>
        <x:v>0</x:v>
      </x:c>
      <x:c r="K23" s="58" t="n">
        <x:f>0+0+0</x:f>
        <x:v>0</x:v>
      </x:c>
      <x:c r="L23" s="58" t="n">
        <x:f>0+0+0</x:f>
        <x:v>0</x:v>
      </x:c>
      <x:c r="M23" s="58" t="n">
        <x:f>0+0+0</x:f>
        <x:v>0</x:v>
      </x:c>
      <x:c r="N23" s="58" t="n">
        <x:f>B20+B21+B22</x:f>
        <x:v>2.607222222222222</x:v>
      </x:c>
      <x:c r="O23" s="58" t="n">
        <x:f>C20+C21+C22</x:f>
        <x:v>2.644272222222222</x:v>
      </x:c>
      <x:c r="P23" s="58" t="n">
        <x:f>D20+D21+D22</x:f>
        <x:v>2.6824337222222225</x:v>
      </x:c>
      <x:c r="Q23" s="58" t="n">
        <x:f>E20+E21+E22</x:f>
        <x:v>2.7217400672222225</x:v>
      </x:c>
      <x:c r="R23" s="58" t="n">
        <x:f>F20+F21+F22</x:f>
        <x:v>2.762225602572222</x:v>
      </x:c>
      <x:c r="S23" s="58" t="n">
        <x:f>G20+G21+G22</x:f>
        <x:v>2.803925703982723</x:v>
      </x:c>
      <x:c r="T23" s="58" t="n">
        <x:f>H20+H21+H22</x:f>
        <x:v>1.4746545862133151</x:v>
      </x:c>
      <x:c r="U23" s="58" t="n">
        <x:f>I20+I21+I22</x:f>
        <x:v>1.5188942237997145</x:v>
      </x:c>
      <x:c r="V23" s="58" t="n">
        <x:f>J20+J21+J22</x:f>
        <x:v>1.5644610505137062</x:v>
      </x:c>
      <x:c r="W23" s="58" t="n">
        <x:f>K20+K21+K22</x:f>
        <x:v>1.6113948820291173</x:v>
      </x:c>
      <x:c r="X23" s="58" t="n">
        <x:f>L20+L21+L22</x:f>
        <x:v>1.6597367284899909</x:v>
      </x:c>
      <x:c r="Y23" s="58" t="n">
        <x:f>M20+M21+M22</x:f>
        <x:v>1.7095288303446903</x:v>
      </x:c>
      <x:c r="Z23" s="58" t="n">
        <x:f>N20+N21+N22</x:f>
        <x:v>2.2390916291738066</x:v>
      </x:c>
      <x:c r="AA23" s="58" t="n">
        <x:f>O20+O21+O22</x:f>
        <x:v>2.2810055173128383</x:v>
      </x:c>
      <x:c r="AB23" s="58" t="n">
        <x:f>P20+P21+P22</x:f>
        <x:v>2.323828078214651</x:v>
      </x:c>
      <x:c r="AC23" s="58" t="n">
        <x:f>Q20+Q21+Q22</x:f>
        <x:v>2.3675795971844993</x:v>
      </x:c>
      <x:c r="AD23" s="58" t="n">
        <x:f>R20+R21+R22</x:f>
        <x:v>2.4122808285892448</x:v>
      </x:c>
      <x:c r="AE23" s="58" t="n">
        <x:f>S20+S21+S22</x:f>
        <x:v>2.457953007139251</x:v>
      </x:c>
      <x:c r="AF23" s="58" t="n">
        <x:f>T20+T21+T22</x:f>
        <x:v>2.2438956372307137</x:v>
      </x:c>
      <x:c r="AG23" s="58" t="n">
        <x:f>U20+U21+U22</x:f>
        <x:v>2.291575393689133</x:v>
      </x:c>
      <x:c r="AH23" s="58" t="n">
        <x:f>V20+V21+V22</x:f>
        <x:v>2.340292800588135</x:v>
      </x:c>
      <x:c r="AI23" s="58" t="n">
        <x:f>W20+W21+W22</x:f>
        <x:v>2.390071132595874</x:v>
      </x:c>
      <x:c r="AJ23" s="58" t="n">
        <x:f>X20+X21+X22</x:f>
        <x:v>2.440934205523647</x:v>
      </x:c>
      <x:c r="AK23" s="58" t="n">
        <x:f>Y20+Y21+Y22</x:f>
        <x:v>2.4929063894182506</x:v>
      </x:c>
    </x:row>
    <x:row r="24" ht="18" customHeight="1">
      <x:c r="A24" s="74" t="str">
        <x:v>ACTIVE ANNUAL SUBSCRIBERS</x:v>
      </x:c>
      <x:c r="B24" s="75" t="n">
        <x:f>0+SUM(B20:B22)-B23</x:f>
        <x:v>2.607222222222222</x:v>
      </x:c>
      <x:c r="C24" s="75" t="n">
        <x:f>B24+SUM(C20:C22)-C23</x:f>
        <x:v>5.251494444444444</x:v>
      </x:c>
      <x:c r="D24" s="75" t="n">
        <x:f>C24+SUM(D20:D22)-D23</x:f>
        <x:v>7.933928166666666</x:v>
      </x:c>
      <x:c r="E24" s="75" t="n">
        <x:f>D24+SUM(E20:E22)-E23</x:f>
        <x:v>10.655668233888889</x:v>
      </x:c>
      <x:c r="F24" s="75" t="n">
        <x:f>E24+SUM(F20:F22)-F23</x:f>
        <x:v>13.417893836461111</x:v>
      </x:c>
      <x:c r="G24" s="75" t="n">
        <x:f>F24+SUM(G20:G22)-G23</x:f>
        <x:v>16.221819540443835</x:v>
      </x:c>
      <x:c r="H24" s="75" t="n">
        <x:f>G24+SUM(H20:H22)-H23</x:f>
        <x:v>17.69647412665715</x:v>
      </x:c>
      <x:c r="I24" s="75" t="n">
        <x:f>H24+SUM(I20:I22)-I23</x:f>
        <x:v>19.215368350456867</x:v>
      </x:c>
      <x:c r="J24" s="75" t="n">
        <x:f>I24+SUM(J20:J22)-J23</x:f>
        <x:v>20.779829400970574</x:v>
      </x:c>
      <x:c r="K24" s="75" t="n">
        <x:f>J24+SUM(K20:K22)-K23</x:f>
        <x:v>22.39122428299969</x:v>
      </x:c>
      <x:c r="L24" s="75" t="n">
        <x:f>K24+SUM(L20:L22)-L23</x:f>
        <x:v>24.050961011489683</x:v>
      </x:c>
      <x:c r="M24" s="75" t="n">
        <x:f>L24+SUM(M20:M22)-M23</x:f>
        <x:v>25.760489841834374</x:v>
      </x:c>
      <x:c r="N24" s="75" t="n">
        <x:f>M24+SUM(N20:N22)-N23</x:f>
        <x:v>25.392359248785958</x:v>
      </x:c>
      <x:c r="O24" s="75" t="n">
        <x:f>N24+SUM(O20:O22)-O23</x:f>
        <x:v>25.029092543876573</x:v>
      </x:c>
      <x:c r="P24" s="75" t="n">
        <x:f>O24+SUM(P20:P22)-P23</x:f>
        <x:v>24.670486899869</x:v>
      </x:c>
      <x:c r="Q24" s="75" t="n">
        <x:f>P24+SUM(Q20:Q22)-Q23</x:f>
        <x:v>24.31632642983128</x:v>
      </x:c>
      <x:c r="R24" s="75" t="n">
        <x:f>Q24+SUM(R20:R22)-R23</x:f>
        <x:v>23.966381655848302</x:v>
      </x:c>
      <x:c r="S24" s="75" t="n">
        <x:f>R24+SUM(S20:S22)-S23</x:f>
        <x:v>23.62040895900483</x:v>
      </x:c>
      <x:c r="T24" s="75" t="n">
        <x:f>S24+SUM(T20:T22)-T23</x:f>
        <x:v>24.38965001002223</x:v>
      </x:c>
      <x:c r="U24" s="75" t="n">
        <x:f>T24+SUM(U20:U22)-U23</x:f>
        <x:v>25.162331179911646</x:v>
      </x:c>
      <x:c r="V24" s="75" t="n">
        <x:f>U24+SUM(V20:V22)-V23</x:f>
        <x:v>25.938162929986074</x:v>
      </x:c>
      <x:c r="W24" s="75" t="n">
        <x:f>V24+SUM(W20:W22)-W23</x:f>
        <x:v>26.71683918055283</x:v>
      </x:c>
      <x:c r="X24" s="75" t="n">
        <x:f>W24+SUM(X20:X22)-X23</x:f>
        <x:v>27.498036657586486</x:v>
      </x:c>
      <x:c r="Y24" s="75" t="n">
        <x:f>X24+SUM(Y20:Y22)-Y23</x:f>
        <x:v>28.281414216660046</x:v>
      </x:c>
      <x:c r="Z24" s="75" t="n">
        <x:f>Y24+SUM(Z20:Z22)-Z23</x:f>
        <x:v>28.751647590020774</x:v>
      </x:c>
      <x:c r="AA24" s="75" t="n">
        <x:f>Z24+SUM(AA20:AA22)-AA23</x:f>
        <x:v>29.211165987696578</x:v>
      </x:c>
      <x:c r="AB24" s="75" t="n">
        <x:f>AA24+SUM(AB20:AB22)-AB23</x:f>
        <x:v>29.659492487586686</x:v>
      </x:c>
      <x:c r="AC24" s="75" t="n">
        <x:f>AB24+SUM(AC20:AC22)-AC23</x:f>
        <x:v>30.096137130024434</x:v>
      </x:c>
      <x:c r="AD24" s="75" t="n">
        <x:f>AC24+SUM(AD20:AD22)-AD23</x:f>
        <x:v>30.520596595847778</x:v>
      </x:c>
      <x:c r="AE24" s="75" t="n">
        <x:f>AD24+SUM(AE20:AE22)-AE23</x:f>
        <x:v>30.93235387663381</x:v>
      </x:c>
      <x:c r="AF24" s="75" t="n">
        <x:f>AE24+SUM(AF20:AF22)-AF23</x:f>
        <x:v>31.49252571468083</x:v>
      </x:c>
      <x:c r="AG24" s="75" t="n">
        <x:f>AF24+SUM(AG20:AG22)-AG23</x:f>
        <x:v>32.03891892364982</x:v>
      </x:c>
      <x:c r="AH24" s="75" t="n">
        <x:f>AG24+SUM(AH20:AH22)-AH23</x:f>
        <x:v>32.57097336743877</x:v>
      </x:c>
      <x:c r="AI24" s="75" t="n">
        <x:f>AH24+SUM(AI20:AI22)-AI23</x:f>
        <x:v>33.08811381930258</x:v>
      </x:c>
      <x:c r="AJ24" s="75" t="n">
        <x:f>AI24+SUM(AJ20:AJ22)-AJ23</x:f>
        <x:v>33.58974958989238</x:v>
      </x:c>
      <x:c r="AK24" s="75" t="n">
        <x:f>AJ24+SUM(AK20:AK22)-AK23</x:f>
        <x:v>34.07527414621616</x:v>
      </x:c>
    </x:row>
    <x:row r="25" ht="18" customHeight="1">
      <x:c r="A25" s="4" t="str">
        <x:v>Annual charge events before refunds</x:v>
      </x:c>
      <x:c r="B25" s="58" t="n">
        <x:f>SUM(B20:B22)/(1-'Scenario Inputs'!$B$29)</x:f>
        <x:v>2.7444444444444445</x:v>
      </x:c>
      <x:c r="C25" s="58" t="n">
        <x:f>SUM(C20:C22)/(1-'Scenario Inputs'!$B$29)</x:f>
        <x:v>2.783444444444444</x:v>
      </x:c>
      <x:c r="D25" s="58" t="n">
        <x:f>SUM(D20:D22)/(1-'Scenario Inputs'!$B$29)</x:f>
        <x:v>2.823614444444445</x:v>
      </x:c>
      <x:c r="E25" s="58" t="n">
        <x:f>SUM(E20:E22)/(1-'Scenario Inputs'!$B$29)</x:f>
        <x:v>2.864989544444445</x:v>
      </x:c>
      <x:c r="F25" s="58" t="n">
        <x:f>SUM(F20:F22)/(1-'Scenario Inputs'!$B$29)</x:f>
        <x:v>2.9076058974444443</x:v>
      </x:c>
      <x:c r="G25" s="58" t="n">
        <x:f>SUM(G20:G22)/(1-'Scenario Inputs'!$B$29)</x:f>
        <x:v>2.951500741034445</x:v>
      </x:c>
      <x:c r="H25" s="58" t="n">
        <x:f>SUM(H20:H22)/(1-'Scenario Inputs'!$B$29)</x:f>
        <x:v>1.5522679854877002</x:v>
      </x:c>
      <x:c r="I25" s="58" t="n">
        <x:f>SUM(I20:I22)/(1-'Scenario Inputs'!$B$29)</x:f>
        <x:v>1.598836025052331</x:v>
      </x:c>
      <x:c r="J25" s="58" t="n">
        <x:f>SUM(J20:J22)/(1-'Scenario Inputs'!$B$29)</x:f>
        <x:v>1.6468011058039014</x:v>
      </x:c>
      <x:c r="K25" s="58" t="n">
        <x:f>SUM(K20:K22)/(1-'Scenario Inputs'!$B$29)</x:f>
        <x:v>1.6962051389780184</x:v>
      </x:c>
      <x:c r="L25" s="58" t="n">
        <x:f>SUM(L20:L22)/(1-'Scenario Inputs'!$B$29)</x:f>
        <x:v>1.747091293147359</x:v>
      </x:c>
      <x:c r="M25" s="58" t="n">
        <x:f>SUM(M20:M22)/(1-'Scenario Inputs'!$B$29)</x:f>
        <x:v>1.7995040319417792</x:v>
      </x:c>
      <x:c r="N25" s="58" t="n">
        <x:f>SUM(N20:N22)/(1-'Scenario Inputs'!$B$29)</x:f>
        <x:v>2.35693855702506</x:v>
      </x:c>
      <x:c r="O25" s="58" t="n">
        <x:f>SUM(O20:O22)/(1-'Scenario Inputs'!$B$29)</x:f>
        <x:v>2.401058439276672</x:v>
      </x:c>
      <x:c r="P25" s="58" t="n">
        <x:f>SUM(P20:P22)/(1-'Scenario Inputs'!$B$29)</x:f>
        <x:v>2.446134819173317</x:v>
      </x:c>
      <x:c r="Q25" s="58" t="n">
        <x:f>SUM(Q20:Q22)/(1-'Scenario Inputs'!$B$29)</x:f>
        <x:v>2.492189049667894</x:v>
      </x:c>
      <x:c r="R25" s="58" t="n">
        <x:f>SUM(R20:R22)/(1-'Scenario Inputs'!$B$29)</x:f>
        <x:v>2.539242977462363</x:v>
      </x:c>
      <x:c r="S25" s="58" t="n">
        <x:f>SUM(S20:S22)/(1-'Scenario Inputs'!$B$29)</x:f>
        <x:v>2.587318954883422</x:v>
      </x:c>
      <x:c r="T25" s="58" t="n">
        <x:f>SUM(T20:T22)/(1-'Scenario Inputs'!$B$29)</x:f>
        <x:v>2.361995407611278</x:v>
      </x:c>
      <x:c r="U25" s="58" t="n">
        <x:f>SUM(U20:U22)/(1-'Scenario Inputs'!$B$29)</x:f>
        <x:v>2.41218462493593</x:v>
      </x:c>
      <x:c r="V25" s="58" t="n">
        <x:f>SUM(V20:V22)/(1-'Scenario Inputs'!$B$29)</x:f>
        <x:v>2.463466105882248</x:v>
      </x:c>
      <x:c r="W25" s="58" t="n">
        <x:f>SUM(W20:W22)/(1-'Scenario Inputs'!$B$29)</x:f>
        <x:v>2.5158643501009204</x:v>
      </x:c>
      <x:c r="X25" s="58" t="n">
        <x:f>SUM(X20:X22)/(1-'Scenario Inputs'!$B$29)</x:f>
        <x:v>2.569404426866997</x:v>
      </x:c>
      <x:c r="Y25" s="58" t="n">
        <x:f>SUM(Y20:Y22)/(1-'Scenario Inputs'!$B$29)</x:f>
        <x:v>2.6241119888613165</x:v>
      </x:c>
      <x:c r="Z25" s="58" t="n">
        <x:f>SUM(Z20:Z22)/(1-'Scenario Inputs'!$B$29)</x:f>
        <x:v>2.851921055299509</x:v>
      </x:c>
      <x:c r="AA25" s="58" t="n">
        <x:f>SUM(AA20:AA22)/(1-'Scenario Inputs'!$B$29)</x:f>
        <x:v>2.8847620157775182</x:v>
      </x:c>
      <x:c r="AB25" s="58" t="n">
        <x:f>SUM(AB20:AB22)/(1-'Scenario Inputs'!$B$29)</x:f>
        <x:v>2.9180574506365855</x:v>
      </x:c>
      <x:c r="AC25" s="58" t="n">
        <x:f>SUM(AC20:AC22)/(1-'Scenario Inputs'!$B$29)</x:f>
        <x:v>2.9518149890760474</x:v>
      </x:c>
      <x:c r="AD25" s="58" t="n">
        <x:f>SUM(AD20:AD22)/(1-'Scenario Inputs'!$B$29)</x:f>
        <x:v>2.986042415171144</x:v>
      </x:c>
      <x:c r="AE25" s="58" t="n">
        <x:f>SUM(AE20:AE22)/(1-'Scenario Inputs'!$B$29)</x:f>
        <x:v>3.020747671500299</x:v>
      </x:c>
      <x:c r="AF25" s="58" t="n">
        <x:f>SUM(AF20:AF22)/(1-'Scenario Inputs'!$B$29)</x:f>
        <x:v>2.9516499739765654</x:v>
      </x:c>
      <x:c r="AG25" s="58" t="n">
        <x:f>SUM(AG20:AG22)/(1-'Scenario Inputs'!$B$29)</x:f>
        <x:v>2.9873353712190758</x:v>
      </x:c>
      <x:c r="AH25" s="58" t="n">
        <x:f>SUM(AH20:AH22)/(1-'Scenario Inputs'!$B$29)</x:f>
        <x:v>3.023523415133776</x:v>
      </x:c>
      <x:c r="AI25" s="58" t="n">
        <x:f>SUM(AI20:AI22)/(1-'Scenario Inputs'!$B$29)</x:f>
        <x:v>3.060222720483876</x:v>
      </x:c>
      <x:c r="AJ25" s="58" t="n">
        <x:f>SUM(AJ20:AJ22)/(1-'Scenario Inputs'!$B$29)</x:f>
        <x:v>3.09744208011942</x:v>
      </x:c>
      <x:c r="AK25" s="58" t="n">
        <x:f>SUM(AK20:AK22)/(1-'Scenario Inputs'!$B$29)</x:f>
        <x:v>3.135190469202141</x:v>
      </x:c>
    </x:row>
    <x:row r="26" ht="18" customHeight="1">
      <x:c r="A26" s="4" t="str"/>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row>
    <x:row r="27" ht="18" customHeight="1">
      <x:c r="A27" s="4" t="str">
        <x:v>New monthly payers after refunds</x:v>
      </x:c>
      <x:c r="B27" s="58" t="n">
        <x:f>B12*(1-'Scenario Inputs'!$B$27)*(1-'Scenario Inputs'!$B$29)</x:f>
        <x:v>1.4038888888888887</x:v>
      </x:c>
      <x:c r="C27" s="58" t="n">
        <x:f>C12*(1-'Scenario Inputs'!$B$27)*(1-'Scenario Inputs'!$B$29)</x:f>
        <x:v>1.4238388888888887</x:v>
      </x:c>
      <x:c r="D27" s="58" t="n">
        <x:f>D12*(1-'Scenario Inputs'!$B$27)*(1-'Scenario Inputs'!$B$29)</x:f>
        <x:v>1.4443873888888887</x:v>
      </x:c>
      <x:c r="E27" s="58" t="n">
        <x:f>E12*(1-'Scenario Inputs'!$B$27)*(1-'Scenario Inputs'!$B$29)</x:f>
        <x:v>1.4655523438888887</x:v>
      </x:c>
      <x:c r="F27" s="58" t="n">
        <x:f>F12*(1-'Scenario Inputs'!$B$27)*(1-'Scenario Inputs'!$B$29)</x:f>
        <x:v>1.4873522475388887</x:v>
      </x:c>
      <x:c r="G27" s="58" t="n">
        <x:f>G12*(1-'Scenario Inputs'!$B$27)*(1-'Scenario Inputs'!$B$29)</x:f>
        <x:v>1.509806148298389</x:v>
      </x:c>
      <x:c r="H27" s="58" t="n">
        <x:f>H12*(1-'Scenario Inputs'!$B$27)*(1-'Scenario Inputs'!$B$29)</x:f>
        <x:v>0.794044777191785</x:v>
      </x:c>
      <x:c r="I27" s="58" t="n">
        <x:f>I12*(1-'Scenario Inputs'!$B$27)*(1-'Scenario Inputs'!$B$29)</x:f>
        <x:v>0.8178661205075386</x:v>
      </x:c>
      <x:c r="J27" s="58" t="n">
        <x:f>J12*(1-'Scenario Inputs'!$B$27)*(1-'Scenario Inputs'!$B$29)</x:f>
        <x:v>0.8424021041227647</x:v>
      </x:c>
      <x:c r="K27" s="58" t="n">
        <x:f>K12*(1-'Scenario Inputs'!$B$27)*(1-'Scenario Inputs'!$B$29)</x:f>
        <x:v>0.8676741672464477</x:v>
      </x:c>
      <x:c r="L27" s="58" t="n">
        <x:f>L12*(1-'Scenario Inputs'!$B$27)*(1-'Scenario Inputs'!$B$29)</x:f>
        <x:v>0.8937043922638411</x:v>
      </x:c>
      <x:c r="M27" s="58" t="n">
        <x:f>M12*(1-'Scenario Inputs'!$B$27)*(1-'Scenario Inputs'!$B$29)</x:f>
        <x:v>0.9205155240317563</x:v>
      </x:c>
      <x:c r="N27" s="58" t="n">
        <x:f>N12*(1-'Scenario Inputs'!$B$27)*(1-'Scenario Inputs'!$B$29)</x:f>
        <x:v>0.9389258345123915</x:v>
      </x:c>
      <x:c r="O27" s="58" t="n">
        <x:f>O12*(1-'Scenario Inputs'!$B$27)*(1-'Scenario Inputs'!$B$29)</x:f>
        <x:v>0.9577043512026392</x:v>
      </x:c>
      <x:c r="P27" s="58" t="n">
        <x:f>P12*(1-'Scenario Inputs'!$B$27)*(1-'Scenario Inputs'!$B$29)</x:f>
        <x:v>0.9768584382266922</x:v>
      </x:c>
      <x:c r="Q27" s="58" t="n">
        <x:f>Q12*(1-'Scenario Inputs'!$B$27)*(1-'Scenario Inputs'!$B$29)</x:f>
        <x:v>0.996395606991226</x:v>
      </x:c>
      <x:c r="R27" s="58" t="n">
        <x:f>R12*(1-'Scenario Inputs'!$B$27)*(1-'Scenario Inputs'!$B$29)</x:f>
        <x:v>1.0163235191310507</x:v>
      </x:c>
      <x:c r="S27" s="58" t="n">
        <x:f>S12*(1-'Scenario Inputs'!$B$27)*(1-'Scenario Inputs'!$B$29)</x:f>
        <x:v>1.0366499895136716</x:v>
      </x:c>
      <x:c r="T27" s="58" t="n">
        <x:f>T12*(1-'Scenario Inputs'!$B$27)*(1-'Scenario Inputs'!$B$29)</x:f>
        <x:v>1.057382989303945</x:v>
      </x:c>
      <x:c r="U27" s="58" t="n">
        <x:f>U12*(1-'Scenario Inputs'!$B$27)*(1-'Scenario Inputs'!$B$29)</x:f>
        <x:v>1.0785306490900242</x:v>
      </x:c>
      <x:c r="V27" s="58" t="n">
        <x:f>V12*(1-'Scenario Inputs'!$B$27)*(1-'Scenario Inputs'!$B$29)</x:f>
        <x:v>1.1001012620718245</x:v>
      </x:c>
      <x:c r="W27" s="58" t="n">
        <x:f>W12*(1-'Scenario Inputs'!$B$27)*(1-'Scenario Inputs'!$B$29)</x:f>
        <x:v>1.1221032873132608</x:v>
      </x:c>
      <x:c r="X27" s="58" t="n">
        <x:f>X12*(1-'Scenario Inputs'!$B$27)*(1-'Scenario Inputs'!$B$29)</x:f>
        <x:v>1.1445453530595262</x:v>
      </x:c>
      <x:c r="Y27" s="58" t="n">
        <x:f>Y12*(1-'Scenario Inputs'!$B$27)*(1-'Scenario Inputs'!$B$29)</x:f>
        <x:v>1.1674362601207167</x:v>
      </x:c>
      <x:c r="Z27" s="58" t="n">
        <x:f>Z12*(1-'Scenario Inputs'!$B$27)*(1-'Scenario Inputs'!$B$29)</x:f>
        <x:v>1.179110622721924</x:v>
      </x:c>
      <x:c r="AA27" s="58" t="n">
        <x:f>AA12*(1-'Scenario Inputs'!$B$27)*(1-'Scenario Inputs'!$B$29)</x:f>
        <x:v>1.190901728949143</x:v>
      </x:c>
      <x:c r="AB27" s="58" t="n">
        <x:f>AB12*(1-'Scenario Inputs'!$B$27)*(1-'Scenario Inputs'!$B$29)</x:f>
        <x:v>1.2028107462386346</x:v>
      </x:c>
      <x:c r="AC27" s="58" t="n">
        <x:f>AC12*(1-'Scenario Inputs'!$B$27)*(1-'Scenario Inputs'!$B$29)</x:f>
        <x:v>1.2148388537010208</x:v>
      </x:c>
      <x:c r="AD27" s="58" t="n">
        <x:f>AD12*(1-'Scenario Inputs'!$B$27)*(1-'Scenario Inputs'!$B$29)</x:f>
        <x:v>1.2269872422380312</x:v>
      </x:c>
      <x:c r="AE27" s="58" t="n">
        <x:f>AE12*(1-'Scenario Inputs'!$B$27)*(1-'Scenario Inputs'!$B$29)</x:f>
        <x:v>1.2392571146604117</x:v>
      </x:c>
      <x:c r="AF27" s="58" t="n">
        <x:f>AF12*(1-'Scenario Inputs'!$B$27)*(1-'Scenario Inputs'!$B$29)</x:f>
        <x:v>1.2516496858070156</x:v>
      </x:c>
      <x:c r="AG27" s="58" t="n">
        <x:f>AG12*(1-'Scenario Inputs'!$B$27)*(1-'Scenario Inputs'!$B$29)</x:f>
        <x:v>1.2641661826650858</x:v>
      </x:c>
      <x:c r="AH27" s="58" t="n">
        <x:f>AH12*(1-'Scenario Inputs'!$B$27)*(1-'Scenario Inputs'!$B$29)</x:f>
        <x:v>1.276807844491737</x:v>
      </x:c>
      <x:c r="AI27" s="58" t="n">
        <x:f>AI12*(1-'Scenario Inputs'!$B$27)*(1-'Scenario Inputs'!$B$29)</x:f>
        <x:v>1.2895759229366544</x:v>
      </x:c>
      <x:c r="AJ27" s="58" t="n">
        <x:f>AJ12*(1-'Scenario Inputs'!$B$27)*(1-'Scenario Inputs'!$B$29)</x:f>
        <x:v>1.302471682166021</x:v>
      </x:c>
      <x:c r="AK27" s="58" t="n">
        <x:f>AK12*(1-'Scenario Inputs'!$B$27)*(1-'Scenario Inputs'!$B$29)</x:f>
        <x:v>1.3154963989876811</x:v>
      </x:c>
    </x:row>
    <x:row r="28" ht="18" customHeight="1">
      <x:c r="A28" s="4" t="str">
        <x:v>First monthly renewals after refunds</x:v>
      </x:c>
      <x:c r="B28" s="58" t="n">
        <x:f>0*'Scenario Inputs'!$B$32*(1-'Scenario Inputs'!$B$29)</x:f>
        <x:v>0</x:v>
      </x:c>
      <x:c r="C28" s="58" t="n">
        <x:f>B27*'Scenario Inputs'!$B$32*(1-'Scenario Inputs'!$B$29)</x:f>
        <x:v>0.6001624999999999</x:v>
      </x:c>
      <x:c r="D28" s="58" t="n">
        <x:f>C27*'Scenario Inputs'!$B$32*(1-'Scenario Inputs'!$B$29)</x:f>
        <x:v>0.6086911249999999</x:v>
      </x:c>
      <x:c r="E28" s="58" t="n">
        <x:f>D27*'Scenario Inputs'!$B$32*(1-'Scenario Inputs'!$B$29)</x:f>
        <x:v>0.61747560875</x:v>
      </x:c>
      <x:c r="F28" s="58" t="n">
        <x:f>E27*'Scenario Inputs'!$B$32*(1-'Scenario Inputs'!$B$29)</x:f>
        <x:v>0.6265236270125</x:v>
      </x:c>
      <x:c r="G28" s="58" t="n">
        <x:f>F27*'Scenario Inputs'!$B$32*(1-'Scenario Inputs'!$B$29)</x:f>
        <x:v>0.6358430858228749</x:v>
      </x:c>
      <x:c r="H28" s="58" t="n">
        <x:f>G27*'Scenario Inputs'!$B$32*(1-'Scenario Inputs'!$B$29)</x:f>
        <x:v>0.6454421283975613</x:v>
      </x:c>
      <x:c r="I28" s="58" t="n">
        <x:f>H27*'Scenario Inputs'!$B$32*(1-'Scenario Inputs'!$B$29)</x:f>
        <x:v>0.3394541422494881</x:v>
      </x:c>
      <x:c r="J28" s="58" t="n">
        <x:f>I27*'Scenario Inputs'!$B$32*(1-'Scenario Inputs'!$B$29)</x:f>
        <x:v>0.3496377665169727</x:v>
      </x:c>
      <x:c r="K28" s="58" t="n">
        <x:f>J27*'Scenario Inputs'!$B$32*(1-'Scenario Inputs'!$B$29)</x:f>
        <x:v>0.3601268995124819</x:v>
      </x:c>
      <x:c r="L28" s="58" t="n">
        <x:f>K27*'Scenario Inputs'!$B$32*(1-'Scenario Inputs'!$B$29)</x:f>
        <x:v>0.3709307064978564</x:v>
      </x:c>
      <x:c r="M28" s="58" t="n">
        <x:f>L27*'Scenario Inputs'!$B$32*(1-'Scenario Inputs'!$B$29)</x:f>
        <x:v>0.3820586276927921</x:v>
      </x:c>
      <x:c r="N28" s="58" t="n">
        <x:f>M27*'Scenario Inputs'!$B$32*(1-'Scenario Inputs'!$B$29)</x:f>
        <x:v>0.3935203865235758</x:v>
      </x:c>
      <x:c r="O28" s="58" t="n">
        <x:f>N27*'Scenario Inputs'!$B$32*(1-'Scenario Inputs'!$B$29)</x:f>
        <x:v>0.40139079425404733</x:v>
      </x:c>
      <x:c r="P28" s="58" t="n">
        <x:f>O27*'Scenario Inputs'!$B$32*(1-'Scenario Inputs'!$B$29)</x:f>
        <x:v>0.4094186101391282</x:v>
      </x:c>
      <x:c r="Q28" s="58" t="n">
        <x:f>P27*'Scenario Inputs'!$B$32*(1-'Scenario Inputs'!$B$29)</x:f>
        <x:v>0.4176069823419109</x:v>
      </x:c>
      <x:c r="R28" s="58" t="n">
        <x:f>Q27*'Scenario Inputs'!$B$32*(1-'Scenario Inputs'!$B$29)</x:f>
        <x:v>0.4259591219887491</x:v>
      </x:c>
      <x:c r="S28" s="58" t="n">
        <x:f>R27*'Scenario Inputs'!$B$32*(1-'Scenario Inputs'!$B$29)</x:f>
        <x:v>0.43447830442852414</x:v>
      </x:c>
      <x:c r="T28" s="58" t="n">
        <x:f>S27*'Scenario Inputs'!$B$32*(1-'Scenario Inputs'!$B$29)</x:f>
        <x:v>0.4431678705170946</x:v>
      </x:c>
      <x:c r="U28" s="58" t="n">
        <x:f>T27*'Scenario Inputs'!$B$32*(1-'Scenario Inputs'!$B$29)</x:f>
        <x:v>0.4520312279274365</x:v>
      </x:c>
      <x:c r="V28" s="58" t="n">
        <x:f>U27*'Scenario Inputs'!$B$32*(1-'Scenario Inputs'!$B$29)</x:f>
        <x:v>0.4610718524859853</x:v>
      </x:c>
      <x:c r="W28" s="58" t="n">
        <x:f>V27*'Scenario Inputs'!$B$32*(1-'Scenario Inputs'!$B$29)</x:f>
        <x:v>0.47029328953570493</x:v>
      </x:c>
      <x:c r="X28" s="58" t="n">
        <x:f>W27*'Scenario Inputs'!$B$32*(1-'Scenario Inputs'!$B$29)</x:f>
        <x:v>0.479699155326419</x:v>
      </x:c>
      <x:c r="Y28" s="58" t="n">
        <x:f>X27*'Scenario Inputs'!$B$32*(1-'Scenario Inputs'!$B$29)</x:f>
        <x:v>0.48929313843294747</x:v>
      </x:c>
      <x:c r="Z28" s="58" t="n">
        <x:f>Y27*'Scenario Inputs'!$B$32*(1-'Scenario Inputs'!$B$29)</x:f>
        <x:v>0.4990790012016064</x:v>
      </x:c>
      <x:c r="AA28" s="58" t="n">
        <x:f>Z27*'Scenario Inputs'!$B$32*(1-'Scenario Inputs'!$B$29)</x:f>
        <x:v>0.5040697912136225</x:v>
      </x:c>
      <x:c r="AB28" s="58" t="n">
        <x:f>AA27*'Scenario Inputs'!$B$32*(1-'Scenario Inputs'!$B$29)</x:f>
        <x:v>0.5091104891257586</x:v>
      </x:c>
      <x:c r="AC28" s="58" t="n">
        <x:f>AB27*'Scenario Inputs'!$B$32*(1-'Scenario Inputs'!$B$29)</x:f>
        <x:v>0.5142015940170163</x:v>
      </x:c>
      <x:c r="AD28" s="58" t="n">
        <x:f>AC27*'Scenario Inputs'!$B$32*(1-'Scenario Inputs'!$B$29)</x:f>
        <x:v>0.5193436099571863</x:v>
      </x:c>
      <x:c r="AE28" s="58" t="n">
        <x:f>AD27*'Scenario Inputs'!$B$32*(1-'Scenario Inputs'!$B$29)</x:f>
        <x:v>0.5245370460567583</x:v>
      </x:c>
      <x:c r="AF28" s="58" t="n">
        <x:f>AE27*'Scenario Inputs'!$B$32*(1-'Scenario Inputs'!$B$29)</x:f>
        <x:v>0.529782416517326</x:v>
      </x:c>
      <x:c r="AG28" s="58" t="n">
        <x:f>AF27*'Scenario Inputs'!$B$32*(1-'Scenario Inputs'!$B$29)</x:f>
        <x:v>0.5350802406824992</x:v>
      </x:c>
      <x:c r="AH28" s="58" t="n">
        <x:f>AG27*'Scenario Inputs'!$B$32*(1-'Scenario Inputs'!$B$29)</x:f>
        <x:v>0.5404310430893242</x:v>
      </x:c>
      <x:c r="AI28" s="58" t="n">
        <x:f>AH27*'Scenario Inputs'!$B$32*(1-'Scenario Inputs'!$B$29)</x:f>
        <x:v>0.5458353535202176</x:v>
      </x:c>
      <x:c r="AJ28" s="58" t="n">
        <x:f>AI27*'Scenario Inputs'!$B$32*(1-'Scenario Inputs'!$B$29)</x:f>
        <x:v>0.5512937070554197</x:v>
      </x:c>
      <x:c r="AK28" s="58" t="n">
        <x:f>AJ27*'Scenario Inputs'!$B$32*(1-'Scenario Inputs'!$B$29)</x:f>
        <x:v>0.556806644125974</x:v>
      </x:c>
    </x:row>
    <x:row r="29" ht="18" customHeight="1">
      <x:c r="A29" s="4" t="str">
        <x:v>Second monthly renewals after refunds</x:v>
      </x:c>
      <x:c r="B29" s="58" t="n">
        <x:f>0*'Scenario Inputs'!$B$33*(1-'Scenario Inputs'!$B$29)</x:f>
        <x:v>0</x:v>
      </x:c>
      <x:c r="C29" s="58" t="n">
        <x:f>B28*'Scenario Inputs'!$B$33*(1-'Scenario Inputs'!$B$29)</x:f>
        <x:v>0</x:v>
      </x:c>
      <x:c r="D29" s="58" t="n">
        <x:f>C28*'Scenario Inputs'!$B$33*(1-'Scenario Inputs'!$B$29)</x:f>
        <x:v>0.37060034374999995</x:v>
      </x:c>
      <x:c r="E29" s="58" t="n">
        <x:f>D28*'Scenario Inputs'!$B$33*(1-'Scenario Inputs'!$B$29)</x:f>
        <x:v>0.37586676968749994</x:v>
      </x:c>
      <x:c r="F29" s="58" t="n">
        <x:f>E28*'Scenario Inputs'!$B$33*(1-'Scenario Inputs'!$B$29)</x:f>
        <x:v>0.381291188403125</x:v>
      </x:c>
      <x:c r="G29" s="58" t="n">
        <x:f>F28*'Scenario Inputs'!$B$33*(1-'Scenario Inputs'!$B$29)</x:f>
        <x:v>0.38687833968021873</x:v>
      </x:c>
      <x:c r="H29" s="58" t="n">
        <x:f>G28*'Scenario Inputs'!$B$33*(1-'Scenario Inputs'!$B$29)</x:f>
        <x:v>0.39263310549562525</x:v>
      </x:c>
      <x:c r="I29" s="58" t="n">
        <x:f>H28*'Scenario Inputs'!$B$33*(1-'Scenario Inputs'!$B$29)</x:f>
        <x:v>0.3985605142854941</x:v>
      </x:c>
      <x:c r="J29" s="58" t="n">
        <x:f>I28*'Scenario Inputs'!$B$33*(1-'Scenario Inputs'!$B$29)</x:f>
        <x:v>0.20961293283905888</x:v>
      </x:c>
      <x:c r="K29" s="58" t="n">
        <x:f>J28*'Scenario Inputs'!$B$33*(1-'Scenario Inputs'!$B$29)</x:f>
        <x:v>0.21590132082423064</x:v>
      </x:c>
      <x:c r="L29" s="58" t="n">
        <x:f>K28*'Scenario Inputs'!$B$33*(1-'Scenario Inputs'!$B$29)</x:f>
        <x:v>0.22237836044895756</x:v>
      </x:c>
      <x:c r="M29" s="58" t="n">
        <x:f>L28*'Scenario Inputs'!$B$33*(1-'Scenario Inputs'!$B$29)</x:f>
        <x:v>0.22904971126242632</x:v>
      </x:c>
      <x:c r="N29" s="58" t="n">
        <x:f>M28*'Scenario Inputs'!$B$33*(1-'Scenario Inputs'!$B$29)</x:f>
        <x:v>0.2359212026002991</x:v>
      </x:c>
      <x:c r="O29" s="58" t="n">
        <x:f>N28*'Scenario Inputs'!$B$33*(1-'Scenario Inputs'!$B$29)</x:f>
        <x:v>0.24299883867830804</x:v>
      </x:c>
      <x:c r="P29" s="58" t="n">
        <x:f>O28*'Scenario Inputs'!$B$33*(1-'Scenario Inputs'!$B$29)</x:f>
        <x:v>0.24785881545187421</x:v>
      </x:c>
      <x:c r="Q29" s="58" t="n">
        <x:f>P28*'Scenario Inputs'!$B$33*(1-'Scenario Inputs'!$B$29)</x:f>
        <x:v>0.2528159917609117</x:v>
      </x:c>
      <x:c r="R29" s="58" t="n">
        <x:f>Q28*'Scenario Inputs'!$B$33*(1-'Scenario Inputs'!$B$29)</x:f>
        <x:v>0.25787231159613</x:v>
      </x:c>
      <x:c r="S29" s="58" t="n">
        <x:f>R28*'Scenario Inputs'!$B$33*(1-'Scenario Inputs'!$B$29)</x:f>
        <x:v>0.2630297578280526</x:v>
      </x:c>
      <x:c r="T29" s="58" t="n">
        <x:f>S28*'Scenario Inputs'!$B$33*(1-'Scenario Inputs'!$B$29)</x:f>
        <x:v>0.2682903529846136</x:v>
      </x:c>
      <x:c r="U29" s="58" t="n">
        <x:f>T28*'Scenario Inputs'!$B$33*(1-'Scenario Inputs'!$B$29)</x:f>
        <x:v>0.27365616004430593</x:v>
      </x:c>
      <x:c r="V29" s="58" t="n">
        <x:f>U28*'Scenario Inputs'!$B$33*(1-'Scenario Inputs'!$B$29)</x:f>
        <x:v>0.27912928324519204</x:v>
      </x:c>
      <x:c r="W29" s="58" t="n">
        <x:f>V28*'Scenario Inputs'!$B$33*(1-'Scenario Inputs'!$B$29)</x:f>
        <x:v>0.2847118689100959</x:v>
      </x:c>
      <x:c r="X29" s="58" t="n">
        <x:f>W28*'Scenario Inputs'!$B$33*(1-'Scenario Inputs'!$B$29)</x:f>
        <x:v>0.29040610628829777</x:v>
      </x:c>
      <x:c r="Y29" s="58" t="n">
        <x:f>X28*'Scenario Inputs'!$B$33*(1-'Scenario Inputs'!$B$29)</x:f>
        <x:v>0.2962142284140637</x:v>
      </x:c>
      <x:c r="Z29" s="58" t="n">
        <x:f>Y28*'Scenario Inputs'!$B$33*(1-'Scenario Inputs'!$B$29)</x:f>
        <x:v>0.30213851298234506</x:v>
      </x:c>
      <x:c r="AA29" s="58" t="n">
        <x:f>Z28*'Scenario Inputs'!$B$33*(1-'Scenario Inputs'!$B$29)</x:f>
        <x:v>0.30818128324199195</x:v>
      </x:c>
      <x:c r="AB29" s="58" t="n">
        <x:f>AA28*'Scenario Inputs'!$B$33*(1-'Scenario Inputs'!$B$29)</x:f>
        <x:v>0.3112630960744119</x:v>
      </x:c>
      <x:c r="AC29" s="58" t="n">
        <x:f>AB28*'Scenario Inputs'!$B$33*(1-'Scenario Inputs'!$B$29)</x:f>
        <x:v>0.314375727035156</x:v>
      </x:c>
      <x:c r="AD29" s="58" t="n">
        <x:f>AC28*'Scenario Inputs'!$B$33*(1-'Scenario Inputs'!$B$29)</x:f>
        <x:v>0.3175194843055075</x:v>
      </x:c>
      <x:c r="AE29" s="58" t="n">
        <x:f>AD28*'Scenario Inputs'!$B$33*(1-'Scenario Inputs'!$B$29)</x:f>
        <x:v>0.32069467914856253</x:v>
      </x:c>
      <x:c r="AF29" s="58" t="n">
        <x:f>AE28*'Scenario Inputs'!$B$33*(1-'Scenario Inputs'!$B$29)</x:f>
        <x:v>0.3239016259400483</x:v>
      </x:c>
      <x:c r="AG29" s="58" t="n">
        <x:f>AF28*'Scenario Inputs'!$B$33*(1-'Scenario Inputs'!$B$29)</x:f>
        <x:v>0.3271406421994489</x:v>
      </x:c>
      <x:c r="AH29" s="58" t="n">
        <x:f>AG28*'Scenario Inputs'!$B$33*(1-'Scenario Inputs'!$B$29)</x:f>
        <x:v>0.3304120486214432</x:v>
      </x:c>
      <x:c r="AI29" s="58" t="n">
        <x:f>AH28*'Scenario Inputs'!$B$33*(1-'Scenario Inputs'!$B$29)</x:f>
        <x:v>0.3337161691076577</x:v>
      </x:c>
      <x:c r="AJ29" s="58" t="n">
        <x:f>AI28*'Scenario Inputs'!$B$33*(1-'Scenario Inputs'!$B$29)</x:f>
        <x:v>0.33705333079873434</x:v>
      </x:c>
      <x:c r="AK29" s="58" t="n">
        <x:f>AJ28*'Scenario Inputs'!$B$33*(1-'Scenario Inputs'!$B$29)</x:f>
        <x:v>0.34042386410672165</x:v>
      </x:c>
    </x:row>
    <x:row r="30" ht="18" customHeight="1">
      <x:c r="A30" s="4" t="str">
        <x:v>Later monthly renewals after refunds</x:v>
      </x:c>
      <x:c r="B30" s="58" t="n">
        <x:f>(0+0)*'Scenario Inputs'!$B$34*(1-'Scenario Inputs'!$B$29)</x:f>
        <x:v>0</x:v>
      </x:c>
      <x:c r="C30" s="58" t="n">
        <x:f>(B29+B30)*'Scenario Inputs'!$B$34*(1-'Scenario Inputs'!$B$29)</x:f>
        <x:v>0</x:v>
      </x:c>
      <x:c r="D30" s="58" t="n">
        <x:f>(C29+C30)*'Scenario Inputs'!$B$34*(1-'Scenario Inputs'!$B$29)</x:f>
        <x:v>0</x:v>
      </x:c>
      <x:c r="E30" s="58" t="n">
        <x:f>(D29+D30)*'Scenario Inputs'!$B$34*(1-'Scenario Inputs'!$B$29)</x:f>
        <x:v>0.28869766778124994</x:v>
      </x:c>
      <x:c r="F30" s="58" t="n">
        <x:f>(E29+E30)*'Scenario Inputs'!$B$34*(1-'Scenario Inputs'!$B$29)</x:f>
        <x:v>0.5176956967881561</x:v>
      </x:c>
      <x:c r="G30" s="58" t="n">
        <x:f>(F29+F30)*'Scenario Inputs'!$B$34*(1-'Scenario Inputs'!$B$29)</x:f>
        <x:v>0.7003107835640079</x:v>
      </x:c>
      <x:c r="H30" s="58" t="n">
        <x:f>(G29+G30)*'Scenario Inputs'!$B$34*(1-'Scenario Inputs'!$B$29)</x:f>
        <x:v>0.8469203270072524</x:v>
      </x:c>
      <x:c r="I30" s="58" t="n">
        <x:f>(H29+H30)*'Scenario Inputs'!$B$34*(1-'Scenario Inputs'!$B$29)</x:f>
        <x:v>0.9656121239197417</x:v>
      </x:c>
      <x:c r="J30" s="58" t="n">
        <x:f>(I29+I30)*'Scenario Inputs'!$B$34*(1-'Scenario Inputs'!$B$29)</x:f>
        <x:v>1.0626904851618786</x:v>
      </x:c>
      <x:c r="K30" s="58" t="n">
        <x:f>(J29+J30)*'Scenario Inputs'!$B$34*(1-'Scenario Inputs'!$B$29)</x:f>
        <x:v>0.9911243626227301</x:v>
      </x:c>
      <x:c r="L30" s="58" t="n">
        <x:f>(K29+K30)*'Scenario Inputs'!$B$34*(1-'Scenario Inputs'!$B$29)</x:f>
        <x:v>0.9402730074051822</x:v>
      </x:c>
      <x:c r="M30" s="58" t="n">
        <x:f>(L29+L30)*'Scenario Inputs'!$B$34*(1-'Scenario Inputs'!$B$29)</x:f>
        <x:v>0.9057054155583747</x:v>
      </x:c>
      <x:c r="N30" s="58" t="n">
        <x:f>(M29+M30)*'Scenario Inputs'!$B$34*(1-'Scenario Inputs'!$B$29)</x:f>
        <x:v>0.8839742437934038</x:v>
      </x:c>
      <x:c r="O30" s="58" t="n">
        <x:f>(N29+N30)*'Scenario Inputs'!$B$34*(1-'Scenario Inputs'!$B$29)</x:f>
        <x:v>0.8723985527406946</x:v>
      </x:c>
      <x:c r="P30" s="58" t="n">
        <x:f>(O29+O30)*'Scenario Inputs'!$B$34*(1-'Scenario Inputs'!$B$29)</x:f>
        <x:v>0.8688945679154029</x:v>
      </x:c>
      <x:c r="Q30" s="58" t="n">
        <x:f>(P29+P30)*'Scenario Inputs'!$B$34*(1-'Scenario Inputs'!$B$29)</x:f>
        <x:v>0.8699508856431089</x:v>
      </x:c>
      <x:c r="R30" s="58" t="n">
        <x:f>(Q29+Q30)*'Scenario Inputs'!$B$34*(1-'Scenario Inputs'!$B$29)</x:f>
        <x:v>0.8746353974977319</x:v>
      </x:c>
      <x:c r="S30" s="58" t="n">
        <x:f>(R29+R30)*'Scenario Inputs'!$B$34*(1-'Scenario Inputs'!$B$29)</x:f>
        <x:v>0.8822235053841183</x:v>
      </x:c>
      <x:c r="T30" s="58" t="n">
        <x:f>(S29+S30)*'Scenario Inputs'!$B$34*(1-'Scenario Inputs'!$B$29)</x:f>
        <x:v>0.8921522920422811</x:v>
      </x:c>
      <x:c r="U30" s="58" t="n">
        <x:f>(T29+T30)*'Scenario Inputs'!$B$34*(1-'Scenario Inputs'!$B$29)</x:f>
        <x:v>0.9039848204759509</x:v>
      </x:c>
      <x:c r="V30" s="58" t="n">
        <x:f>(U29+U30)*'Scenario Inputs'!$B$34*(1-'Scenario Inputs'!$B$29)</x:f>
        <x:v>0.91738232382528</x:v>
      </x:c>
      <x:c r="W30" s="58" t="n">
        <x:f>(V29+V30)*'Scenario Inputs'!$B$34*(1-'Scenario Inputs'!$B$29)</x:f>
        <x:v>0.9320825419078975</x:v>
      </x:c>
      <x:c r="X30" s="58" t="n">
        <x:f>(W29+W30)*'Scenario Inputs'!$B$34*(1-'Scenario Inputs'!$B$29)</x:f>
        <x:v>0.9478828460272168</x:v>
      </x:c>
      <x:c r="Y30" s="58" t="n">
        <x:f>(X29+X30)*'Scenario Inputs'!$B$34*(1-'Scenario Inputs'!$B$29)</x:f>
        <x:v>0.9646270938537859</x:v>
      </x:c>
      <x:c r="Z30" s="58" t="n">
        <x:f>(Y29+Y30)*'Scenario Inputs'!$B$34*(1-'Scenario Inputs'!$B$29)</x:f>
        <x:v>0.9821953900466548</x:v>
      </x:c>
      <x:c r="AA30" s="58" t="n">
        <x:f>(Z29+Z30)*'Scenario Inputs'!$B$34*(1-'Scenario Inputs'!$B$29)</x:f>
        <x:v>1.0004961104595906</x:v>
      </x:c>
      <x:c r="AB30" s="58" t="n">
        <x:f>(AA29+AA30)*'Scenario Inputs'!$B$34*(1-'Scenario Inputs'!$B$29)</x:f>
        <x:v>1.0194596896935328</x:v>
      </x:c>
      <x:c r="AC30" s="58" t="n">
        <x:f>(AB29+AB30)*'Scenario Inputs'!$B$34*(1-'Scenario Inputs'!$B$29)</x:f>
        <x:v>1.0366330501132288</x:v>
      </x:c>
      <x:c r="AD30" s="58" t="n">
        <x:f>(AC29+AC30)*'Scenario Inputs'!$B$34*(1-'Scenario Inputs'!$B$29)</x:f>
        <x:v>1.0524358373985916</x:v>
      </x:c>
      <x:c r="AE30" s="58" t="n">
        <x:f>(AD29+AD30)*'Scenario Inputs'!$B$34*(1-'Scenario Inputs'!$B$29)</x:f>
        <x:v>1.0671951956074932</x:v>
      </x:c>
      <x:c r="AF30" s="58" t="n">
        <x:f>(AE29+AE30)*'Scenario Inputs'!$B$34*(1-'Scenario Inputs'!$B$29)</x:f>
        <x:v>1.0811662124349672</x:v>
      </x:c>
      <x:c r="AG30" s="58" t="n">
        <x:f>(AF29+AF30)*'Scenario Inputs'!$B$34*(1-'Scenario Inputs'!$B$29)</x:f>
        <x:v>1.094547846094137</x:v>
      </x:c>
      <x:c r="AH30" s="58" t="n">
        <x:f>(AG29+AG30)*'Scenario Inputs'!$B$34*(1-'Scenario Inputs'!$B$29)</x:f>
        <x:v>1.1074953323807033</x:v>
      </x:c>
      <x:c r="AI30" s="58" t="n">
        <x:f>(AH29+AH30)*'Scenario Inputs'!$B$34*(1-'Scenario Inputs'!$B$29)</x:f>
        <x:v>1.120129849800672</x:v>
      </x:c>
      <x:c r="AJ30" s="58" t="n">
        <x:f>(AI29+AI30)*'Scenario Inputs'!$B$34*(1-'Scenario Inputs'!$B$29)</x:f>
        <x:v>1.1325460487295889</x:v>
      </x:c>
      <x:c r="AK30" s="58" t="n">
        <x:f>(AJ29+AJ30)*'Scenario Inputs'!$B$34*(1-'Scenario Inputs'!$B$29)</x:f>
        <x:v>1.1448179166525634</x:v>
      </x:c>
    </x:row>
    <x:row r="31" ht="18" customHeight="1">
      <x:c r="A31" s="74" t="str">
        <x:v>ACTIVE MONTHLY SUBSCRIBERS</x:v>
      </x:c>
      <x:c r="B31" s="75" t="n">
        <x:f>SUM(B27:B30)</x:f>
        <x:v>1.4038888888888887</x:v>
      </x:c>
      <x:c r="C31" s="75" t="n">
        <x:f>SUM(C27:C30)</x:f>
        <x:v>2.0240013888888884</x:v>
      </x:c>
      <x:c r="D31" s="75" t="n">
        <x:f>SUM(D27:D30)</x:f>
        <x:v>2.4236788576388886</x:v>
      </x:c>
      <x:c r="E31" s="75" t="n">
        <x:f>SUM(E27:E30)</x:f>
        <x:v>2.7475923901076382</x:v>
      </x:c>
      <x:c r="F31" s="75" t="n">
        <x:f>SUM(F27:F30)</x:f>
        <x:v>3.01286275974267</x:v>
      </x:c>
      <x:c r="G31" s="75" t="n">
        <x:f>SUM(G27:G30)</x:f>
        <x:v>3.2328383573654906</x:v>
      </x:c>
      <x:c r="H31" s="75" t="n">
        <x:f>SUM(H27:H30)</x:f>
        <x:v>2.6790403380922236</x:v>
      </x:c>
      <x:c r="I31" s="75" t="n">
        <x:f>SUM(I27:I30)</x:f>
        <x:v>2.5214929009622624</x:v>
      </x:c>
      <x:c r="J31" s="75" t="n">
        <x:f>SUM(J27:J30)</x:f>
        <x:v>2.464343288640675</x:v>
      </x:c>
      <x:c r="K31" s="75" t="n">
        <x:f>SUM(K27:K30)</x:f>
        <x:v>2.4348267502058905</x:v>
      </x:c>
      <x:c r="L31" s="75" t="n">
        <x:f>SUM(L27:L30)</x:f>
        <x:v>2.427286466615837</x:v>
      </x:c>
      <x:c r="M31" s="75" t="n">
        <x:f>SUM(M27:M30)</x:f>
        <x:v>2.4373292785453495</x:v>
      </x:c>
      <x:c r="N31" s="75" t="n">
        <x:f>SUM(N27:N30)</x:f>
        <x:v>2.4523416674296703</x:v>
      </x:c>
      <x:c r="O31" s="75" t="n">
        <x:f>SUM(O27:O30)</x:f>
        <x:v>2.4744925368756894</x:v>
      </x:c>
      <x:c r="P31" s="75" t="n">
        <x:f>SUM(P27:P30)</x:f>
        <x:v>2.5030304317330976</x:v>
      </x:c>
      <x:c r="Q31" s="75" t="n">
        <x:f>SUM(Q27:Q30)</x:f>
        <x:v>2.5367694667371574</x:v>
      </x:c>
      <x:c r="R31" s="75" t="n">
        <x:f>SUM(R27:R30)</x:f>
        <x:v>2.5747903502136618</x:v>
      </x:c>
      <x:c r="S31" s="75" t="n">
        <x:f>SUM(S27:S30)</x:f>
        <x:v>2.6163815571543667</x:v>
      </x:c>
      <x:c r="T31" s="75" t="n">
        <x:f>SUM(T27:T30)</x:f>
        <x:v>2.6609935048479345</x:v>
      </x:c>
      <x:c r="U31" s="75" t="n">
        <x:f>SUM(U27:U30)</x:f>
        <x:v>2.7082028575377173</x:v>
      </x:c>
      <x:c r="V31" s="75" t="n">
        <x:f>SUM(V27:V30)</x:f>
        <x:v>2.757684721628282</x:v>
      </x:c>
      <x:c r="W31" s="75" t="n">
        <x:f>SUM(W27:W30)</x:f>
        <x:v>2.8091909876669594</x:v>
      </x:c>
      <x:c r="X31" s="75" t="n">
        <x:f>SUM(X27:X30)</x:f>
        <x:v>2.86253346070146</x:v>
      </x:c>
      <x:c r="Y31" s="75" t="n">
        <x:f>SUM(Y27:Y30)</x:f>
        <x:v>2.9175707208215136</x:v>
      </x:c>
      <x:c r="Z31" s="75" t="n">
        <x:f>SUM(Z27:Z30)</x:f>
        <x:v>2.96252352695253</x:v>
      </x:c>
      <x:c r="AA31" s="75" t="n">
        <x:f>SUM(AA27:AA30)</x:f>
        <x:v>3.003648913864348</x:v>
      </x:c>
      <x:c r="AB31" s="75" t="n">
        <x:f>SUM(AB27:AB30)</x:f>
        <x:v>3.042644021132338</x:v>
      </x:c>
      <x:c r="AC31" s="75" t="n">
        <x:f>SUM(AC27:AC30)</x:f>
        <x:v>3.080049224866422</x:v>
      </x:c>
      <x:c r="AD31" s="75" t="n">
        <x:f>SUM(AD27:AD30)</x:f>
        <x:v>3.116286173899317</x:v>
      </x:c>
      <x:c r="AE31" s="75" t="n">
        <x:f>SUM(AE27:AE30)</x:f>
        <x:v>3.151684035473226</x:v>
      </x:c>
      <x:c r="AF31" s="75" t="n">
        <x:f>SUM(AF27:AF30)</x:f>
        <x:v>3.186499940699357</x:v>
      </x:c>
      <x:c r="AG31" s="75" t="n">
        <x:f>SUM(AG27:AG30)</x:f>
        <x:v>3.2209349116411707</x:v>
      </x:c>
      <x:c r="AH31" s="75" t="n">
        <x:f>SUM(AH27:AH30)</x:f>
        <x:v>3.255146268583208</x:v>
      </x:c>
      <x:c r="AI31" s="75" t="n">
        <x:f>SUM(AI27:AI30)</x:f>
        <x:v>3.2892572953652017</x:v>
      </x:c>
      <x:c r="AJ31" s="75" t="n">
        <x:f>SUM(AJ27:AJ30)</x:f>
        <x:v>3.3233647687497636</x:v>
      </x:c>
      <x:c r="AK31" s="75" t="n">
        <x:f>SUM(AK27:AK30)</x:f>
        <x:v>3.3575448238729404</x:v>
      </x:c>
    </x:row>
    <x:row r="32" ht="18" customHeight="1">
      <x:c r="A32" s="4" t="str">
        <x:v>Monthly charge events before refunds</x:v>
      </x:c>
      <x:c r="B32" s="58" t="n">
        <x:f>B31/(1-'Scenario Inputs'!$B$29)</x:f>
        <x:v>1.4777777777777776</x:v>
      </x:c>
      <x:c r="C32" s="58" t="n">
        <x:f>C31/(1-'Scenario Inputs'!$B$29)</x:f>
        <x:v>2.130527777777777</x:v>
      </x:c>
      <x:c r="D32" s="58" t="n">
        <x:f>D31/(1-'Scenario Inputs'!$B$29)</x:f>
        <x:v>2.5512409027777774</x:v>
      </x:c>
      <x:c r="E32" s="58" t="n">
        <x:f>E31/(1-'Scenario Inputs'!$B$29)</x:f>
        <x:v>2.892202515902777</x:v>
      </x:c>
      <x:c r="F32" s="58" t="n">
        <x:f>F31/(1-'Scenario Inputs'!$B$29)</x:f>
        <x:v>3.1714344839396524</x:v>
      </x:c>
      <x:c r="G32" s="58" t="n">
        <x:f>G31/(1-'Scenario Inputs'!$B$29)</x:f>
        <x:v>3.4029877445952534</x:v>
      </x:c>
      <x:c r="H32" s="58" t="n">
        <x:f>H31/(1-'Scenario Inputs'!$B$29)</x:f>
        <x:v>2.820042461149709</x:v>
      </x:c>
      <x:c r="I32" s="58" t="n">
        <x:f>I31/(1-'Scenario Inputs'!$B$29)</x:f>
        <x:v>2.654203053644487</x:v>
      </x:c>
      <x:c r="J32" s="58" t="n">
        <x:f>J31/(1-'Scenario Inputs'!$B$29)</x:f>
        <x:v>2.594045566990184</x:v>
      </x:c>
      <x:c r="K32" s="58" t="n">
        <x:f>K31/(1-'Scenario Inputs'!$B$29)</x:f>
        <x:v>2.5629755265325165</x:v>
      </x:c>
      <x:c r="L32" s="58" t="n">
        <x:f>L31/(1-'Scenario Inputs'!$B$29)</x:f>
        <x:v>2.5550383859114074</x:v>
      </x:c>
      <x:c r="M32" s="58" t="n">
        <x:f>M31/(1-'Scenario Inputs'!$B$29)</x:f>
        <x:v>2.5656097668898417</x:v>
      </x:c>
      <x:c r="N32" s="58" t="n">
        <x:f>N31/(1-'Scenario Inputs'!$B$29)</x:f>
        <x:v>2.581412281504916</x:v>
      </x:c>
      <x:c r="O32" s="58" t="n">
        <x:f>O31/(1-'Scenario Inputs'!$B$29)</x:f>
        <x:v>2.604728986184936</x:v>
      </x:c>
      <x:c r="P32" s="58" t="n">
        <x:f>P31/(1-'Scenario Inputs'!$B$29)</x:f>
        <x:v>2.6347688755085237</x:v>
      </x:c>
      <x:c r="Q32" s="58" t="n">
        <x:f>Q31/(1-'Scenario Inputs'!$B$29)</x:f>
        <x:v>2.670283649197008</x:v>
      </x:c>
      <x:c r="R32" s="58" t="n">
        <x:f>R31/(1-'Scenario Inputs'!$B$29)</x:f>
        <x:v>2.7103056318038545</x:v>
      </x:c>
      <x:c r="S32" s="58" t="n">
        <x:f>S31/(1-'Scenario Inputs'!$B$29)</x:f>
        <x:v>2.7540858496361755</x:v>
      </x:c>
      <x:c r="T32" s="58" t="n">
        <x:f>T31/(1-'Scenario Inputs'!$B$29)</x:f>
        <x:v>2.8010457945767735</x:v>
      </x:c>
      <x:c r="U32" s="58" t="n">
        <x:f>U31/(1-'Scenario Inputs'!$B$29)</x:f>
        <x:v>2.8507398500397025</x:v>
      </x:c>
      <x:c r="V32" s="58" t="n">
        <x:f>V31/(1-'Scenario Inputs'!$B$29)</x:f>
        <x:v>2.9028260227666127</x:v>
      </x:c>
      <x:c r="W32" s="58" t="n">
        <x:f>W31/(1-'Scenario Inputs'!$B$29)</x:f>
        <x:v>2.957043144912589</x:v>
      </x:c>
      <x:c r="X32" s="58" t="n">
        <x:f>X31/(1-'Scenario Inputs'!$B$29)</x:f>
        <x:v>3.013193116527853</x:v>
      </x:c>
      <x:c r="Y32" s="58" t="n">
        <x:f>Y31/(1-'Scenario Inputs'!$B$29)</x:f>
        <x:v>3.071127074548962</x:v>
      </x:c>
      <x:c r="Z32" s="58" t="n">
        <x:f>Z31/(1-'Scenario Inputs'!$B$29)</x:f>
        <x:v>3.1184458178447687</x:v>
      </x:c>
      <x:c r="AA32" s="58" t="n">
        <x:f>AA31/(1-'Scenario Inputs'!$B$29)</x:f>
        <x:v>3.1617356988045766</x:v>
      </x:c>
      <x:c r="AB32" s="58" t="n">
        <x:f>AB31/(1-'Scenario Inputs'!$B$29)</x:f>
        <x:v>3.202783180139303</x:v>
      </x:c>
      <x:c r="AC32" s="58" t="n">
        <x:f>AC31/(1-'Scenario Inputs'!$B$29)</x:f>
        <x:v>3.2421570788067604</x:v>
      </x:c>
      <x:c r="AD32" s="58" t="n">
        <x:f>AD31/(1-'Scenario Inputs'!$B$29)</x:f>
        <x:v>3.2803012356834915</x:v>
      </x:c>
      <x:c r="AE32" s="58" t="n">
        <x:f>AE31/(1-'Scenario Inputs'!$B$29)</x:f>
        <x:v>3.317562142603396</x:v>
      </x:c>
      <x:c r="AF32" s="58" t="n">
        <x:f>AF31/(1-'Scenario Inputs'!$B$29)</x:f>
        <x:v>3.35421046389406</x:v>
      </x:c>
      <x:c r="AG32" s="58" t="n">
        <x:f>AG31/(1-'Scenario Inputs'!$B$29)</x:f>
        <x:v>3.3904578017275484</x:v>
      </x:c>
      <x:c r="AH32" s="58" t="n">
        <x:f>AH31/(1-'Scenario Inputs'!$B$29)</x:f>
        <x:v>3.426469756403377</x:v>
      </x:c>
      <x:c r="AI32" s="58" t="n">
        <x:f>AI31/(1-'Scenario Inputs'!$B$29)</x:f>
        <x:v>3.462376100384423</x:v>
      </x:c>
      <x:c r="AJ32" s="58" t="n">
        <x:f>AJ31/(1-'Scenario Inputs'!$B$29)</x:f>
        <x:v>3.4982787039471197</x:v>
      </x:c>
      <x:c r="AK32" s="58" t="n">
        <x:f>AK31/(1-'Scenario Inputs'!$B$29)</x:f>
        <x:v>3.534257709339937</x:v>
      </x:c>
    </x:row>
    <x:row r="33" ht="18" customHeight="1">
      <x:c r="A33" s="4" t="str"/>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row>
    <x:row r="34" ht="18" customHeight="1">
      <x:c r="A34" s="74" t="str">
        <x:v>TOTAL ACTIVE PAID SUBSCRIBERS</x:v>
      </x:c>
      <x:c r="B34" s="75" t="n">
        <x:f>B24+B31</x:f>
        <x:v>4.011111111111111</x:v>
      </x:c>
      <x:c r="C34" s="75" t="n">
        <x:f>C24+C31</x:f>
        <x:v>7.275495833333332</x:v>
      </x:c>
      <x:c r="D34" s="75" t="n">
        <x:f>D24+D31</x:f>
        <x:v>10.357607024305555</x:v>
      </x:c>
      <x:c r="E34" s="75" t="n">
        <x:f>E24+E31</x:f>
        <x:v>13.403260623996527</x:v>
      </x:c>
      <x:c r="F34" s="75" t="n">
        <x:f>F24+F31</x:f>
        <x:v>16.430756596203782</x:v>
      </x:c>
      <x:c r="G34" s="75" t="n">
        <x:f>G24+G31</x:f>
        <x:v>19.454657897809327</x:v>
      </x:c>
      <x:c r="H34" s="75" t="n">
        <x:f>H24+H31</x:f>
        <x:v>20.375514464749376</x:v>
      </x:c>
      <x:c r="I34" s="75" t="n">
        <x:f>I24+I31</x:f>
        <x:v>21.73686125141913</x:v>
      </x:c>
      <x:c r="J34" s="75" t="n">
        <x:f>J24+J31</x:f>
        <x:v>23.244172689611247</x:v>
      </x:c>
      <x:c r="K34" s="75" t="n">
        <x:f>K24+K31</x:f>
        <x:v>24.82605103320558</x:v>
      </x:c>
      <x:c r="L34" s="75" t="n">
        <x:f>L24+L31</x:f>
        <x:v>26.47824747810552</x:v>
      </x:c>
      <x:c r="M34" s="75" t="n">
        <x:f>M24+M31</x:f>
        <x:v>28.197819120379723</x:v>
      </x:c>
      <x:c r="N34" s="75" t="n">
        <x:f>N24+N31</x:f>
        <x:v>27.84470091621563</x:v>
      </x:c>
      <x:c r="O34" s="75" t="n">
        <x:f>O24+O31</x:f>
        <x:v>27.503585080752263</x:v>
      </x:c>
      <x:c r="P34" s="75" t="n">
        <x:f>P24+P31</x:f>
        <x:v>27.1735173316021</x:v>
      </x:c>
      <x:c r="Q34" s="75" t="n">
        <x:f>Q24+Q31</x:f>
        <x:v>26.853095896568437</x:v>
      </x:c>
      <x:c r="R34" s="75" t="n">
        <x:f>R24+R31</x:f>
        <x:v>26.541172006061963</x:v>
      </x:c>
      <x:c r="S34" s="75" t="n">
        <x:f>S24+S31</x:f>
        <x:v>26.236790516159196</x:v>
      </x:c>
      <x:c r="T34" s="75" t="n">
        <x:f>T24+T31</x:f>
        <x:v>27.050643514870163</x:v>
      </x:c>
      <x:c r="U34" s="75" t="n">
        <x:f>U24+U31</x:f>
        <x:v>27.870534037449364</x:v>
      </x:c>
      <x:c r="V34" s="75" t="n">
        <x:f>V24+V31</x:f>
        <x:v>28.695847651614358</x:v>
      </x:c>
      <x:c r="W34" s="75" t="n">
        <x:f>W24+W31</x:f>
        <x:v>29.52603016821979</x:v>
      </x:c>
      <x:c r="X34" s="75" t="n">
        <x:f>X24+X31</x:f>
        <x:v>30.360570118287946</x:v>
      </x:c>
      <x:c r="Y34" s="75" t="n">
        <x:f>Y24+Y31</x:f>
        <x:v>31.19898493748156</x:v>
      </x:c>
      <x:c r="Z34" s="75" t="n">
        <x:f>Z24+Z31</x:f>
        <x:v>31.714171116973304</x:v>
      </x:c>
      <x:c r="AA34" s="75" t="n">
        <x:f>AA24+AA31</x:f>
        <x:v>32.21481490156093</x:v>
      </x:c>
      <x:c r="AB34" s="75" t="n">
        <x:f>AB24+AB31</x:f>
        <x:v>32.70213650871902</x:v>
      </x:c>
      <x:c r="AC34" s="75" t="n">
        <x:f>AC24+AC31</x:f>
        <x:v>33.17618635489086</x:v>
      </x:c>
      <x:c r="AD34" s="75" t="n">
        <x:f>AD24+AD31</x:f>
        <x:v>33.636882769747096</x:v>
      </x:c>
      <x:c r="AE34" s="75" t="n">
        <x:f>AE24+AE31</x:f>
        <x:v>34.084037912107036</x:v>
      </x:c>
      <x:c r="AF34" s="75" t="n">
        <x:f>AF24+AF31</x:f>
        <x:v>34.67902565538019</x:v>
      </x:c>
      <x:c r="AG34" s="75" t="n">
        <x:f>AG24+AG31</x:f>
        <x:v>35.25985383529099</x:v>
      </x:c>
      <x:c r="AH34" s="75" t="n">
        <x:f>AH24+AH31</x:f>
        <x:v>35.82611963602198</x:v>
      </x:c>
      <x:c r="AI34" s="75" t="n">
        <x:f>AI24+AI31</x:f>
        <x:v>36.37737111466778</x:v>
      </x:c>
      <x:c r="AJ34" s="75" t="n">
        <x:f>AJ24+AJ31</x:f>
        <x:v>36.91311435864214</x:v>
      </x:c>
      <x:c r="AK34" s="75" t="n">
        <x:f>AK24+AK31</x:f>
        <x:v>37.4328189700891</x:v>
      </x:c>
    </x:row>
    <x:row r="35" ht="18" customHeight="1">
      <x:c r="A35" s="4" t="str">
        <x:v>Estimated active free users</x:v>
      </x:c>
      <x:c r="B35" s="58" t="n">
        <x:f>MAX('Commercial Inputs'!$B$27,B34*'Commercial Inputs'!$B$26)</x:f>
        <x:v>500</x:v>
      </x:c>
      <x:c r="C35" s="58" t="n">
        <x:f>MAX('Commercial Inputs'!$B$27,C34*'Commercial Inputs'!$B$26)</x:f>
        <x:v>500</x:v>
      </x:c>
      <x:c r="D35" s="58" t="n">
        <x:f>MAX('Commercial Inputs'!$B$27,D34*'Commercial Inputs'!$B$26)</x:f>
        <x:v>500</x:v>
      </x:c>
      <x:c r="E35" s="58" t="n">
        <x:f>MAX('Commercial Inputs'!$B$27,E34*'Commercial Inputs'!$B$26)</x:f>
        <x:v>500</x:v>
      </x:c>
      <x:c r="F35" s="58" t="n">
        <x:f>MAX('Commercial Inputs'!$B$27,F34*'Commercial Inputs'!$B$26)</x:f>
        <x:v>500</x:v>
      </x:c>
      <x:c r="G35" s="58" t="n">
        <x:f>MAX('Commercial Inputs'!$B$27,G34*'Commercial Inputs'!$B$26)</x:f>
        <x:v>500</x:v>
      </x:c>
      <x:c r="H35" s="58" t="n">
        <x:f>MAX('Commercial Inputs'!$B$27,H34*'Commercial Inputs'!$B$26)</x:f>
        <x:v>500</x:v>
      </x:c>
      <x:c r="I35" s="58" t="n">
        <x:f>MAX('Commercial Inputs'!$B$27,I34*'Commercial Inputs'!$B$26)</x:f>
        <x:v>500</x:v>
      </x:c>
      <x:c r="J35" s="58" t="n">
        <x:f>MAX('Commercial Inputs'!$B$27,J34*'Commercial Inputs'!$B$26)</x:f>
        <x:v>500</x:v>
      </x:c>
      <x:c r="K35" s="58" t="n">
        <x:f>MAX('Commercial Inputs'!$B$27,K34*'Commercial Inputs'!$B$26)</x:f>
        <x:v>500</x:v>
      </x:c>
      <x:c r="L35" s="58" t="n">
        <x:f>MAX('Commercial Inputs'!$B$27,L34*'Commercial Inputs'!$B$26)</x:f>
        <x:v>529.5649495621104</x:v>
      </x:c>
      <x:c r="M35" s="58" t="n">
        <x:f>MAX('Commercial Inputs'!$B$27,M34*'Commercial Inputs'!$B$26)</x:f>
        <x:v>563.9563824075944</x:v>
      </x:c>
      <x:c r="N35" s="58" t="n">
        <x:f>MAX('Commercial Inputs'!$B$27,N34*'Commercial Inputs'!$B$26)</x:f>
        <x:v>556.8940183243126</x:v>
      </x:c>
      <x:c r="O35" s="58" t="n">
        <x:f>MAX('Commercial Inputs'!$B$27,O34*'Commercial Inputs'!$B$26)</x:f>
        <x:v>550.0717016150453</x:v>
      </x:c>
      <x:c r="P35" s="58" t="n">
        <x:f>MAX('Commercial Inputs'!$B$27,P34*'Commercial Inputs'!$B$26)</x:f>
        <x:v>543.470346632042</x:v>
      </x:c>
      <x:c r="Q35" s="58" t="n">
        <x:f>MAX('Commercial Inputs'!$B$27,Q34*'Commercial Inputs'!$B$26)</x:f>
        <x:v>537.0619179313687</x:v>
      </x:c>
      <x:c r="R35" s="58" t="n">
        <x:f>MAX('Commercial Inputs'!$B$27,R34*'Commercial Inputs'!$B$26)</x:f>
        <x:v>530.8234401212393</x:v>
      </x:c>
      <x:c r="S35" s="58" t="n">
        <x:f>MAX('Commercial Inputs'!$B$27,S34*'Commercial Inputs'!$B$26)</x:f>
        <x:v>524.735810323184</x:v>
      </x:c>
      <x:c r="T35" s="58" t="n">
        <x:f>MAX('Commercial Inputs'!$B$27,T34*'Commercial Inputs'!$B$26)</x:f>
        <x:v>541.0128702974033</x:v>
      </x:c>
      <x:c r="U35" s="58" t="n">
        <x:f>MAX('Commercial Inputs'!$B$27,U34*'Commercial Inputs'!$B$26)</x:f>
        <x:v>557.4106807489873</x:v>
      </x:c>
      <x:c r="V35" s="58" t="n">
        <x:f>MAX('Commercial Inputs'!$B$27,V34*'Commercial Inputs'!$B$26)</x:f>
        <x:v>573.9169530322872</x:v>
      </x:c>
      <x:c r="W35" s="58" t="n">
        <x:f>MAX('Commercial Inputs'!$B$27,W34*'Commercial Inputs'!$B$26)</x:f>
        <x:v>590.5206033643958</x:v>
      </x:c>
      <x:c r="X35" s="58" t="n">
        <x:f>MAX('Commercial Inputs'!$B$27,X34*'Commercial Inputs'!$B$26)</x:f>
        <x:v>607.2114023657589</x:v>
      </x:c>
      <x:c r="Y35" s="58" t="n">
        <x:f>MAX('Commercial Inputs'!$B$27,Y34*'Commercial Inputs'!$B$26)</x:f>
        <x:v>623.9796987496312</x:v>
      </x:c>
      <x:c r="Z35" s="58" t="n">
        <x:f>MAX('Commercial Inputs'!$B$27,Z34*'Commercial Inputs'!$B$26)</x:f>
        <x:v>634.2834223394661</x:v>
      </x:c>
      <x:c r="AA35" s="58" t="n">
        <x:f>MAX('Commercial Inputs'!$B$27,AA34*'Commercial Inputs'!$B$26)</x:f>
        <x:v>644.2962980312186</x:v>
      </x:c>
      <x:c r="AB35" s="58" t="n">
        <x:f>MAX('Commercial Inputs'!$B$27,AB34*'Commercial Inputs'!$B$26)</x:f>
        <x:v>654.0427301743805</x:v>
      </x:c>
      <x:c r="AC35" s="58" t="n">
        <x:f>MAX('Commercial Inputs'!$B$27,AC34*'Commercial Inputs'!$B$26)</x:f>
        <x:v>663.5237270978172</x:v>
      </x:c>
      <x:c r="AD35" s="58" t="n">
        <x:f>MAX('Commercial Inputs'!$B$27,AD34*'Commercial Inputs'!$B$26)</x:f>
        <x:v>672.737655394942</x:v>
      </x:c>
      <x:c r="AE35" s="58" t="n">
        <x:f>MAX('Commercial Inputs'!$B$27,AE34*'Commercial Inputs'!$B$26)</x:f>
        <x:v>681.6807582421407</x:v>
      </x:c>
      <x:c r="AF35" s="58" t="n">
        <x:f>MAX('Commercial Inputs'!$B$27,AF34*'Commercial Inputs'!$B$26)</x:f>
        <x:v>693.5805131076038</x:v>
      </x:c>
      <x:c r="AG35" s="58" t="n">
        <x:f>MAX('Commercial Inputs'!$B$27,AG34*'Commercial Inputs'!$B$26)</x:f>
        <x:v>705.1970767058198</x:v>
      </x:c>
      <x:c r="AH35" s="58" t="n">
        <x:f>MAX('Commercial Inputs'!$B$27,AH34*'Commercial Inputs'!$B$26)</x:f>
        <x:v>716.5223927204396</x:v>
      </x:c>
      <x:c r="AI35" s="58" t="n">
        <x:f>MAX('Commercial Inputs'!$B$27,AI34*'Commercial Inputs'!$B$26)</x:f>
        <x:v>727.5474222933556</x:v>
      </x:c>
      <x:c r="AJ35" s="58" t="n">
        <x:f>MAX('Commercial Inputs'!$B$27,AJ34*'Commercial Inputs'!$B$26)</x:f>
        <x:v>738.2622871728428</x:v>
      </x:c>
      <x:c r="AK35" s="58" t="n">
        <x:f>MAX('Commercial Inputs'!$B$27,AK34*'Commercial Inputs'!$B$26)</x:f>
        <x:v>748.656379401782</x:v>
      </x:c>
    </x:row>
    <x:row r="36" ht="18" customHeight="1">
      <x:c r="A36" s="4" t="str">
        <x:v>Earned annual-plan revenue (INR)</x:v>
      </x:c>
      <x:c r="B36" s="58" t="n">
        <x:f>B24*$B$84/'Commercial Inputs'!$B$46</x:f>
        <x:v>492.2386578075957</x:v>
      </x:c>
      <x:c r="C36" s="58" t="n">
        <x:f>C24*$B$84/'Commercial Inputs'!$B$46</x:f>
        <x:v>991.4722860156152</x:v>
      </x:c>
      <x:c r="D36" s="58" t="n">
        <x:f>D24*$B$84/'Commercial Inputs'!$B$46</x:f>
        <x:v>1497.910733736071</x:v>
      </x:c>
      <x:c r="E36" s="58" t="n">
        <x:f>E24*$B$84/'Commercial Inputs'!$B$46</x:f>
        <x:v>2011.7701455543365</x:v>
      </x:c>
      <x:c r="F36" s="58" t="n">
        <x:f>F24*$B$84/'Commercial Inputs'!$B$46</x:f>
        <x:v>2533.273150393346</x:v>
      </x:c>
      <x:c r="G36" s="58" t="n">
        <x:f>G24*$B$84/'Commercial Inputs'!$B$46</x:f>
        <x:v>3062.6490560437214</x:v>
      </x:c>
      <x:c r="H36" s="58" t="n">
        <x:f>H24*$B$84/'Commercial Inputs'!$B$46</x:f>
        <x:v>3341.061071736333</x:v>
      </x:c>
      <x:c r="I36" s="58" t="n">
        <x:f>I24*$B$84/'Commercial Inputs'!$B$46</x:f>
        <x:v>3627.8254478997223</x:v>
      </x:c>
      <x:c r="J36" s="58" t="n">
        <x:f>J24*$B$84/'Commercial Inputs'!$B$46</x:f>
        <x:v>3923.192755348014</x:v>
      </x:c>
      <x:c r="K36" s="58" t="n">
        <x:f>K24*$B$84/'Commercial Inputs'!$B$46</x:f>
        <x:v>4227.421082019754</x:v>
      </x:c>
      <x:c r="L36" s="58" t="n">
        <x:f>L24*$B$84/'Commercial Inputs'!$B$46</x:f>
        <x:v>4540.776258491646</x:v>
      </x:c>
      <x:c r="M36" s="58" t="n">
        <x:f>M24*$B$84/'Commercial Inputs'!$B$46</x:f>
        <x:v>4863.532090257695</x:v>
      </x:c>
      <x:c r="N36" s="58" t="n">
        <x:f>N24*$B$84/'Commercial Inputs'!$B$46</x:f>
        <x:v>4794.029725834912</x:v>
      </x:c>
      <x:c r="O36" s="58" t="n">
        <x:f>O24*$B$84/'Commercial Inputs'!$B$46</x:f>
        <x:v>4725.4456543558135</x:v>
      </x:c>
      <x:c r="P36" s="58" t="n">
        <x:f>P24*$B$84/'Commercial Inputs'!$B$46</x:f>
        <x:v>4657.741582419029</x:v>
      </x:c>
      <x:c r="Q36" s="58" t="n">
        <x:f>Q24*$B$84/'Commercial Inputs'!$B$46</x:f>
        <x:v>4590.876750977355</x:v>
      </x:c>
      <x:c r="R36" s="58" t="n">
        <x:f>R24*$B$84/'Commercial Inputs'!$B$46</x:f>
        <x:v>4524.807835031501</x:v>
      </x:c>
      <x:c r="S36" s="58" t="n">
        <x:f>S24*$B$84/'Commercial Inputs'!$B$46</x:f>
        <x:v>4459.488839787915</x:v>
      </x:c>
      <x:c r="T36" s="58" t="n">
        <x:f>T24*$B$84/'Commercial Inputs'!$B$46</x:f>
        <x:v>4604.720105176783</x:v>
      </x:c>
      <x:c r="U36" s="58" t="n">
        <x:f>U24*$B$84/'Commercial Inputs'!$B$46</x:f>
        <x:v>4750.600858546318</x:v>
      </x:c>
      <x:c r="V36" s="58" t="n">
        <x:f>V24*$B$84/'Commercial Inputs'!$B$46</x:f>
        <x:v>4897.076435536319</x:v>
      </x:c>
      <x:c r="W36" s="58" t="n">
        <x:f>W24*$B$84/'Commercial Inputs'!$B$46</x:f>
        <x:v>5044.08904887579</x:v>
      </x:c>
      <x:c r="X36" s="58" t="n">
        <x:f>X24*$B$84/'Commercial Inputs'!$B$46</x:f>
        <x:v>5191.5776650360085</x:v>
      </x:c>
      <x:c r="Y36" s="58" t="n">
        <x:f>Y24*$B$84/'Commercial Inputs'!$B$46</x:f>
        <x:v>5339.47787659001</x:v>
      </x:c>
      <x:c r="Z36" s="58" t="n">
        <x:f>Z24*$B$84/'Commercial Inputs'!$B$46</x:f>
        <x:v>5428.257054132512</x:v>
      </x:c>
      <x:c r="AA36" s="58" t="n">
        <x:f>AA24*$B$84/'Commercial Inputs'!$B$46</x:f>
        <x:v>5515.013264394114</x:v>
      </x:c>
      <x:c r="AB36" s="58" t="n">
        <x:f>AB24*$B$84/'Commercial Inputs'!$B$46</x:f>
        <x:v>5599.656465378106</x:v>
      </x:c>
      <x:c r="AC36" s="58" t="n">
        <x:f>AC24*$B$84/'Commercial Inputs'!$B$46</x:f>
        <x:v>5682.094153619823</x:v>
      </x:c>
      <x:c r="AD36" s="58" t="n">
        <x:f>AD24*$B$84/'Commercial Inputs'!$B$46</x:f>
        <x:v>5762.231303406975</x:v>
      </x:c>
      <x:c r="AE36" s="58" t="n">
        <x:f>AE24*$B$84/'Commercial Inputs'!$B$46</x:f>
        <x:v>5839.9703045205315</x:v>
      </x:c>
      <x:c r="AF36" s="58" t="n">
        <x:f>AF24*$B$84/'Commercial Inputs'!$B$46</x:f>
        <x:v>5945.7296952436045</x:v>
      </x:c>
      <x:c r="AG36" s="58" t="n">
        <x:f>AG24*$B$84/'Commercial Inputs'!$B$46</x:f>
        <x:v>6048.887706680328</x:v>
      </x:c>
      <x:c r="AH36" s="58" t="n">
        <x:f>AH24*$B$84/'Commercial Inputs'!$B$46</x:f>
        <x:v>6149.3385861868765</x:v>
      </x:c>
      <x:c r="AI36" s="58" t="n">
        <x:f>AI24*$B$84/'Commercial Inputs'!$B$46</x:f>
        <x:v>6246.973732034356</x:v>
      </x:c>
      <x:c r="AJ36" s="58" t="n">
        <x:f>AJ24*$B$84/'Commercial Inputs'!$B$46</x:f>
        <x:v>6341.681623183328</x:v>
      </x:c>
      <x:c r="AK36" s="58" t="n">
        <x:f>AK24*$B$84/'Commercial Inputs'!$B$46</x:f>
        <x:v>6433.347747344291</x:v>
      </x:c>
    </x:row>
    <x:row r="37" ht="18" customHeight="1">
      <x:c r="A37" s="4" t="str">
        <x:v>Earned monthly-plan revenue (INR)</x:v>
      </x:c>
      <x:c r="B37" s="58" t="n">
        <x:f>B31*$B$85</x:f>
        <x:v>434.4219951977401</x:v>
      </x:c>
      <x:c r="C37" s="58" t="n">
        <x:f>C31*$B$85</x:f>
        <x:v>626.3107633396892</x:v>
      </x:c>
      <x:c r="D37" s="58" t="n">
        <x:f>D31*$B$85</x:f>
        <x:v>749.9877044310717</x:v>
      </x:c>
      <x:c r="E37" s="58" t="n">
        <x:f>E31*$B$85</x:f>
        <x:v>850.2201118247875</x:v>
      </x:c>
      <x:c r="F37" s="58" t="n">
        <x:f>F31*$B$85</x:f>
        <x:v>932.3058695765274</x:v>
      </x:c>
      <x:c r="G37" s="58" t="n">
        <x:f>G31*$B$85</x:f>
        <x:v>1000.3755286289286</x:v>
      </x:c>
      <x:c r="H37" s="58" t="n">
        <x:f>H31*$B$85</x:f>
        <x:v>829.0072370402271</x:v>
      </x:c>
      <x:c r="I37" s="58" t="n">
        <x:f>I31*$B$85</x:f>
        <x:v>780.255464362222</x:v>
      </x:c>
      <x:c r="J37" s="58" t="n">
        <x:f>J31*$B$85</x:f>
        <x:v>762.5709817753053</x:v>
      </x:c>
      <x:c r="K37" s="58" t="n">
        <x:f>K31*$B$85</x:f>
        <x:v>753.4373290912113</x:v>
      </x:c>
      <x:c r="L37" s="58" t="n">
        <x:f>L31*$B$85</x:f>
        <x:v>751.1040496789493</x:v>
      </x:c>
      <x:c r="M37" s="58" t="n">
        <x:f>M31*$B$85</x:f>
        <x:v>754.2117161263043</x:v>
      </x:c>
      <x:c r="N37" s="58" t="n">
        <x:f>N31*$B$85</x:f>
        <x:v>758.8571777318681</x:v>
      </x:c>
      <x:c r="O37" s="58" t="n">
        <x:f>O31*$B$85</x:f>
        <x:v>765.7115840714754</x:v>
      </x:c>
      <x:c r="P37" s="58" t="n">
        <x:f>P31*$B$85</x:f>
        <x:v>774.5424034623965</x:v>
      </x:c>
      <x:c r="Q37" s="58" t="n">
        <x:f>Q31*$B$85</x:f>
        <x:v>784.9826733573383</x:v>
      </x:c>
      <x:c r="R37" s="58" t="n">
        <x:f>R31*$B$85</x:f>
        <x:v>796.7479264267007</x:v>
      </x:c>
      <x:c r="S37" s="58" t="n">
        <x:f>S31*$B$85</x:f>
        <x:v>809.6179870453607</x:v>
      </x:c>
      <x:c r="T37" s="58" t="n">
        <x:f>T31*$B$85</x:f>
        <x:v>823.4227913144761</x:v>
      </x:c>
      <x:c r="U37" s="58" t="n">
        <x:f>U31*$B$85</x:f>
        <x:v>838.0313414282397</x:v>
      </x:c>
      <x:c r="V37" s="58" t="n">
        <x:f>V31*$B$85</x:f>
        <x:v>853.3431017067468</x:v>
      </x:c>
      <x:c r="W37" s="58" t="n">
        <x:f>W31*$B$85</x:f>
        <x:v>869.2812966983868</x:v>
      </x:c>
      <x:c r="X37" s="58" t="n">
        <x:f>X31*$B$85</x:f>
        <x:v>885.7876910062511</x:v>
      </x:c>
      <x:c r="Y37" s="58" t="n">
        <x:f>Y31*$B$85</x:f>
        <x:v>902.8185233896413</x:v>
      </x:c>
      <x:c r="Z37" s="58" t="n">
        <x:f>Z31*$B$85</x:f>
        <x:v>916.7288035291396</x:v>
      </x:c>
      <x:c r="AA37" s="58" t="n">
        <x:f>AA31*$B$85</x:f>
        <x:v>929.4547199295827</x:v>
      </x:c>
      <x:c r="AB37" s="58" t="n">
        <x:f>AB31*$B$85</x:f>
        <x:v>941.5214386253318</x:v>
      </x:c>
      <x:c r="AC37" s="58" t="n">
        <x:f>AC31*$B$85</x:f>
        <x:v>953.0961746073224</x:v>
      </x:c>
      <x:c r="AD37" s="58" t="n">
        <x:f>AD31*$B$85</x:f>
        <x:v>964.3094036764747</x:v>
      </x:c>
      <x:c r="AE37" s="58" t="n">
        <x:f>AE31*$B$85</x:f>
        <x:v>975.2629839579183</x:v>
      </x:c>
      <x:c r="AF37" s="58" t="n">
        <x:f>AF31*$B$85</x:f>
        <x:v>986.036482582102</x:v>
      </x:c>
      <x:c r="AG37" s="58" t="n">
        <x:f>AG31*$B$85</x:f>
        <x:v>996.69210419113</x:v>
      </x:c>
      <x:c r="AH37" s="58" t="n">
        <x:f>AH31*$B$85</x:f>
        <x:v>1007.2785302671599</x:v>
      </x:c>
      <x:c r="AI37" s="58" t="n">
        <x:f>AI31*$B$85</x:f>
        <x:v>1017.8339099914097</x:v>
      </x:c>
      <x:c r="AJ37" s="58" t="n">
        <x:f>AJ31*$B$85</x:f>
        <x:v>1028.3881901457332</x:v>
      </x:c>
      <x:c r="AK37" s="58" t="n">
        <x:f>AK31*$B$85</x:f>
        <x:v>1038.9649301285754</x:v>
      </x:c>
    </x:row>
    <x:row r="38" ht="18" customHeight="1">
      <x:c r="A38" s="74" t="str">
        <x:v>EARNED REVENUE, NET OF SALES TAX / REFUNDS</x:v>
      </x:c>
      <x:c r="B38" s="75" t="n">
        <x:f>SUM(B36:B37)</x:f>
        <x:v>926.6606530053358</x:v>
      </x:c>
      <x:c r="C38" s="75" t="n">
        <x:f>SUM(C36:C37)</x:f>
        <x:v>1617.7830493553042</x:v>
      </x:c>
      <x:c r="D38" s="75" t="n">
        <x:f>SUM(D36:D37)</x:f>
        <x:v>2247.8984381671426</x:v>
      </x:c>
      <x:c r="E38" s="75" t="n">
        <x:f>SUM(E36:E37)</x:f>
        <x:v>2861.990257379124</x:v>
      </x:c>
      <x:c r="F38" s="75" t="n">
        <x:f>SUM(F36:F37)</x:f>
        <x:v>3465.579019969873</x:v>
      </x:c>
      <x:c r="G38" s="75" t="n">
        <x:f>SUM(G36:G37)</x:f>
        <x:v>4063.0245846726502</x:v>
      </x:c>
      <x:c r="H38" s="75" t="n">
        <x:f>SUM(H36:H37)</x:f>
        <x:v>4170.06830877656</x:v>
      </x:c>
      <x:c r="I38" s="75" t="n">
        <x:f>SUM(I36:I37)</x:f>
        <x:v>4408.080912261945</x:v>
      </x:c>
      <x:c r="J38" s="75" t="n">
        <x:f>SUM(J36:J37)</x:f>
        <x:v>4685.7637371233195</x:v>
      </x:c>
      <x:c r="K38" s="75" t="n">
        <x:f>SUM(K36:K37)</x:f>
        <x:v>4980.858411110965</x:v>
      </x:c>
      <x:c r="L38" s="75" t="n">
        <x:f>SUM(L36:L37)</x:f>
        <x:v>5291.8803081705955</x:v>
      </x:c>
      <x:c r="M38" s="75" t="n">
        <x:f>SUM(M36:M37)</x:f>
        <x:v>5617.743806383999</x:v>
      </x:c>
      <x:c r="N38" s="75" t="n">
        <x:f>SUM(N36:N37)</x:f>
        <x:v>5552.88690356678</x:v>
      </x:c>
      <x:c r="O38" s="75" t="n">
        <x:f>SUM(O36:O37)</x:f>
        <x:v>5491.157238427289</x:v>
      </x:c>
      <x:c r="P38" s="75" t="n">
        <x:f>SUM(P36:P37)</x:f>
        <x:v>5432.283985881426</x:v>
      </x:c>
      <x:c r="Q38" s="75" t="n">
        <x:f>SUM(Q36:Q37)</x:f>
        <x:v>5375.859424334693</x:v>
      </x:c>
      <x:c r="R38" s="75" t="n">
        <x:f>SUM(R36:R37)</x:f>
        <x:v>5321.555761458201</x:v>
      </x:c>
      <x:c r="S38" s="75" t="n">
        <x:f>SUM(S36:S37)</x:f>
        <x:v>5269.106826833276</x:v>
      </x:c>
      <x:c r="T38" s="75" t="n">
        <x:f>SUM(T36:T37)</x:f>
        <x:v>5428.142896491259</x:v>
      </x:c>
      <x:c r="U38" s="75" t="n">
        <x:f>SUM(U36:U37)</x:f>
        <x:v>5588.632199974558</x:v>
      </x:c>
      <x:c r="V38" s="75" t="n">
        <x:f>SUM(V36:V37)</x:f>
        <x:v>5750.419537243066</x:v>
      </x:c>
      <x:c r="W38" s="75" t="n">
        <x:f>SUM(W36:W37)</x:f>
        <x:v>5913.370345574176</x:v>
      </x:c>
      <x:c r="X38" s="75" t="n">
        <x:f>SUM(X36:X37)</x:f>
        <x:v>6077.36535604226</x:v>
      </x:c>
      <x:c r="Y38" s="75" t="n">
        <x:f>SUM(Y36:Y37)</x:f>
        <x:v>6242.296399979651</x:v>
      </x:c>
      <x:c r="Z38" s="75" t="n">
        <x:f>SUM(Z36:Z37)</x:f>
        <x:v>6344.985857661652</x:v>
      </x:c>
      <x:c r="AA38" s="75" t="n">
        <x:f>SUM(AA36:AA37)</x:f>
        <x:v>6444.467984323697</x:v>
      </x:c>
      <x:c r="AB38" s="75" t="n">
        <x:f>SUM(AB36:AB37)</x:f>
        <x:v>6541.177904003438</x:v>
      </x:c>
      <x:c r="AC38" s="75" t="n">
        <x:f>SUM(AC36:AC37)</x:f>
        <x:v>6635.190328227146</x:v>
      </x:c>
      <x:c r="AD38" s="75" t="n">
        <x:f>SUM(AD36:AD37)</x:f>
        <x:v>6726.54070708345</x:v>
      </x:c>
      <x:c r="AE38" s="75" t="n">
        <x:f>SUM(AE36:AE37)</x:f>
        <x:v>6815.23328847845</x:v>
      </x:c>
      <x:c r="AF38" s="75" t="n">
        <x:f>SUM(AF36:AF37)</x:f>
        <x:v>6931.766177825706</x:v>
      </x:c>
      <x:c r="AG38" s="75" t="n">
        <x:f>SUM(AG36:AG37)</x:f>
        <x:v>7045.579810871458</x:v>
      </x:c>
      <x:c r="AH38" s="75" t="n">
        <x:f>SUM(AH36:AH37)</x:f>
        <x:v>7156.6171164540365</x:v>
      </x:c>
      <x:c r="AI38" s="75" t="n">
        <x:f>SUM(AI36:AI37)</x:f>
        <x:v>7264.807642025766</x:v>
      </x:c>
      <x:c r="AJ38" s="75" t="n">
        <x:f>SUM(AJ36:AJ37)</x:f>
        <x:v>7370.069813329062</x:v>
      </x:c>
      <x:c r="AK38" s="75" t="n">
        <x:f>SUM(AK36:AK37)</x:f>
        <x:v>7472.312677472866</x:v>
      </x:c>
    </x:row>
    <x:row r="39" ht="18" customHeight="1">
      <x:c r="A39" s="4" t="str">
        <x:v>Annual gross billings, ex-tax (INR)</x:v>
      </x:c>
      <x:c r="B39" s="58" t="n">
        <x:f>B25*$B$84</x:f>
        <x:v>6217.751467043315</x:v>
      </x:c>
      <x:c r="C39" s="58" t="n">
        <x:f>C25*$B$84</x:f>
        <x:v>6306.1089878907715</x:v>
      </x:c>
      <x:c r="D39" s="58" t="n">
        <x:f>D25*$B$84</x:f>
        <x:v>6397.1172343636545</x:v>
      </x:c>
      <x:c r="E39" s="58" t="n">
        <x:f>E25*$B$84</x:f>
        <x:v>6490.855728230723</x:v>
      </x:c>
      <x:c r="F39" s="58" t="n">
        <x:f>F25*$B$84</x:f>
        <x:v>6587.406376913801</x:v>
      </x:c>
      <x:c r="G39" s="58" t="n">
        <x:f>G25*$B$84</x:f>
        <x:v>6686.853545057375</x:v>
      </x:c>
      <x:c r="H39" s="58" t="n">
        <x:f>H25*$B$84</x:f>
        <x:v>3516.783356117193</x:v>
      </x:c>
      <x:c r="I39" s="58" t="n">
        <x:f>I25*$B$84</x:f>
        <x:v>3622.2868568007084</x:v>
      </x:c>
      <x:c r="J39" s="58" t="n">
        <x:f>J25*$B$84</x:f>
        <x:v>3730.955462504731</x:v>
      </x:c>
      <x:c r="K39" s="58" t="n">
        <x:f>K25*$B$84</x:f>
        <x:v>3842.8841263798727</x:v>
      </x:c>
      <x:c r="L39" s="58" t="n">
        <x:f>L25*$B$84</x:f>
        <x:v>3958.170650171269</x:v>
      </x:c>
      <x:c r="M39" s="58" t="n">
        <x:f>M25*$B$84</x:f>
        <x:v>4076.9157696764055</x:v>
      </x:c>
      <x:c r="N39" s="58" t="n">
        <x:f>N25*$B$84</x:f>
        <x:v>5339.8268638081645</x:v>
      </x:c>
      <x:c r="O39" s="58" t="n">
        <x:f>O25*$B$84</x:f>
        <x:v>5439.78387447058</x:v>
      </x:c>
      <x:c r="P39" s="58" t="n">
        <x:f>P25*$B$84</x:f>
        <x:v>5541.907904635856</x:v>
      </x:c>
      <x:c r="Q39" s="58" t="n">
        <x:f>Q25*$B$84</x:f>
        <x:v>5646.247331072733</x:v>
      </x:c>
      <x:c r="R39" s="58" t="n">
        <x:f>R25*$B$84</x:f>
        <x:v>5752.851649176695</x:v>
      </x:c>
      <x:c r="S39" s="58" t="n">
        <x:f>S25*$B$84</x:f>
        <x:v>5861.771499875237</x:v>
      </x:c>
      <x:c r="T39" s="58" t="n">
        <x:f>T25*$B$84</x:f>
        <x:v>5351.283550502889</x:v>
      </x:c>
      <x:c r="U39" s="58" t="n">
        <x:f>U25*$B$84</x:f>
        <x:v>5464.991109889569</x:v>
      </x:c>
      <x:c r="V39" s="58" t="n">
        <x:f>V25*$B$84</x:f>
        <x:v>5581.173277115281</x:v>
      </x:c>
      <x:c r="W39" s="58" t="n">
        <x:f>W25*$B$84</x:f>
        <x:v>5699.885558036346</x:v>
      </x:c>
      <x:c r="X39" s="58" t="n">
        <x:f>X25*$B$84</x:f>
        <x:v>5821.184749037195</x:v>
      </x:c>
      <x:c r="Y39" s="58" t="n">
        <x:f>Y25*$B$84</x:f>
        <x:v>5945.128968253263</x:v>
      </x:c>
      <x:c r="Z39" s="58" t="n">
        <x:f>Z25*$B$84</x:f>
        <x:v>6461.248053818711</x:v>
      </x:c>
      <x:c r="AA39" s="58" t="n">
        <x:f>AA25*$B$84</x:f>
        <x:v>6535.6517935645115</x:v>
      </x:c>
      <x:c r="AB39" s="58" t="n">
        <x:f>AB25*$B$84</x:f>
        <x:v>6611.085180223107</x:v>
      </x:c>
      <x:c r="AC39" s="58" t="n">
        <x:f>AC25*$B$84</x:f>
        <x:v>6687.565498336533</x:v>
      </x:c>
      <x:c r="AD39" s="58" t="n">
        <x:f>AD25*$B$84</x:f>
        <x:v>6765.110383330182</x:v>
      </x:c>
      <x:c r="AE39" s="58" t="n">
        <x:f>AE25*$B$84</x:f>
        <x:v>6843.737829730686</x:v>
      </x:c>
      <x:c r="AF39" s="58" t="n">
        <x:f>AF25*$B$84</x:f>
        <x:v>6687.191643846978</x:v>
      </x:c>
      <x:c r="AG39" s="58" t="n">
        <x:f>AG25*$B$84</x:f>
        <x:v>6768.0396754060785</x:v>
      </x:c>
      <x:c r="AH39" s="58" t="n">
        <x:f>AH25*$B$84</x:f>
        <x:v>6850.026491934845</x:v>
      </x:c>
      <x:c r="AI39" s="58" t="n">
        <x:f>AI25*$B$84</x:f>
        <x:v>6933.171610846605</x:v>
      </x:c>
      <x:c r="AJ39" s="58" t="n">
        <x:f>AJ25*$B$84</x:f>
        <x:v>7017.49495302421</x:v>
      </x:c>
      <x:c r="AK39" s="58" t="n">
        <x:f>AK25*$B$84</x:f>
        <x:v>7103.01685239176</x:v>
      </x:c>
    </x:row>
    <x:row r="40" ht="18" customHeight="1">
      <x:c r="A40" s="4" t="str">
        <x:v>Monthly gross billings, ex-tax (INR)</x:v>
      </x:c>
      <x:c r="B40" s="58" t="n">
        <x:f>B32*$B$85</x:f>
        <x:v>457.2863107344633</x:v>
      </x:c>
      <x:c r="C40" s="58" t="n">
        <x:f>C32*$B$85</x:f>
        <x:v>659.2744877259886</x:v>
      </x:c>
      <x:c r="D40" s="58" t="n">
        <x:f>D32*$B$85</x:f>
        <x:v>789.4607415063912</x:v>
      </x:c>
      <x:c r="E40" s="58" t="n">
        <x:f>E32*$B$85</x:f>
        <x:v>894.9685387629343</x:v>
      </x:c>
      <x:c r="F40" s="58" t="n">
        <x:f>F32*$B$85</x:f>
        <x:v>981.3745995542392</x:v>
      </x:c>
      <x:c r="G40" s="58" t="n">
        <x:f>G32*$B$85</x:f>
        <x:v>1053.0268722409776</x:v>
      </x:c>
      <x:c r="H40" s="58" t="n">
        <x:f>H32*$B$85</x:f>
        <x:v>872.6391968844496</x:v>
      </x:c>
      <x:c r="I40" s="58" t="n">
        <x:f>I32*$B$85</x:f>
        <x:v>821.3215414339179</x:v>
      </x:c>
      <x:c r="J40" s="58" t="n">
        <x:f>J32*$B$85</x:f>
        <x:v>802.7062966055845</x:v>
      </x:c>
      <x:c r="K40" s="58" t="n">
        <x:f>K32*$B$85</x:f>
        <x:v>793.0919253591697</x:v>
      </x:c>
      <x:c r="L40" s="58" t="n">
        <x:f>L32*$B$85</x:f>
        <x:v>790.635841767315</x:v>
      </x:c>
      <x:c r="M40" s="58" t="n">
        <x:f>M32*$B$85</x:f>
        <x:v>793.907069606636</x:v>
      </x:c>
      <x:c r="N40" s="58" t="n">
        <x:f>N32*$B$85</x:f>
        <x:v>798.7970291914401</x:v>
      </x:c>
      <x:c r="O40" s="58" t="n">
        <x:f>O32*$B$85</x:f>
        <x:v>806.0121937594478</x:v>
      </x:c>
      <x:c r="P40" s="58" t="n">
        <x:f>P32*$B$85</x:f>
        <x:v>815.307793118312</x:v>
      </x:c>
      <x:c r="Q40" s="58" t="n">
        <x:f>Q32*$B$85</x:f>
        <x:v>826.2975509024615</x:v>
      </x:c>
      <x:c r="R40" s="58" t="n">
        <x:f>R32*$B$85</x:f>
        <x:v>838.6820278175798</x:v>
      </x:c>
      <x:c r="S40" s="58" t="n">
        <x:f>S32*$B$85</x:f>
        <x:v>852.2294600477481</x:v>
      </x:c>
      <x:c r="T40" s="58" t="n">
        <x:f>T32*$B$85</x:f>
        <x:v>866.7608329626064</x:v>
      </x:c>
      <x:c r="U40" s="58" t="n">
        <x:f>U32*$B$85</x:f>
        <x:v>882.1382541349891</x:v>
      </x:c>
      <x:c r="V40" s="58" t="n">
        <x:f>V32*$B$85</x:f>
        <x:v>898.2558965334177</x:v>
      </x:c>
      <x:c r="W40" s="58" t="n">
        <x:f>W32*$B$85</x:f>
        <x:v>915.0329438930388</x:v>
      </x:c>
      <x:c r="X40" s="58" t="n">
        <x:f>X32*$B$85</x:f>
        <x:v>932.4080957960538</x:v>
      </x:c>
      <x:c r="Y40" s="58" t="n">
        <x:f>Y32*$B$85</x:f>
        <x:v>950.3352877785699</x:v>
      </x:c>
      <x:c r="Z40" s="58" t="n">
        <x:f>Z32*$B$85</x:f>
        <x:v>964.9776879254101</x:v>
      </x:c>
      <x:c r="AA40" s="58" t="n">
        <x:f>AA32*$B$85</x:f>
        <x:v>978.3733893995607</x:v>
      </x:c>
      <x:c r="AB40" s="58" t="n">
        <x:f>AB32*$B$85</x:f>
        <x:v>991.075198552981</x:v>
      </x:c>
      <x:c r="AC40" s="58" t="n">
        <x:f>AC32*$B$85</x:f>
        <x:v>1003.2591311656025</x:v>
      </x:c>
      <x:c r="AD40" s="58" t="n">
        <x:f>AD32*$B$85</x:f>
        <x:v>1015.0625301857629</x:v>
      </x:c>
      <x:c r="AE40" s="58" t="n">
        <x:f>AE32*$B$85</x:f>
        <x:v>1026.5926146925456</x:v>
      </x:c>
      <x:c r="AF40" s="58" t="n">
        <x:f>AF32*$B$85</x:f>
        <x:v>1037.9331395601075</x:v>
      </x:c>
      <x:c r="AG40" s="58" t="n">
        <x:f>AG32*$B$85</x:f>
        <x:v>1049.1495833590843</x:v>
      </x:c>
      <x:c r="AH40" s="58" t="n">
        <x:f>AH32*$B$85</x:f>
        <x:v>1060.2931897549051</x:v>
      </x:c>
      <x:c r="AI40" s="58" t="n">
        <x:f>AI32*$B$85</x:f>
        <x:v>1071.4041157804313</x:v>
      </x:c>
      <x:c r="AJ40" s="58" t="n">
        <x:f>AJ32*$B$85</x:f>
        <x:v>1082.5138843639297</x:v>
      </x:c>
      <x:c r="AK40" s="58" t="n">
        <x:f>AK32*$B$85</x:f>
        <x:v>1093.6472948721846</x:v>
      </x:c>
    </x:row>
    <x:row r="41" ht="18" customHeight="1">
      <x:c r="A41" s="4" t="str">
        <x:v>Total gross billings, ex-tax (INR)</x:v>
      </x:c>
      <x:c r="B41" s="58" t="n">
        <x:f>SUM(B39:B40)</x:f>
        <x:v>6675.037777777778</x:v>
      </x:c>
      <x:c r="C41" s="58" t="n">
        <x:f>SUM(C39:C40)</x:f>
        <x:v>6965.38347561676</x:v>
      </x:c>
      <x:c r="D41" s="58" t="n">
        <x:f>SUM(D39:D40)</x:f>
        <x:v>7186.5779758700455</x:v>
      </x:c>
      <x:c r="E41" s="58" t="n">
        <x:f>SUM(E39:E40)</x:f>
        <x:v>7385.824266993657</x:v>
      </x:c>
      <x:c r="F41" s="58" t="n">
        <x:f>SUM(F39:F40)</x:f>
        <x:v>7568.7809764680405</x:v>
      </x:c>
      <x:c r="G41" s="58" t="n">
        <x:f>SUM(G39:G40)</x:f>
        <x:v>7739.880417298353</x:v>
      </x:c>
      <x:c r="H41" s="58" t="n">
        <x:f>SUM(H39:H40)</x:f>
        <x:v>4389.422553001643</x:v>
      </x:c>
      <x:c r="I41" s="58" t="n">
        <x:f>SUM(I39:I40)</x:f>
        <x:v>4443.608398234626</x:v>
      </x:c>
      <x:c r="J41" s="58" t="n">
        <x:f>SUM(J39:J40)</x:f>
        <x:v>4533.661759110315</x:v>
      </x:c>
      <x:c r="K41" s="58" t="n">
        <x:f>SUM(K39:K40)</x:f>
        <x:v>4635.976051739042</x:v>
      </x:c>
      <x:c r="L41" s="58" t="n">
        <x:f>SUM(L39:L40)</x:f>
        <x:v>4748.806491938583</x:v>
      </x:c>
      <x:c r="M41" s="58" t="n">
        <x:f>SUM(M39:M40)</x:f>
        <x:v>4870.8228392830415</x:v>
      </x:c>
      <x:c r="N41" s="58" t="n">
        <x:f>SUM(N39:N40)</x:f>
        <x:v>6138.623892999604</x:v>
      </x:c>
      <x:c r="O41" s="58" t="n">
        <x:f>SUM(O39:O40)</x:f>
        <x:v>6245.796068230027</x:v>
      </x:c>
      <x:c r="P41" s="58" t="n">
        <x:f>SUM(P39:P40)</x:f>
        <x:v>6357.215697754167</x:v>
      </x:c>
      <x:c r="Q41" s="58" t="n">
        <x:f>SUM(Q39:Q40)</x:f>
        <x:v>6472.544881975195</x:v>
      </x:c>
      <x:c r="R41" s="58" t="n">
        <x:f>SUM(R39:R40)</x:f>
        <x:v>6591.533676994275</x:v>
      </x:c>
      <x:c r="S41" s="58" t="n">
        <x:f>SUM(S39:S40)</x:f>
        <x:v>6714.000959922985</x:v>
      </x:c>
      <x:c r="T41" s="58" t="n">
        <x:f>SUM(T39:T40)</x:f>
        <x:v>6218.044383465495</x:v>
      </x:c>
      <x:c r="U41" s="58" t="n">
        <x:f>SUM(U39:U40)</x:f>
        <x:v>6347.1293640245585</x:v>
      </x:c>
      <x:c r="V41" s="58" t="n">
        <x:f>SUM(V39:V40)</x:f>
        <x:v>6479.429173648698</x:v>
      </x:c>
      <x:c r="W41" s="58" t="n">
        <x:f>SUM(W39:W40)</x:f>
        <x:v>6614.918501929385</x:v>
      </x:c>
      <x:c r="X41" s="58" t="n">
        <x:f>SUM(X39:X40)</x:f>
        <x:v>6753.592844833249</x:v>
      </x:c>
      <x:c r="Y41" s="58" t="n">
        <x:f>SUM(Y39:Y40)</x:f>
        <x:v>6895.464256031833</x:v>
      </x:c>
      <x:c r="Z41" s="58" t="n">
        <x:f>SUM(Z39:Z40)</x:f>
        <x:v>7426.2257417441215</x:v>
      </x:c>
      <x:c r="AA41" s="58" t="n">
        <x:f>SUM(AA39:AA40)</x:f>
        <x:v>7514.025182964072</x:v>
      </x:c>
      <x:c r="AB41" s="58" t="n">
        <x:f>SUM(AB39:AB40)</x:f>
        <x:v>7602.160378776089</x:v>
      </x:c>
      <x:c r="AC41" s="58" t="n">
        <x:f>SUM(AC39:AC40)</x:f>
        <x:v>7690.824629502135</x:v>
      </x:c>
      <x:c r="AD41" s="58" t="n">
        <x:f>SUM(AD39:AD40)</x:f>
        <x:v>7780.172913515945</x:v>
      </x:c>
      <x:c r="AE41" s="58" t="n">
        <x:f>SUM(AE39:AE40)</x:f>
        <x:v>7870.330444423232</x:v>
      </x:c>
      <x:c r="AF41" s="58" t="n">
        <x:f>SUM(AF39:AF40)</x:f>
        <x:v>7725.1247834070855</x:v>
      </x:c>
      <x:c r="AG41" s="58" t="n">
        <x:f>SUM(AG39:AG40)</x:f>
        <x:v>7817.189258765163</x:v>
      </x:c>
      <x:c r="AH41" s="58" t="n">
        <x:f>SUM(AH39:AH40)</x:f>
        <x:v>7910.31968168975</x:v>
      </x:c>
      <x:c r="AI41" s="58" t="n">
        <x:f>SUM(AI39:AI40)</x:f>
        <x:v>8004.575726627037</x:v>
      </x:c>
      <x:c r="AJ41" s="58" t="n">
        <x:f>SUM(AJ39:AJ40)</x:f>
        <x:v>8100.00883738814</x:v>
      </x:c>
      <x:c r="AK41" s="58" t="n">
        <x:f>SUM(AK39:AK40)</x:f>
        <x:v>8196.664147263944</x:v>
      </x:c>
    </x:row>
    <x:row r="42" ht="18" customHeight="1">
      <x:c r="A42" s="4" t="str">
        <x:v>Refunds (INR)</x:v>
      </x:c>
      <x:c r="B42" s="58" t="n">
        <x:f>B41*'Scenario Inputs'!$B$29</x:f>
        <x:v>333.7518888888889</x:v>
      </x:c>
      <x:c r="C42" s="58" t="n">
        <x:f>C41*'Scenario Inputs'!$B$29</x:f>
        <x:v>348.269173780838</x:v>
      </x:c>
      <x:c r="D42" s="58" t="n">
        <x:f>D41*'Scenario Inputs'!$B$29</x:f>
        <x:v>359.3288987935023</x:v>
      </x:c>
      <x:c r="E42" s="58" t="n">
        <x:f>E41*'Scenario Inputs'!$B$29</x:f>
        <x:v>369.2912133496829</x:v>
      </x:c>
      <x:c r="F42" s="58" t="n">
        <x:f>F41*'Scenario Inputs'!$B$29</x:f>
        <x:v>378.43904882340206</x:v>
      </x:c>
      <x:c r="G42" s="58" t="n">
        <x:f>G41*'Scenario Inputs'!$B$29</x:f>
        <x:v>386.9940208649177</x:v>
      </x:c>
      <x:c r="H42" s="58" t="n">
        <x:f>H41*'Scenario Inputs'!$B$29</x:f>
        <x:v>219.47112765008217</x:v>
      </x:c>
      <x:c r="I42" s="58" t="n">
        <x:f>I41*'Scenario Inputs'!$B$29</x:f>
        <x:v>222.18041991173132</x:v>
      </x:c>
      <x:c r="J42" s="58" t="n">
        <x:f>J41*'Scenario Inputs'!$B$29</x:f>
        <x:v>226.68308795551576</x:v>
      </x:c>
      <x:c r="K42" s="58" t="n">
        <x:f>K41*'Scenario Inputs'!$B$29</x:f>
        <x:v>231.79880258695212</x:v>
      </x:c>
      <x:c r="L42" s="58" t="n">
        <x:f>L41*'Scenario Inputs'!$B$29</x:f>
        <x:v>237.44032459692917</x:v>
      </x:c>
      <x:c r="M42" s="58" t="n">
        <x:f>M41*'Scenario Inputs'!$B$29</x:f>
        <x:v>243.54114196415208</x:v>
      </x:c>
      <x:c r="N42" s="58" t="n">
        <x:f>N41*'Scenario Inputs'!$B$29</x:f>
        <x:v>306.9311946499802</x:v>
      </x:c>
      <x:c r="O42" s="58" t="n">
        <x:f>O41*'Scenario Inputs'!$B$29</x:f>
        <x:v>312.2898034115014</x:v>
      </x:c>
      <x:c r="P42" s="58" t="n">
        <x:f>P41*'Scenario Inputs'!$B$29</x:f>
        <x:v>317.8607848877084</x:v>
      </x:c>
      <x:c r="Q42" s="58" t="n">
        <x:f>Q41*'Scenario Inputs'!$B$29</x:f>
        <x:v>323.6272440987598</x:v>
      </x:c>
      <x:c r="R42" s="58" t="n">
        <x:f>R41*'Scenario Inputs'!$B$29</x:f>
        <x:v>329.5766838497138</x:v>
      </x:c>
      <x:c r="S42" s="58" t="n">
        <x:f>S41*'Scenario Inputs'!$B$29</x:f>
        <x:v>335.7000479961493</x:v>
      </x:c>
      <x:c r="T42" s="58" t="n">
        <x:f>T41*'Scenario Inputs'!$B$29</x:f>
        <x:v>310.9022191732748</x:v>
      </x:c>
      <x:c r="U42" s="58" t="n">
        <x:f>U41*'Scenario Inputs'!$B$29</x:f>
        <x:v>317.3564682012279</x:v>
      </x:c>
      <x:c r="V42" s="58" t="n">
        <x:f>V41*'Scenario Inputs'!$B$29</x:f>
        <x:v>323.97145868243496</x:v>
      </x:c>
      <x:c r="W42" s="58" t="n">
        <x:f>W41*'Scenario Inputs'!$B$29</x:f>
        <x:v>330.74592509646925</x:v>
      </x:c>
      <x:c r="X42" s="58" t="n">
        <x:f>X41*'Scenario Inputs'!$B$29</x:f>
        <x:v>337.67964224166246</x:v>
      </x:c>
      <x:c r="Y42" s="58" t="n">
        <x:f>Y41*'Scenario Inputs'!$B$29</x:f>
        <x:v>344.7732128015917</x:v>
      </x:c>
      <x:c r="Z42" s="58" t="n">
        <x:f>Z41*'Scenario Inputs'!$B$29</x:f>
        <x:v>371.3112870872061</x:v>
      </x:c>
      <x:c r="AA42" s="58" t="n">
        <x:f>AA41*'Scenario Inputs'!$B$29</x:f>
        <x:v>375.70125914820363</x:v>
      </x:c>
      <x:c r="AB42" s="58" t="n">
        <x:f>AB41*'Scenario Inputs'!$B$29</x:f>
        <x:v>380.10801893880443</x:v>
      </x:c>
      <x:c r="AC42" s="58" t="n">
        <x:f>AC41*'Scenario Inputs'!$B$29</x:f>
        <x:v>384.54123147510677</x:v>
      </x:c>
      <x:c r="AD42" s="58" t="n">
        <x:f>AD41*'Scenario Inputs'!$B$29</x:f>
        <x:v>389.00864567579725</x:v>
      </x:c>
      <x:c r="AE42" s="58" t="n">
        <x:f>AE41*'Scenario Inputs'!$B$29</x:f>
        <x:v>393.5165222211616</x:v>
      </x:c>
      <x:c r="AF42" s="58" t="n">
        <x:f>AF41*'Scenario Inputs'!$B$29</x:f>
        <x:v>386.2562391703543</x:v>
      </x:c>
      <x:c r="AG42" s="58" t="n">
        <x:f>AG41*'Scenario Inputs'!$B$29</x:f>
        <x:v>390.85946293825816</x:v>
      </x:c>
      <x:c r="AH42" s="58" t="n">
        <x:f>AH41*'Scenario Inputs'!$B$29</x:f>
        <x:v>395.5159840844875</x:v>
      </x:c>
      <x:c r="AI42" s="58" t="n">
        <x:f>AI41*'Scenario Inputs'!$B$29</x:f>
        <x:v>400.22878633135184</x:v>
      </x:c>
      <x:c r="AJ42" s="58" t="n">
        <x:f>AJ41*'Scenario Inputs'!$B$29</x:f>
        <x:v>405.00044186940704</x:v>
      </x:c>
      <x:c r="AK42" s="58" t="n">
        <x:f>AK41*'Scenario Inputs'!$B$29</x:f>
        <x:v>409.83320736319723</x:v>
      </x:c>
    </x:row>
    <x:row r="43" ht="18" customHeight="1">
      <x:c r="A43" s="4" t="str">
        <x:v>Net billings, ex-tax (INR)</x:v>
      </x:c>
      <x:c r="B43" s="58" t="n">
        <x:f>B41-B42</x:f>
        <x:v>6341.285888888889</x:v>
      </x:c>
      <x:c r="C43" s="58" t="n">
        <x:f>C41-C42</x:f>
        <x:v>6617.114301835922</x:v>
      </x:c>
      <x:c r="D43" s="58" t="n">
        <x:f>D41-D42</x:f>
        <x:v>6827.2490770765435</x:v>
      </x:c>
      <x:c r="E43" s="58" t="n">
        <x:f>E41-E42</x:f>
        <x:v>7016.533053643974</x:v>
      </x:c>
      <x:c r="F43" s="58" t="n">
        <x:f>F41-F42</x:f>
        <x:v>7190.341927644638</x:v>
      </x:c>
      <x:c r="G43" s="58" t="n">
        <x:f>G41-G42</x:f>
        <x:v>7352.886396433435</x:v>
      </x:c>
      <x:c r="H43" s="58" t="n">
        <x:f>H41-H42</x:f>
        <x:v>4169.951425351561</x:v>
      </x:c>
      <x:c r="I43" s="58" t="n">
        <x:f>I41-I42</x:f>
        <x:v>4221.427978322895</x:v>
      </x:c>
      <x:c r="J43" s="58" t="n">
        <x:f>J41-J42</x:f>
        <x:v>4306.9786711547995</x:v>
      </x:c>
      <x:c r="K43" s="58" t="n">
        <x:f>K41-K42</x:f>
        <x:v>4404.177249152091</x:v>
      </x:c>
      <x:c r="L43" s="58" t="n">
        <x:f>L41-L42</x:f>
        <x:v>4511.366167341655</x:v>
      </x:c>
      <x:c r="M43" s="58" t="n">
        <x:f>M41-M42</x:f>
        <x:v>4627.281697318889</x:v>
      </x:c>
      <x:c r="N43" s="58" t="n">
        <x:f>N41-N42</x:f>
        <x:v>5831.692698349624</x:v>
      </x:c>
      <x:c r="O43" s="58" t="n">
        <x:f>O41-O42</x:f>
        <x:v>5933.506264818526</x:v>
      </x:c>
      <x:c r="P43" s="58" t="n">
        <x:f>P41-P42</x:f>
        <x:v>6039.354912866459</x:v>
      </x:c>
      <x:c r="Q43" s="58" t="n">
        <x:f>Q41-Q42</x:f>
        <x:v>6148.917637876435</x:v>
      </x:c>
      <x:c r="R43" s="58" t="n">
        <x:f>R41-R42</x:f>
        <x:v>6261.956993144561</x:v>
      </x:c>
      <x:c r="S43" s="58" t="n">
        <x:f>S41-S42</x:f>
        <x:v>6378.300911926836</x:v>
      </x:c>
      <x:c r="T43" s="58" t="n">
        <x:f>T41-T42</x:f>
        <x:v>5907.1421642922205</x:v>
      </x:c>
      <x:c r="U43" s="58" t="n">
        <x:f>U41-U42</x:f>
        <x:v>6029.772895823331</x:v>
      </x:c>
      <x:c r="V43" s="58" t="n">
        <x:f>V41-V42</x:f>
        <x:v>6155.457714966264</x:v>
      </x:c>
      <x:c r="W43" s="58" t="n">
        <x:f>W41-W42</x:f>
        <x:v>6284.172576832915</x:v>
      </x:c>
      <x:c r="X43" s="58" t="n">
        <x:f>X41-X42</x:f>
        <x:v>6415.913202591586</x:v>
      </x:c>
      <x:c r="Y43" s="58" t="n">
        <x:f>Y41-Y42</x:f>
        <x:v>6550.691043230242</x:v>
      </x:c>
      <x:c r="Z43" s="58" t="n">
        <x:f>Z41-Z42</x:f>
        <x:v>7054.914454656915</x:v>
      </x:c>
      <x:c r="AA43" s="58" t="n">
        <x:f>AA41-AA42</x:f>
        <x:v>7138.3239238158685</x:v>
      </x:c>
      <x:c r="AB43" s="58" t="n">
        <x:f>AB41-AB42</x:f>
        <x:v>7222.052359837284</x:v>
      </x:c>
      <x:c r="AC43" s="58" t="n">
        <x:f>AC41-AC42</x:f>
        <x:v>7306.283398027029</x:v>
      </x:c>
      <x:c r="AD43" s="58" t="n">
        <x:f>AD41-AD42</x:f>
        <x:v>7391.164267840148</x:v>
      </x:c>
      <x:c r="AE43" s="58" t="n">
        <x:f>AE41-AE42</x:f>
        <x:v>7476.81392220207</x:v>
      </x:c>
      <x:c r="AF43" s="58" t="n">
        <x:f>AF41-AF42</x:f>
        <x:v>7338.868544236731</x:v>
      </x:c>
      <x:c r="AG43" s="58" t="n">
        <x:f>AG41-AG42</x:f>
        <x:v>7426.329795826905</x:v>
      </x:c>
      <x:c r="AH43" s="58" t="n">
        <x:f>AH41-AH42</x:f>
        <x:v>7514.803697605263</x:v>
      </x:c>
      <x:c r="AI43" s="58" t="n">
        <x:f>AI41-AI42</x:f>
        <x:v>7604.346940295684</x:v>
      </x:c>
      <x:c r="AJ43" s="58" t="n">
        <x:f>AJ41-AJ42</x:f>
        <x:v>7695.008395518733</x:v>
      </x:c>
      <x:c r="AK43" s="58" t="n">
        <x:f>AK41-AK42</x:f>
        <x:v>7786.830939900747</x:v>
      </x:c>
    </x:row>
    <x:row r="44" ht="18" customHeight="1">
      <x:c r="A44" s="4" t="str">
        <x:v>Payment / store fees (INR)</x:v>
      </x:c>
      <x:c r="B44" s="58" t="n">
        <x:f>B25*$B$86+B32*$B$87</x:f>
        <x:v>657.5392911111112</x:v>
      </x:c>
      <x:c r="C44" s="58" t="n">
        <x:f>C25*$B$86+C32*$B$87</x:f>
        <x:v>689.6629940315348</x:v>
      </x:c>
      <x:c r="D44" s="58" t="n">
        <x:f>D25*$B$86+D32*$B$87</x:f>
        <x:v>713.67748394795</x:v>
      </x:c>
      <x:c r="E44" s="58" t="n">
        <x:f>E25*$B$86+E32*$B$87</x:f>
        <x:v>735.08161433801</x:v>
      </x:c>
      <x:c r="F44" s="58" t="n">
        <x:f>F25*$B$86+F32*$B$87</x:f>
        <x:v>754.5331799393944</x:v>
      </x:c>
      <x:c r="G44" s="58" t="n">
        <x:f>G25*$B$86+G32*$B$87</x:f>
        <x:v>772.5470300112266</x:v>
      </x:c>
      <x:c r="H44" s="58" t="n">
        <x:f>H25*$B$86+H32*$B$87</x:f>
        <x:v>443.4534209884769</x:v>
      </x:c>
      <x:c r="I44" s="58" t="n">
        <x:f>I25*$B$86+I32*$B$87</x:f>
        <x:v>447.72660101554277</x:v>
      </x:c>
      <x:c r="J44" s="58" t="n">
        <x:f>J25*$B$86+J32*$B$87</x:f>
        <x:v>456.1180646328059</x:v>
      </x:c>
      <x:c r="K44" s="58" t="n">
        <x:f>K25*$B$86+K32*$B$87</x:f>
        <x:v>465.8751860639047</x:v>
      </x:c>
      <x:c r="L44" s="58" t="n">
        <x:f>L25*$B$86+L32*$B$87</x:f>
        <x:v>476.79276007017916</x:v>
      </x:c>
      <x:c r="M44" s="58" t="n">
        <x:f>M25*$B$86+M32*$B$87</x:f>
        <x:v>488.71382992485877</x:v>
      </x:c>
      <x:c r="N44" s="58" t="n">
        <x:f>N25*$B$86+N32*$B$87</x:f>
        <x:v>612.0158375920946</x:v>
      </x:c>
      <x:c r="O44" s="58" t="n">
        <x:f>O25*$B$86+O32*$B$87</x:f>
        <x:v>622.5706143977035</x:v>
      </x:c>
      <x:c r="P44" s="58" t="n">
        <x:f>P25*$B$86+P32*$B$87</x:f>
        <x:v>633.5784119103653</x:v>
      </x:c>
      <x:c r="Q44" s="58" t="n">
        <x:f>Q25*$B$86+Q32*$B$87</x:f>
        <x:v>644.9989201066542</x:v>
      </x:c>
      <x:c r="R44" s="58" t="n">
        <x:f>R25*$B$86+R32*$B$87</x:f>
        <x:v>656.8020564801352</x:v>
      </x:c>
      <x:c r="S44" s="58" t="n">
        <x:f>S25*$B$86+S32*$B$87</x:f>
        <x:v>668.9657358256671</x:v>
      </x:c>
      <x:c r="T44" s="58" t="n">
        <x:f>T25*$B$86+T32*$B$87</x:f>
        <x:v>621.0487947993165</x:v>
      </x:c>
      <x:c r="U44" s="58" t="n">
        <x:f>U25*$B$86+U32*$B$87</x:f>
        <x:v>633.8909950717625</x:v>
      </x:c>
      <x:c r="V44" s="58" t="n">
        <x:f>V25*$B$86+V32*$B$87</x:f>
        <x:v>647.0599379043945</x:v>
      </x:c>
      <x:c r="W44" s="58" t="n">
        <x:f>W25*$B$86+W32*$B$87</x:f>
        <x:v>660.5516002420776</x:v>
      </x:c>
      <x:c r="X44" s="58" t="n">
        <x:f>X25*$B$86+X32*$B$87</x:f>
        <x:v>674.3643585561022</x:v>
      </x:c>
      <x:c r="Y44" s="58" t="n">
        <x:f>Y25*$B$86+Y32*$B$87</x:f>
        <x:v>688.4984931581765</x:v>
      </x:c>
      <x:c r="Z44" s="58" t="n">
        <x:f>Z25*$B$86+Z32*$B$87</x:f>
        <x:v>740.3621923205226</x:v>
      </x:c>
      <x:c r="AA44" s="58" t="n">
        <x:f>AA25*$B$86+AA32*$B$87</x:f>
        <x:v>749.1538470898663</x:v>
      </x:c>
      <x:c r="AB44" s="58" t="n">
        <x:f>AB25*$B$86+AB32*$B$87</x:f>
        <x:v>757.964708246332</x:v>
      </x:c>
      <x:c r="AC44" s="58" t="n">
        <x:f>AC25*$B$86+AC32*$B$87</x:f>
        <x:v>766.8169660116232</x:v>
      </x:c>
      <x:c r="AD44" s="58" t="n">
        <x:f>AD25*$B$86+AD32*$B$87</x:f>
        <x:v>775.728338303218</x:v>
      </x:c>
      <x:c r="AE44" s="58" t="n">
        <x:f>AE25*$B$86+AE32*$B$87</x:f>
        <x:v>784.7130677123455</x:v>
      </x:c>
      <x:c r="AF44" s="58" t="n">
        <x:f>AF25*$B$86+AF32*$B$87</x:f>
        <x:v>770.8210696001581</x:v>
      </x:c>
      <x:c r="AG44" s="58" t="n">
        <x:f>AG25*$B$86+AG32*$B$87</x:f>
        <x:v>779.9850524622692</x:v>
      </x:c>
      <x:c r="AH44" s="58" t="n">
        <x:f>AH25*$B$86+AH32*$B$87</x:f>
        <x:v>789.2512172241309</x:v>
      </x:c>
      <x:c r="AI44" s="58" t="n">
        <x:f>AI25*$B$86+AI32*$B$87</x:f>
        <x:v>798.6261399788966</x:v>
      </x:c>
      <x:c r="AJ44" s="58" t="n">
        <x:f>AJ25*$B$86+AJ32*$B$87</x:f>
        <x:v>808.1154299290246</x:v>
      </x:c>
      <x:c r="AK44" s="58" t="n">
        <x:f>AK25*$B$86+AK32*$B$87</x:f>
        <x:v>817.7239529450859</x:v>
      </x:c>
    </x:row>
    <x:row r="45" ht="18" customHeight="1">
      <x:c r="A45" s="4" t="str">
        <x:v>Billing / entitlement reserve (INR)</x:v>
      </x:c>
      <x:c r="B45" s="58" t="n">
        <x:f>B25*$B$88+B32*$B$89</x:f>
        <x:v>73.00137777777779</x:v>
      </x:c>
      <x:c r="C45" s="58" t="n">
        <x:f>C25*$B$88+C32*$B$89</x:f>
        <x:v>76.16163530277777</x:v>
      </x:c>
      <x:c r="D45" s="58" t="n">
        <x:f>D25*$B$88+D32*$B$89</x:f>
        <x:v>78.57118396771529</x:v>
      </x:c>
      <x:c r="E45" s="58" t="n">
        <x:f>E25*$B$88+E32*$B$89</x:f>
        <x:v>80.74261841782923</x:v>
      </x:c>
      <x:c r="F45" s="58" t="n">
        <x:f>F25*$B$88+F32*$B$89</x:f>
        <x:v>82.73739377579942</x:v>
      </x:c>
      <x:c r="G45" s="58" t="n">
        <x:f>G25*$B$88+G32*$B$89</x:f>
        <x:v>84.60364853862964</x:v>
      </x:c>
      <x:c r="H45" s="58" t="n">
        <x:f>H25*$B$88+H32*$B$89</x:f>
        <x:v>47.9573777228371</x:v>
      </x:c>
      <x:c r="I45" s="58" t="n">
        <x:f>I25*$B$88+I32*$B$89</x:f>
        <x:v>48.554543233016375</x:v>
      </x:c>
      <x:c r="J45" s="58" t="n">
        <x:f>J25*$B$88+J32*$B$89</x:f>
        <x:v>49.54146477196757</x:v>
      </x:c>
      <x:c r="K45" s="58" t="n">
        <x:f>K25*$B$88+K32*$B$89</x:f>
        <x:v>50.661800918613984</x:v>
      </x:c>
      <x:c r="L45" s="58" t="n">
        <x:f>L25*$B$88+L32*$B$89</x:f>
        <x:v>51.89661277268908</x:v>
      </x:c>
      <x:c r="M45" s="58" t="n">
        <x:f>M25*$B$88+M32*$B$89</x:f>
        <x:v>53.231463302726226</x:v>
      </x:c>
      <x:c r="N45" s="58" t="n">
        <x:f>N25*$B$88+N32*$B$89</x:f>
        <x:v>67.10353359975932</x:v>
      </x:c>
      <x:c r="O45" s="58" t="n">
        <x:f>O25*$B$88+O32*$B$89</x:f>
        <x:v>68.27562983947773</x:v>
      </x:c>
      <x:c r="P45" s="58" t="n">
        <x:f>P25*$B$88+P32*$B$89</x:f>
        <x:v>69.49402986012358</x:v>
      </x:c>
      <x:c r="Q45" s="58" t="n">
        <x:f>Q25*$B$88+Q32*$B$89</x:f>
        <x:v>70.7550683443787</x:v>
      </x:c>
      <x:c r="R45" s="58" t="n">
        <x:f>R25*$B$88+R32*$B$89</x:f>
        <x:v>72.05603519873571</x:v>
      </x:c>
      <x:c r="S45" s="58" t="n">
        <x:f>S25*$B$88+S32*$B$89</x:f>
        <x:v>73.39496776777894</x:v>
      </x:c>
      <x:c r="T45" s="58" t="n">
        <x:f>T25*$B$88+T32*$B$89</x:f>
        <x:v>67.9669289368222</x:v>
      </x:c>
      <x:c r="U45" s="58" t="n">
        <x:f>U25*$B$88+U32*$B$89</x:f>
        <x:v>69.3781216256376</x:v>
      </x:c>
      <x:c r="V45" s="58" t="n">
        <x:f>V25*$B$88+V32*$B$89</x:f>
        <x:v>70.82443008895534</x:v>
      </x:c>
      <x:c r="W45" s="58" t="n">
        <x:f>W25*$B$88+W32*$B$89</x:f>
        <x:v>72.30558407815663</x:v>
      </x:c>
      <x:c r="X45" s="58" t="n">
        <x:f>X25*$B$88+X32*$B$89</x:f>
        <x:v>73.82153939282946</x:v>
      </x:c>
      <x:c r="Y45" s="58" t="n">
        <x:f>Y25*$B$88+Y32*$B$89</x:f>
        <x:v>75.37243174607556</x:v>
      </x:c>
      <x:c r="Z45" s="58" t="n">
        <x:f>Z25*$B$88+Z32*$B$89</x:f>
        <x:v>81.1788920188952</x:v>
      </x:c>
      <x:c r="AA45" s="58" t="n">
        <x:f>AA25*$B$88+AA32*$B$89</x:f>
        <x:v>82.13849626842243</x:v>
      </x:c>
      <x:c r="AB45" s="58" t="n">
        <x:f>AB25*$B$88+AB32*$B$89</x:f>
        <x:v>83.10183193873824</x:v>
      </x:c>
      <x:c r="AC45" s="58" t="n">
        <x:f>AC25*$B$88+AC32*$B$89</x:f>
        <x:v>84.0709995556063</x:v>
      </x:c>
      <x:c r="AD45" s="58" t="n">
        <x:f>AD25*$B$88+AD32*$B$89</x:f>
        <x:v>85.04768352708444</x:v>
      </x:c>
      <x:c r="AE45" s="58" t="n">
        <x:f>AE25*$B$88+AE32*$B$89</x:f>
        <x:v>86.03324506858405</x:v>
      </x:c>
      <x:c r="AF45" s="58" t="n">
        <x:f>AF25*$B$88+AF32*$B$89</x:f>
        <x:v>84.44344177169447</x:v>
      </x:c>
      <x:c r="AG45" s="58" t="n">
        <x:f>AG25*$B$88+AG32*$B$89</x:f>
        <x:v>85.44989540427734</x:v>
      </x:c>
      <x:c r="AH45" s="58" t="n">
        <x:f>AH25*$B$88+AH32*$B$89</x:f>
        <x:v>86.46801884063314</x:v>
      </x:c>
      <x:c r="AI45" s="58" t="n">
        <x:f>AI25*$B$88+AI32*$B$89</x:f>
        <x:v>87.49846171773322</x:v>
      </x:c>
      <x:c r="AJ45" s="58" t="n">
        <x:f>AJ25*$B$88+AJ32*$B$89</x:f>
        <x:v>88.54178432765798</x:v>
      </x:c>
      <x:c r="AK45" s="58" t="n">
        <x:f>AK25*$B$88+AK32*$B$89</x:f>
        <x:v>89.59847846935683</x:v>
      </x:c>
    </x:row>
    <x:row r="46" ht="18" customHeight="1">
      <x:c r="A46" s="4" t="str">
        <x:v>Paid users: AI cost (INR)</x:v>
      </x:c>
      <x:c r="B46" s="58" t="n">
        <x:f>B34*'Commercial Inputs'!$B$24*$B$90</x:f>
        <x:v>25.8115</x:v>
      </x:c>
      <x:c r="C46" s="58" t="n">
        <x:f>C34*'Commercial Inputs'!$B$24*$B$90</x:f>
        <x:v>46.817815687499994</x:v>
      </x:c>
      <x:c r="D46" s="58" t="n">
        <x:f>D34*'Commercial Inputs'!$B$24*$B$90</x:f>
        <x:v>66.65120120140625</x:v>
      </x:c>
      <x:c r="E46" s="58" t="n">
        <x:f>E34*'Commercial Inputs'!$B$24*$B$90</x:f>
        <x:v>86.24998211541767</x:v>
      </x:c>
      <x:c r="F46" s="58" t="n">
        <x:f>F34*'Commercial Inputs'!$B$24*$B$90</x:f>
        <x:v>105.73191869657134</x:v>
      </x:c>
      <x:c r="G46" s="58" t="n">
        <x:f>G34*'Commercial Inputs'!$B$24*$B$90</x:f>
        <x:v>125.19072357240303</x:v>
      </x:c>
      <x:c r="H46" s="58" t="n">
        <x:f>H34*'Commercial Inputs'!$B$24*$B$90</x:f>
        <x:v>131.11643558066226</x:v>
      </x:c>
      <x:c r="I46" s="58" t="n">
        <x:f>I34*'Commercial Inputs'!$B$24*$B$90</x:f>
        <x:v>139.8767021528821</x:v>
      </x:c>
      <x:c r="J46" s="58" t="n">
        <x:f>J34*'Commercial Inputs'!$B$24*$B$90</x:f>
        <x:v>149.57625125764838</x:v>
      </x:c>
      <x:c r="K46" s="58" t="n">
        <x:f>K34*'Commercial Inputs'!$B$24*$B$90</x:f>
        <x:v>159.75563839867792</x:v>
      </x:c>
      <x:c r="L46" s="58" t="n">
        <x:f>L34*'Commercial Inputs'!$B$24*$B$90</x:f>
        <x:v>170.38752252160901</x:v>
      </x:c>
      <x:c r="M46" s="58" t="n">
        <x:f>M34*'Commercial Inputs'!$B$24*$B$90</x:f>
        <x:v>181.4529660396435</x:v>
      </x:c>
      <x:c r="N46" s="58" t="n">
        <x:f>N34*'Commercial Inputs'!$B$24*$B$90</x:f>
        <x:v>179.18065039584758</x:v>
      </x:c>
      <x:c r="O46" s="58" t="n">
        <x:f>O34*'Commercial Inputs'!$B$24*$B$90</x:f>
        <x:v>176.98556999464083</x:v>
      </x:c>
      <x:c r="P46" s="58" t="n">
        <x:f>P34*'Commercial Inputs'!$B$24*$B$90</x:f>
        <x:v>174.8615840288595</x:v>
      </x:c>
      <x:c r="Q46" s="58" t="n">
        <x:f>Q34*'Commercial Inputs'!$B$24*$B$90</x:f>
        <x:v>172.7996720944179</x:v>
      </x:c>
      <x:c r="R46" s="58" t="n">
        <x:f>R34*'Commercial Inputs'!$B$24*$B$90</x:f>
        <x:v>170.79244185900873</x:v>
      </x:c>
      <x:c r="S46" s="58" t="n">
        <x:f>S34*'Commercial Inputs'!$B$24*$B$90</x:f>
        <x:v>168.83374697148443</x:v>
      </x:c>
      <x:c r="T46" s="58" t="n">
        <x:f>T34*'Commercial Inputs'!$B$24*$B$90</x:f>
        <x:v>174.0708910181895</x:v>
      </x:c>
      <x:c r="U46" s="58" t="n">
        <x:f>U34*'Commercial Inputs'!$B$24*$B$90</x:f>
        <x:v>179.34688653098667</x:v>
      </x:c>
      <x:c r="V46" s="58" t="n">
        <x:f>V34*'Commercial Inputs'!$B$24*$B$90</x:f>
        <x:v>184.6577796381384</x:v>
      </x:c>
      <x:c r="W46" s="58" t="n">
        <x:f>W34*'Commercial Inputs'!$B$24*$B$90</x:f>
        <x:v>190.00000413249435</x:v>
      </x:c>
      <x:c r="X46" s="58" t="n">
        <x:f>X34*'Commercial Inputs'!$B$24*$B$90</x:f>
        <x:v>195.37026871118294</x:v>
      </x:c>
      <x:c r="Y46" s="58" t="n">
        <x:f>Y34*'Commercial Inputs'!$B$24*$B$90</x:f>
        <x:v>200.76546807269384</x:v>
      </x:c>
      <x:c r="Z46" s="58" t="n">
        <x:f>Z34*'Commercial Inputs'!$B$24*$B$90</x:f>
        <x:v>204.08069113772322</x:v>
      </x:c>
      <x:c r="AA46" s="58" t="n">
        <x:f>AA34*'Commercial Inputs'!$B$24*$B$90</x:f>
        <x:v>207.30233389154458</x:v>
      </x:c>
      <x:c r="AB46" s="58" t="n">
        <x:f>AB34*'Commercial Inputs'!$B$24*$B$90</x:f>
        <x:v>210.43824843360693</x:v>
      </x:c>
      <x:c r="AC46" s="58" t="n">
        <x:f>AC34*'Commercial Inputs'!$B$24*$B$90</x:f>
        <x:v>213.4887591937227</x:v>
      </x:c>
      <x:c r="AD46" s="58" t="n">
        <x:f>AD34*'Commercial Inputs'!$B$24*$B$90</x:f>
        <x:v>216.45334062332256</x:v>
      </x:c>
      <x:c r="AE46" s="58" t="n">
        <x:f>AE34*'Commercial Inputs'!$B$24*$B$90</x:f>
        <x:v>219.3307839644088</x:v>
      </x:c>
      <x:c r="AF46" s="58" t="n">
        <x:f>AF34*'Commercial Inputs'!$B$24*$B$90</x:f>
        <x:v>223.1595300923715</x:v>
      </x:c>
      <x:c r="AG46" s="58" t="n">
        <x:f>AG34*'Commercial Inputs'!$B$24*$B$90</x:f>
        <x:v>226.89715943009756</x:v>
      </x:c>
      <x:c r="AH46" s="58" t="n">
        <x:f>AH34*'Commercial Inputs'!$B$24*$B$90</x:f>
        <x:v>230.54107985780144</x:v>
      </x:c>
      <x:c r="AI46" s="58" t="n">
        <x:f>AI34*'Commercial Inputs'!$B$24*$B$90</x:f>
        <x:v>234.0883831228872</x:v>
      </x:c>
      <x:c r="AJ46" s="58" t="n">
        <x:f>AJ34*'Commercial Inputs'!$B$24*$B$90</x:f>
        <x:v>237.5358908978622</x:v>
      </x:c>
      <x:c r="AK46" s="58" t="n">
        <x:f>AK34*'Commercial Inputs'!$B$24*$B$90</x:f>
        <x:v>240.8801900725234</x:v>
      </x:c>
    </x:row>
    <x:row r="47" ht="18" customHeight="1">
      <x:c r="A47" s="4" t="str">
        <x:v>Free users: AI cost (INR)</x:v>
      </x:c>
      <x:c r="B47" s="58" t="n">
        <x:f>B35*'Commercial Inputs'!$B$25*$B$90</x:f>
        <x:v>193.05</x:v>
      </x:c>
      <x:c r="C47" s="58" t="n">
        <x:f>C35*'Commercial Inputs'!$B$25*$B$90</x:f>
        <x:v>193.05</x:v>
      </x:c>
      <x:c r="D47" s="58" t="n">
        <x:f>D35*'Commercial Inputs'!$B$25*$B$90</x:f>
        <x:v>193.05</x:v>
      </x:c>
      <x:c r="E47" s="58" t="n">
        <x:f>E35*'Commercial Inputs'!$B$25*$B$90</x:f>
        <x:v>193.05</x:v>
      </x:c>
      <x:c r="F47" s="58" t="n">
        <x:f>F35*'Commercial Inputs'!$B$25*$B$90</x:f>
        <x:v>193.05</x:v>
      </x:c>
      <x:c r="G47" s="58" t="n">
        <x:f>G35*'Commercial Inputs'!$B$25*$B$90</x:f>
        <x:v>193.05</x:v>
      </x:c>
      <x:c r="H47" s="58" t="n">
        <x:f>H35*'Commercial Inputs'!$B$25*$B$90</x:f>
        <x:v>193.05</x:v>
      </x:c>
      <x:c r="I47" s="58" t="n">
        <x:f>I35*'Commercial Inputs'!$B$25*$B$90</x:f>
        <x:v>193.05</x:v>
      </x:c>
      <x:c r="J47" s="58" t="n">
        <x:f>J35*'Commercial Inputs'!$B$25*$B$90</x:f>
        <x:v>193.05</x:v>
      </x:c>
      <x:c r="K47" s="58" t="n">
        <x:f>K35*'Commercial Inputs'!$B$25*$B$90</x:f>
        <x:v>193.05</x:v>
      </x:c>
      <x:c r="L47" s="58" t="n">
        <x:f>L35*'Commercial Inputs'!$B$25*$B$90</x:f>
        <x:v>204.46502702593082</x:v>
      </x:c>
      <x:c r="M47" s="58" t="n">
        <x:f>M35*'Commercial Inputs'!$B$25*$B$90</x:f>
        <x:v>217.74355924757222</x:v>
      </x:c>
      <x:c r="N47" s="58" t="n">
        <x:f>N35*'Commercial Inputs'!$B$25*$B$90</x:f>
        <x:v>215.0167804750171</x:v>
      </x:c>
      <x:c r="O47" s="58" t="n">
        <x:f>O35*'Commercial Inputs'!$B$25*$B$90</x:f>
        <x:v>212.38268399356903</x:v>
      </x:c>
      <x:c r="P47" s="58" t="n">
        <x:f>P35*'Commercial Inputs'!$B$25*$B$90</x:f>
        <x:v>209.83390083463144</x:v>
      </x:c>
      <x:c r="Q47" s="58" t="n">
        <x:f>Q35*'Commercial Inputs'!$B$25*$B$90</x:f>
        <x:v>207.3596065133015</x:v>
      </x:c>
      <x:c r="R47" s="58" t="n">
        <x:f>R35*'Commercial Inputs'!$B$25*$B$90</x:f>
        <x:v>204.95093023081048</x:v>
      </x:c>
      <x:c r="S47" s="58" t="n">
        <x:f>S35*'Commercial Inputs'!$B$25*$B$90</x:f>
        <x:v>202.6004963657813</x:v>
      </x:c>
      <x:c r="T47" s="58" t="n">
        <x:f>T35*'Commercial Inputs'!$B$25*$B$90</x:f>
        <x:v>208.88506922182742</x:v>
      </x:c>
      <x:c r="U47" s="58" t="n">
        <x:f>U35*'Commercial Inputs'!$B$25*$B$90</x:f>
        <x:v>215.216263837184</x:v>
      </x:c>
      <x:c r="V47" s="58" t="n">
        <x:f>V35*'Commercial Inputs'!$B$25*$B$90</x:f>
        <x:v>221.5893355657661</x:v>
      </x:c>
      <x:c r="W47" s="58" t="n">
        <x:f>W35*'Commercial Inputs'!$B$25*$B$90</x:f>
        <x:v>228.00000495899323</x:v>
      </x:c>
      <x:c r="X47" s="58" t="n">
        <x:f>X35*'Commercial Inputs'!$B$25*$B$90</x:f>
        <x:v>234.44432245341952</x:v>
      </x:c>
      <x:c r="Y47" s="58" t="n">
        <x:f>Y35*'Commercial Inputs'!$B$25*$B$90</x:f>
        <x:v>240.91856168723265</x:v>
      </x:c>
      <x:c r="Z47" s="58" t="n">
        <x:f>Z35*'Commercial Inputs'!$B$25*$B$90</x:f>
        <x:v>244.8968293652679</x:v>
      </x:c>
      <x:c r="AA47" s="58" t="n">
        <x:f>AA35*'Commercial Inputs'!$B$25*$B$90</x:f>
        <x:v>248.76280066985353</x:v>
      </x:c>
      <x:c r="AB47" s="58" t="n">
        <x:f>AB35*'Commercial Inputs'!$B$25*$B$90</x:f>
        <x:v>252.52589812032832</x:v>
      </x:c>
      <x:c r="AC47" s="58" t="n">
        <x:f>AC35*'Commercial Inputs'!$B$25*$B$90</x:f>
        <x:v>256.1865110324672</x:v>
      </x:c>
      <x:c r="AD47" s="58" t="n">
        <x:f>AD35*'Commercial Inputs'!$B$25*$B$90</x:f>
        <x:v>259.7440087479871</x:v>
      </x:c>
      <x:c r="AE47" s="58" t="n">
        <x:f>AE35*'Commercial Inputs'!$B$25*$B$90</x:f>
        <x:v>263.1969407572905</x:v>
      </x:c>
      <x:c r="AF47" s="58" t="n">
        <x:f>AF35*'Commercial Inputs'!$B$25*$B$90</x:f>
        <x:v>267.79143611084584</x:v>
      </x:c>
      <x:c r="AG47" s="58" t="n">
        <x:f>AG35*'Commercial Inputs'!$B$25*$B$90</x:f>
        <x:v>272.27659131611705</x:v>
      </x:c>
      <x:c r="AH47" s="58" t="n">
        <x:f>AH35*'Commercial Inputs'!$B$25*$B$90</x:f>
        <x:v>276.64929582936173</x:v>
      </x:c>
      <x:c r="AI47" s="58" t="n">
        <x:f>AI35*'Commercial Inputs'!$B$25*$B$90</x:f>
        <x:v>280.9060597474646</x:v>
      </x:c>
      <x:c r="AJ47" s="58" t="n">
        <x:f>AJ35*'Commercial Inputs'!$B$25*$B$90</x:f>
        <x:v>285.0430690774346</x:v>
      </x:c>
      <x:c r="AK47" s="58" t="n">
        <x:f>AK35*'Commercial Inputs'!$B$25*$B$90</x:f>
        <x:v>289.05622808702805</x:v>
      </x:c>
    </x:row>
    <x:row r="48" ht="18" customHeight="1">
      <x:c r="A48" s="4" t="str">
        <x:v>Variable support/tools (INR)</x:v>
      </x:c>
      <x:c r="B48" s="58" t="n">
        <x:f>B34*'Commercial Inputs'!$B$28</x:f>
        <x:v>20.055555555555557</x:v>
      </x:c>
      <x:c r="C48" s="58" t="n">
        <x:f>C34*'Commercial Inputs'!$B$28</x:f>
        <x:v>36.37747916666666</x:v>
      </x:c>
      <x:c r="D48" s="58" t="n">
        <x:f>D34*'Commercial Inputs'!$B$28</x:f>
        <x:v>51.78803512152777</x:v>
      </x:c>
      <x:c r="E48" s="58" t="n">
        <x:f>E34*'Commercial Inputs'!$B$28</x:f>
        <x:v>67.01630311998264</x:v>
      </x:c>
      <x:c r="F48" s="58" t="n">
        <x:f>F34*'Commercial Inputs'!$B$28</x:f>
        <x:v>82.1537829810189</x:v>
      </x:c>
      <x:c r="G48" s="58" t="n">
        <x:f>G34*'Commercial Inputs'!$B$28</x:f>
        <x:v>97.27328948904663</x:v>
      </x:c>
      <x:c r="H48" s="58" t="n">
        <x:f>H34*'Commercial Inputs'!$B$28</x:f>
        <x:v>101.87757232374688</x:v>
      </x:c>
      <x:c r="I48" s="58" t="n">
        <x:f>I34*'Commercial Inputs'!$B$28</x:f>
        <x:v>108.68430625709564</x:v>
      </x:c>
      <x:c r="J48" s="58" t="n">
        <x:f>J34*'Commercial Inputs'!$B$28</x:f>
        <x:v>116.22086344805624</x:v>
      </x:c>
      <x:c r="K48" s="58" t="n">
        <x:f>K34*'Commercial Inputs'!$B$28</x:f>
        <x:v>124.1302551660279</x:v>
      </x:c>
      <x:c r="L48" s="58" t="n">
        <x:f>L34*'Commercial Inputs'!$B$28</x:f>
        <x:v>132.3912373905276</x:v>
      </x:c>
      <x:c r="M48" s="58" t="n">
        <x:f>M34*'Commercial Inputs'!$B$28</x:f>
        <x:v>140.9890956018986</x:v>
      </x:c>
      <x:c r="N48" s="58" t="n">
        <x:f>N34*'Commercial Inputs'!$B$28</x:f>
        <x:v>139.22350458107815</x:v>
      </x:c>
      <x:c r="O48" s="58" t="n">
        <x:f>O34*'Commercial Inputs'!$B$28</x:f>
        <x:v>137.51792540376132</x:v>
      </x:c>
      <x:c r="P48" s="58" t="n">
        <x:f>P34*'Commercial Inputs'!$B$28</x:f>
        <x:v>135.8675866580105</x:v>
      </x:c>
      <x:c r="Q48" s="58" t="n">
        <x:f>Q34*'Commercial Inputs'!$B$28</x:f>
        <x:v>134.26547948284218</x:v>
      </x:c>
      <x:c r="R48" s="58" t="n">
        <x:f>R34*'Commercial Inputs'!$B$28</x:f>
        <x:v>132.70586003030982</x:v>
      </x:c>
      <x:c r="S48" s="58" t="n">
        <x:f>S34*'Commercial Inputs'!$B$28</x:f>
        <x:v>131.183952580796</x:v>
      </x:c>
      <x:c r="T48" s="58" t="n">
        <x:f>T34*'Commercial Inputs'!$B$28</x:f>
        <x:v>135.25321757435083</x:v>
      </x:c>
      <x:c r="U48" s="58" t="n">
        <x:f>U34*'Commercial Inputs'!$B$28</x:f>
        <x:v>139.35267018724682</x:v>
      </x:c>
      <x:c r="V48" s="58" t="n">
        <x:f>V34*'Commercial Inputs'!$B$28</x:f>
        <x:v>143.4792382580718</x:v>
      </x:c>
      <x:c r="W48" s="58" t="n">
        <x:f>W34*'Commercial Inputs'!$B$28</x:f>
        <x:v>147.63015084109895</x:v>
      </x:c>
      <x:c r="X48" s="58" t="n">
        <x:f>X34*'Commercial Inputs'!$B$28</x:f>
        <x:v>151.80285059143972</x:v>
      </x:c>
      <x:c r="Y48" s="58" t="n">
        <x:f>Y34*'Commercial Inputs'!$B$28</x:f>
        <x:v>155.9949246874078</x:v>
      </x:c>
      <x:c r="Z48" s="58" t="n">
        <x:f>Z34*'Commercial Inputs'!$B$28</x:f>
        <x:v>158.57085558486654</x:v>
      </x:c>
      <x:c r="AA48" s="58" t="n">
        <x:f>AA34*'Commercial Inputs'!$B$28</x:f>
        <x:v>161.07407450780465</x:v>
      </x:c>
      <x:c r="AB48" s="58" t="n">
        <x:f>AB34*'Commercial Inputs'!$B$28</x:f>
        <x:v>163.51068254359512</x:v>
      </x:c>
      <x:c r="AC48" s="58" t="n">
        <x:f>AC34*'Commercial Inputs'!$B$28</x:f>
        <x:v>165.8809317744543</x:v>
      </x:c>
      <x:c r="AD48" s="58" t="n">
        <x:f>AD34*'Commercial Inputs'!$B$28</x:f>
        <x:v>168.1844138487355</x:v>
      </x:c>
      <x:c r="AE48" s="58" t="n">
        <x:f>AE34*'Commercial Inputs'!$B$28</x:f>
        <x:v>170.42018956053516</x:v>
      </x:c>
      <x:c r="AF48" s="58" t="n">
        <x:f>AF34*'Commercial Inputs'!$B$28</x:f>
        <x:v>173.39512827690095</x:v>
      </x:c>
      <x:c r="AG48" s="58" t="n">
        <x:f>AG34*'Commercial Inputs'!$B$28</x:f>
        <x:v>176.29926917645494</x:v>
      </x:c>
      <x:c r="AH48" s="58" t="n">
        <x:f>AH34*'Commercial Inputs'!$B$28</x:f>
        <x:v>179.1305981801099</x:v>
      </x:c>
      <x:c r="AI48" s="58" t="n">
        <x:f>AI34*'Commercial Inputs'!$B$28</x:f>
        <x:v>181.8868555733389</x:v>
      </x:c>
      <x:c r="AJ48" s="58" t="n">
        <x:f>AJ34*'Commercial Inputs'!$B$28</x:f>
        <x:v>184.5655717932107</x:v>
      </x:c>
      <x:c r="AK48" s="58" t="n">
        <x:f>AK34*'Commercial Inputs'!$B$28</x:f>
        <x:v>187.1640948504455</x:v>
      </x:c>
    </x:row>
    <x:row r="49" ht="18" customHeight="1">
      <x:c r="A49" s="4" t="str">
        <x:v>Total direct costs (INR)</x:v>
      </x:c>
      <x:c r="B49" s="58" t="n">
        <x:f>SUM(B44:B48)</x:f>
        <x:v>969.4577244444446</x:v>
      </x:c>
      <x:c r="C49" s="58" t="n">
        <x:f>SUM(C44:C48)</x:f>
        <x:v>1042.0699241884793</x:v>
      </x:c>
      <x:c r="D49" s="58" t="n">
        <x:f>SUM(D44:D48)</x:f>
        <x:v>1103.7379042385994</x:v>
      </x:c>
      <x:c r="E49" s="58" t="n">
        <x:f>SUM(E44:E48)</x:f>
        <x:v>1162.1405179912397</x:v>
      </x:c>
      <x:c r="F49" s="58" t="n">
        <x:f>SUM(F44:F48)</x:f>
        <x:v>1218.206275392784</x:v>
      </x:c>
      <x:c r="G49" s="58" t="n">
        <x:f>SUM(G44:G48)</x:f>
        <x:v>1272.664691611306</x:v>
      </x:c>
      <x:c r="H49" s="58" t="n">
        <x:f>SUM(H44:H48)</x:f>
        <x:v>917.4548066157232</x:v>
      </x:c>
      <x:c r="I49" s="58" t="n">
        <x:f>SUM(I44:I48)</x:f>
        <x:v>937.8921526585368</x:v>
      </x:c>
      <x:c r="J49" s="58" t="n">
        <x:f>SUM(J44:J48)</x:f>
        <x:v>964.506644110478</x:v>
      </x:c>
      <x:c r="K49" s="58" t="n">
        <x:f>SUM(K44:K48)</x:f>
        <x:v>993.4728805472243</x:v>
      </x:c>
      <x:c r="L49" s="58" t="n">
        <x:f>SUM(L44:L48)</x:f>
        <x:v>1035.9331597809355</x:v>
      </x:c>
      <x:c r="M49" s="58" t="n">
        <x:f>SUM(M44:M48)</x:f>
        <x:v>1082.1309141166994</x:v>
      </x:c>
      <x:c r="N49" s="58" t="n">
        <x:f>SUM(N44:N48)</x:f>
        <x:v>1212.5403066437966</x:v>
      </x:c>
      <x:c r="O49" s="58" t="n">
        <x:f>SUM(O44:O48)</x:f>
        <x:v>1217.7324236291524</x:v>
      </x:c>
      <x:c r="P49" s="58" t="n">
        <x:f>SUM(P44:P48)</x:f>
        <x:v>1223.6355132919903</x:v>
      </x:c>
      <x:c r="Q49" s="58" t="n">
        <x:f>SUM(Q44:Q48)</x:f>
        <x:v>1230.1787465415946</x:v>
      </x:c>
      <x:c r="R49" s="58" t="n">
        <x:f>SUM(R44:R48)</x:f>
        <x:v>1237.307323799</x:v>
      </x:c>
      <x:c r="S49" s="58" t="n">
        <x:f>SUM(S44:S48)</x:f>
        <x:v>1244.9788995115077</x:v>
      </x:c>
      <x:c r="T49" s="58" t="n">
        <x:f>SUM(T44:T48)</x:f>
        <x:v>1207.2249015505065</x:v>
      </x:c>
      <x:c r="U49" s="58" t="n">
        <x:f>SUM(U44:U48)</x:f>
        <x:v>1237.1849372528175</x:v>
      </x:c>
      <x:c r="V49" s="58" t="n">
        <x:f>SUM(V44:V48)</x:f>
        <x:v>1267.610721455326</x:v>
      </x:c>
      <x:c r="W49" s="58" t="n">
        <x:f>SUM(W44:W48)</x:f>
        <x:v>1298.4873442528205</x:v>
      </x:c>
      <x:c r="X49" s="58" t="n">
        <x:f>SUM(X44:X48)</x:f>
        <x:v>1329.8033397049737</x:v>
      </x:c>
      <x:c r="Y49" s="58" t="n">
        <x:f>SUM(Y44:Y48)</x:f>
        <x:v>1361.5498793515862</x:v>
      </x:c>
      <x:c r="Z49" s="58" t="n">
        <x:f>SUM(Z44:Z48)</x:f>
        <x:v>1429.0894604272753</x:v>
      </x:c>
      <x:c r="AA49" s="58" t="n">
        <x:f>SUM(AA44:AA48)</x:f>
        <x:v>1448.4315524274914</x:v>
      </x:c>
      <x:c r="AB49" s="58" t="n">
        <x:f>SUM(AB44:AB48)</x:f>
        <x:v>1467.5413692826005</x:v>
      </x:c>
      <x:c r="AC49" s="58" t="n">
        <x:f>SUM(AC44:AC48)</x:f>
        <x:v>1486.4441675678736</x:v>
      </x:c>
      <x:c r="AD49" s="58" t="n">
        <x:f>SUM(AD44:AD48)</x:f>
        <x:v>1505.1577850503477</x:v>
      </x:c>
      <x:c r="AE49" s="58" t="n">
        <x:f>SUM(AE44:AE48)</x:f>
        <x:v>1523.6942270631641</x:v>
      </x:c>
      <x:c r="AF49" s="58" t="n">
        <x:f>SUM(AF44:AF48)</x:f>
        <x:v>1519.6106058519708</x:v>
      </x:c>
      <x:c r="AG49" s="58" t="n">
        <x:f>SUM(AG44:AG48)</x:f>
        <x:v>1540.9079677892162</x:v>
      </x:c>
      <x:c r="AH49" s="58" t="n">
        <x:f>SUM(AH44:AH48)</x:f>
        <x:v>1562.0402099320372</x:v>
      </x:c>
      <x:c r="AI49" s="58" t="n">
        <x:f>SUM(AI44:AI48)</x:f>
        <x:v>1583.0059001403206</x:v>
      </x:c>
      <x:c r="AJ49" s="58" t="n">
        <x:f>SUM(AJ44:AJ48)</x:f>
        <x:v>1603.8017460251901</x:v>
      </x:c>
      <x:c r="AK49" s="58" t="n">
        <x:f>SUM(AK44:AK48)</x:f>
        <x:v>1624.4229444244397</x:v>
      </x:c>
    </x:row>
    <x:row r="50" ht="18" customHeight="1">
      <x:c r="A50" s="74" t="str">
        <x:v>CONTRIBUTION BEFORE ACQUISITION / FIXED</x:v>
      </x:c>
      <x:c r="B50" s="75" t="n">
        <x:f>B38-B49</x:f>
        <x:v>-42.79707143910878</x:v>
      </x:c>
      <x:c r="C50" s="75" t="n">
        <x:f>C38-C49</x:f>
        <x:v>575.713125166825</x:v>
      </x:c>
      <x:c r="D50" s="75" t="n">
        <x:f>D38-D49</x:f>
        <x:v>1144.1605339285431</x:v>
      </x:c>
      <x:c r="E50" s="75" t="n">
        <x:f>E38-E49</x:f>
        <x:v>1699.8497393878845</x:v>
      </x:c>
      <x:c r="F50" s="75" t="n">
        <x:f>F38-F49</x:f>
        <x:v>2247.372744577089</x:v>
      </x:c>
      <x:c r="G50" s="75" t="n">
        <x:f>G38-G49</x:f>
        <x:v>2790.3598930613443</x:v>
      </x:c>
      <x:c r="H50" s="75" t="n">
        <x:f>H38-H49</x:f>
        <x:v>3252.613502160837</x:v>
      </x:c>
      <x:c r="I50" s="75" t="n">
        <x:f>I38-I49</x:f>
        <x:v>3470.188759603408</x:v>
      </x:c>
      <x:c r="J50" s="75" t="n">
        <x:f>J38-J49</x:f>
        <x:v>3721.2570930128413</x:v>
      </x:c>
      <x:c r="K50" s="75" t="n">
        <x:f>K38-K49</x:f>
        <x:v>3987.3855305637408</x:v>
      </x:c>
      <x:c r="L50" s="75" t="n">
        <x:f>L38-L49</x:f>
        <x:v>4255.94714838966</x:v>
      </x:c>
      <x:c r="M50" s="75" t="n">
        <x:f>M38-M49</x:f>
        <x:v>4535.6128922673</x:v>
      </x:c>
      <x:c r="N50" s="75" t="n">
        <x:f>N38-N49</x:f>
        <x:v>4340.346596922984</x:v>
      </x:c>
      <x:c r="O50" s="75" t="n">
        <x:f>O38-O49</x:f>
        <x:v>4273.424814798136</x:v>
      </x:c>
      <x:c r="P50" s="75" t="n">
        <x:f>P38-P49</x:f>
        <x:v>4208.648472589435</x:v>
      </x:c>
      <x:c r="Q50" s="75" t="n">
        <x:f>Q38-Q49</x:f>
        <x:v>4145.680677793099</x:v>
      </x:c>
      <x:c r="R50" s="75" t="n">
        <x:f>R38-R49</x:f>
        <x:v>4084.248437659201</x:v>
      </x:c>
      <x:c r="S50" s="75" t="n">
        <x:f>S38-S49</x:f>
        <x:v>4024.127927321768</x:v>
      </x:c>
      <x:c r="T50" s="75" t="n">
        <x:f>T38-T49</x:f>
        <x:v>4220.917994940753</x:v>
      </x:c>
      <x:c r="U50" s="75" t="n">
        <x:f>U38-U49</x:f>
        <x:v>4351.44726272174</x:v>
      </x:c>
      <x:c r="V50" s="75" t="n">
        <x:f>V38-V49</x:f>
        <x:v>4482.80881578774</x:v>
      </x:c>
      <x:c r="W50" s="75" t="n">
        <x:f>W38-W49</x:f>
        <x:v>4614.883001321356</x:v>
      </x:c>
      <x:c r="X50" s="75" t="n">
        <x:f>X38-X49</x:f>
        <x:v>4747.562016337286</x:v>
      </x:c>
      <x:c r="Y50" s="75" t="n">
        <x:f>Y38-Y49</x:f>
        <x:v>4880.746520628065</x:v>
      </x:c>
      <x:c r="Z50" s="75" t="n">
        <x:f>Z38-Z49</x:f>
        <x:v>4915.896397234376</x:v>
      </x:c>
      <x:c r="AA50" s="75" t="n">
        <x:f>AA38-AA49</x:f>
        <x:v>4996.036431896206</x:v>
      </x:c>
      <x:c r="AB50" s="75" t="n">
        <x:f>AB38-AB49</x:f>
        <x:v>5073.6365347208375</x:v>
      </x:c>
      <x:c r="AC50" s="75" t="n">
        <x:f>AC38-AC49</x:f>
        <x:v>5148.746160659272</x:v>
      </x:c>
      <x:c r="AD50" s="75" t="n">
        <x:f>AD38-AD49</x:f>
        <x:v>5221.382922033103</x:v>
      </x:c>
      <x:c r="AE50" s="75" t="n">
        <x:f>AE38-AE49</x:f>
        <x:v>5291.539061415286</x:v>
      </x:c>
      <x:c r="AF50" s="75" t="n">
        <x:f>AF38-AF49</x:f>
        <x:v>5412.155571973735</x:v>
      </x:c>
      <x:c r="AG50" s="75" t="n">
        <x:f>AG38-AG49</x:f>
        <x:v>5504.671843082242</x:v>
      </x:c>
      <x:c r="AH50" s="75" t="n">
        <x:f>AH38-AH49</x:f>
        <x:v>5594.576906521999</x:v>
      </x:c>
      <x:c r="AI50" s="75" t="n">
        <x:f>AI38-AI49</x:f>
        <x:v>5681.801741885445</x:v>
      </x:c>
      <x:c r="AJ50" s="75" t="n">
        <x:f>AJ38-AJ49</x:f>
        <x:v>5766.268067303871</x:v>
      </x:c>
      <x:c r="AK50" s="75" t="n">
        <x:f>AK38-AK49</x:f>
        <x:v>5847.889733048427</x:v>
      </x:c>
    </x:row>
    <x:row r="51" ht="18" customHeight="1">
      <x:c r="A51" s="4" t="str">
        <x:v>Contribution margin (%)</x:v>
      </x:c>
      <x:c r="B51" s="62" t="n">
        <x:f>IFERROR(B50/B38,0)</x:f>
        <x:v>-0.04618418975739369</x:v>
      </x:c>
      <x:c r="C51" s="62" t="n">
        <x:f>IFERROR(C50/C38,0)</x:f>
        <x:v>0.35586546996907276</x:v>
      </x:c>
      <x:c r="D51" s="62" t="n">
        <x:f>IFERROR(D50/D38,0)</x:f>
        <x:v>0.5089912046299794</x:v>
      </x:c>
      <x:c r="E51" s="62" t="n">
        <x:f>IFERROR(E50/E38,0)</x:f>
        <x:v>0.5939397365190637</x:v>
      </x:c>
      <x:c r="F51" s="62" t="n">
        <x:f>IFERROR(F50/F38,0)</x:f>
        <x:v>0.6484840575346702</x:v>
      </x:c>
      <x:c r="G51" s="62" t="n">
        <x:f>IFERROR(G50/G38,0)</x:f>
        <x:v>0.6867691383379011</x:v>
      </x:c>
      <x:c r="H51" s="62" t="n">
        <x:f>IFERROR(H50/H38,0)</x:f>
        <x:v>0.7799904609032912</x:v>
      </x:c>
      <x:c r="I51" s="62" t="n">
        <x:f>IFERROR(I50/I38,0)</x:f>
        <x:v>0.7872334534401115</x:v>
      </x:c>
      <x:c r="J51" s="62" t="n">
        <x:f>IFERROR(J50/J38,0)</x:f>
        <x:v>0.7941623397549686</x:v>
      </x:c>
      <x:c r="K51" s="62" t="n">
        <x:f>IFERROR(K50/K38,0)</x:f>
        <x:v>0.8005418346502178</x:v>
      </x:c>
      <x:c r="L51" s="62" t="n">
        <x:f>IFERROR(L50/L38,0)</x:f>
        <x:v>0.804241007079947</x:v>
      </x:c>
      <x:c r="M51" s="62" t="n">
        <x:f>IFERROR(M50/M38,0)</x:f>
        <x:v>0.8073726835162959</x:v>
      </x:c>
      <x:c r="N51" s="62" t="n">
        <x:f>IFERROR(N50/N38,0)</x:f>
        <x:v>0.7816378529400722</x:v>
      </x:c>
      <x:c r="O51" s="62" t="n">
        <x:f>IFERROR(O50/O38,0)</x:f>
        <x:v>0.7782375607262849</x:v>
      </x:c>
      <x:c r="P51" s="62" t="n">
        <x:f>IFERROR(P50/P38,0)</x:f>
        <x:v>0.7747475064867311</x:v>
      </x:c>
      <x:c r="Q51" s="62" t="n">
        <x:f>IFERROR(Q50/Q38,0)</x:f>
        <x:v>0.7711661244390073</x:v>
      </x:c>
      <x:c r="R51" s="62" t="n">
        <x:f>IFERROR(R50/R38,0)</x:f>
        <x:v>0.7674914293372065</x:v>
      </x:c>
      <x:c r="S51" s="62" t="n">
        <x:f>IFERROR(S50/S38,0)</x:f>
        <x:v>0.7637210744767272</x:v>
      </x:c>
      <x:c r="T51" s="62" t="n">
        <x:f>IFERROR(T50/T38,0)</x:f>
        <x:v>0.777598909135046</x:v>
      </x:c>
      <x:c r="U51" s="62" t="n">
        <x:f>IFERROR(U50/U38,0)</x:f>
        <x:v>0.7786247344639267</x:v>
      </x:c>
      <x:c r="V51" s="62" t="n">
        <x:f>IFERROR(V50/V38,0)</x:f>
        <x:v>0.7795620453002532</x:v>
      </x:c>
      <x:c r="W51" s="62" t="n">
        <x:f>IFERROR(W50/W38,0)</x:f>
        <x:v>0.7804150140495318</x:v>
      </x:c>
      <x:c r="X51" s="62" t="n">
        <x:f>IFERROR(X50/X38,0)</x:f>
        <x:v>0.7811875275224563</x:v>
      </x:c>
      <x:c r="Y51" s="62" t="n">
        <x:f>IFERROR(Y50/Y38,0)</x:f>
        <x:v>0.781883173737789</x:v>
      </x:c>
      <x:c r="Z51" s="62" t="n">
        <x:f>IFERROR(Z50/Z38,0)</x:f>
        <x:v>0.7747686925571896</x:v>
      </x:c>
      <x:c r="AA51" s="62" t="n">
        <x:f>IFERROR(AA50/AA38,0)</x:f>
        <x:v>0.7752442007702061</x:v>
      </x:c>
      <x:c r="AB51" s="62" t="n">
        <x:f>IFERROR(AB50/AB38,0)</x:f>
        <x:v>0.7756457031409569</x:v>
      </x:c>
      <x:c r="AC51" s="62" t="n">
        <x:f>IFERROR(AC50/AC38,0)</x:f>
        <x:v>0.7759756549492928</x:v>
      </x:c>
      <x:c r="AD51" s="62" t="n">
        <x:f>IFERROR(AD50/AD38,0)</x:f>
        <x:v>0.776235980633355</x:v>
      </x:c>
      <x:c r="AE51" s="62" t="n">
        <x:f>IFERROR(AE50/AE38,0)</x:f>
        <x:v>0.7764281628276675</x:v>
      </x:c>
      <x:c r="AF51" s="62" t="n">
        <x:f>IFERROR(AF50/AF38,0)</x:f>
        <x:v>0.7807758417020597</x:v>
      </x:c>
      <x:c r="AG51" s="62" t="n">
        <x:f>IFERROR(AG50/AG38,0)</x:f>
        <x:v>0.7812943704914723</x:v>
      </x:c>
      <x:c r="AH51" s="62" t="n">
        <x:f>IFERROR(AH50/AH38,0)</x:f>
        <x:v>0.7817348358149978</x:v>
      </x:c>
      <x:c r="AI51" s="62" t="n">
        <x:f>IFERROR(AI50/AI38,0)</x:f>
        <x:v>0.7820994060485674</x:v>
      </x:c>
      <x:c r="AJ51" s="62" t="n">
        <x:f>IFERROR(AJ50/AJ38,0)</x:f>
        <x:v>0.7823898841331663</x:v>
      </x:c>
      <x:c r="AK51" s="62" t="n">
        <x:f>IFERROR(AK50/AK38,0)</x:f>
        <x:v>0.7826077394590749</x:v>
      </x:c>
    </x:row>
    <x:row r="52" ht="18" customHeight="1">
      <x:c r="A52" s="4" t="str">
        <x:v>Core operating overhead (INR)</x:v>
      </x:c>
      <x:c r="B52" s="60" t="n">
        <x:f>'Scenario Inputs'!$B$24</x:f>
        <x:v>10000</x:v>
      </x:c>
      <x:c r="C52" s="60" t="n">
        <x:f>'Scenario Inputs'!$B$24</x:f>
        <x:v>10000</x:v>
      </x:c>
      <x:c r="D52" s="60" t="n">
        <x:f>'Scenario Inputs'!$B$24</x:f>
        <x:v>10000</x:v>
      </x:c>
      <x:c r="E52" s="60" t="n">
        <x:f>'Scenario Inputs'!$B$24</x:f>
        <x:v>10000</x:v>
      </x:c>
      <x:c r="F52" s="60" t="n">
        <x:f>'Scenario Inputs'!$B$24</x:f>
        <x:v>10000</x:v>
      </x:c>
      <x:c r="G52" s="60" t="n">
        <x:f>'Scenario Inputs'!$B$24</x:f>
        <x:v>10000</x:v>
      </x:c>
      <x:c r="H52" s="60" t="n">
        <x:f>'Scenario Inputs'!$B$24</x:f>
        <x:v>10000</x:v>
      </x:c>
      <x:c r="I52" s="60" t="n">
        <x:f>'Scenario Inputs'!$B$24</x:f>
        <x:v>10000</x:v>
      </x:c>
      <x:c r="J52" s="60" t="n">
        <x:f>'Scenario Inputs'!$B$24</x:f>
        <x:v>10000</x:v>
      </x:c>
      <x:c r="K52" s="60" t="n">
        <x:f>'Scenario Inputs'!$B$24</x:f>
        <x:v>10000</x:v>
      </x:c>
      <x:c r="L52" s="60" t="n">
        <x:f>'Scenario Inputs'!$B$24</x:f>
        <x:v>10000</x:v>
      </x:c>
      <x:c r="M52" s="60" t="n">
        <x:f>'Scenario Inputs'!$B$24</x:f>
        <x:v>10000</x:v>
      </x:c>
      <x:c r="N52" s="60" t="n">
        <x:f>'Scenario Inputs'!$B$25</x:f>
        <x:v>10000</x:v>
      </x:c>
      <x:c r="O52" s="60" t="n">
        <x:f>'Scenario Inputs'!$B$25</x:f>
        <x:v>10000</x:v>
      </x:c>
      <x:c r="P52" s="60" t="n">
        <x:f>'Scenario Inputs'!$B$25</x:f>
        <x:v>10000</x:v>
      </x:c>
      <x:c r="Q52" s="60" t="n">
        <x:f>'Scenario Inputs'!$B$25</x:f>
        <x:v>10000</x:v>
      </x:c>
      <x:c r="R52" s="60" t="n">
        <x:f>'Scenario Inputs'!$B$25</x:f>
        <x:v>10000</x:v>
      </x:c>
      <x:c r="S52" s="60" t="n">
        <x:f>'Scenario Inputs'!$B$25</x:f>
        <x:v>10000</x:v>
      </x:c>
      <x:c r="T52" s="60" t="n">
        <x:f>'Scenario Inputs'!$B$25</x:f>
        <x:v>10000</x:v>
      </x:c>
      <x:c r="U52" s="60" t="n">
        <x:f>'Scenario Inputs'!$B$25</x:f>
        <x:v>10000</x:v>
      </x:c>
      <x:c r="V52" s="60" t="n">
        <x:f>'Scenario Inputs'!$B$25</x:f>
        <x:v>10000</x:v>
      </x:c>
      <x:c r="W52" s="60" t="n">
        <x:f>'Scenario Inputs'!$B$25</x:f>
        <x:v>10000</x:v>
      </x:c>
      <x:c r="X52" s="60" t="n">
        <x:f>'Scenario Inputs'!$B$25</x:f>
        <x:v>10000</x:v>
      </x:c>
      <x:c r="Y52" s="60" t="n">
        <x:f>'Scenario Inputs'!$B$25</x:f>
        <x:v>10000</x:v>
      </x:c>
      <x:c r="Z52" s="60" t="n">
        <x:f>'Scenario Inputs'!$B$26</x:f>
        <x:v>10000</x:v>
      </x:c>
      <x:c r="AA52" s="60" t="n">
        <x:f>'Scenario Inputs'!$B$26</x:f>
        <x:v>10000</x:v>
      </x:c>
      <x:c r="AB52" s="60" t="n">
        <x:f>'Scenario Inputs'!$B$26</x:f>
        <x:v>10000</x:v>
      </x:c>
      <x:c r="AC52" s="60" t="n">
        <x:f>'Scenario Inputs'!$B$26</x:f>
        <x:v>10000</x:v>
      </x:c>
      <x:c r="AD52" s="60" t="n">
        <x:f>'Scenario Inputs'!$B$26</x:f>
        <x:v>10000</x:v>
      </x:c>
      <x:c r="AE52" s="60" t="n">
        <x:f>'Scenario Inputs'!$B$26</x:f>
        <x:v>10000</x:v>
      </x:c>
      <x:c r="AF52" s="60" t="n">
        <x:f>'Scenario Inputs'!$B$26</x:f>
        <x:v>10000</x:v>
      </x:c>
      <x:c r="AG52" s="60" t="n">
        <x:f>'Scenario Inputs'!$B$26</x:f>
        <x:v>10000</x:v>
      </x:c>
      <x:c r="AH52" s="60" t="n">
        <x:f>'Scenario Inputs'!$B$26</x:f>
        <x:v>10000</x:v>
      </x:c>
      <x:c r="AI52" s="60" t="n">
        <x:f>'Scenario Inputs'!$B$26</x:f>
        <x:v>10000</x:v>
      </x:c>
      <x:c r="AJ52" s="60" t="n">
        <x:f>'Scenario Inputs'!$B$26</x:f>
        <x:v>10000</x:v>
      </x:c>
      <x:c r="AK52" s="60" t="n">
        <x:f>'Scenario Inputs'!$B$26</x:f>
        <x:v>10000</x:v>
      </x:c>
    </x:row>
    <x:row r="53" ht="18" customHeight="1">
      <x:c r="A53" s="4" t="str">
        <x:v>Scaled technical QA reserve (INR)</x:v>
      </x:c>
      <x:c r="B53" s="58" t="n">
        <x:f>IF(B34&gt;='Commercial Inputs'!$B$38,'Commercial Inputs'!$B$42,IF(B34&gt;='Commercial Inputs'!$B$37,'Commercial Inputs'!$B$41,IF(B34&gt;='Commercial Inputs'!$B$36,'Commercial Inputs'!$B$40,IF(B34&gt;='Commercial Inputs'!$B$35,'Commercial Inputs'!$B$39,0))))</x:f>
        <x:v>0</x:v>
      </x:c>
      <x:c r="C53" s="58" t="n">
        <x:f>IF(C34&gt;='Commercial Inputs'!$B$38,'Commercial Inputs'!$B$42,IF(C34&gt;='Commercial Inputs'!$B$37,'Commercial Inputs'!$B$41,IF(C34&gt;='Commercial Inputs'!$B$36,'Commercial Inputs'!$B$40,IF(C34&gt;='Commercial Inputs'!$B$35,'Commercial Inputs'!$B$39,0))))</x:f>
        <x:v>0</x:v>
      </x:c>
      <x:c r="D53" s="58" t="n">
        <x:f>IF(D34&gt;='Commercial Inputs'!$B$38,'Commercial Inputs'!$B$42,IF(D34&gt;='Commercial Inputs'!$B$37,'Commercial Inputs'!$B$41,IF(D34&gt;='Commercial Inputs'!$B$36,'Commercial Inputs'!$B$40,IF(D34&gt;='Commercial Inputs'!$B$35,'Commercial Inputs'!$B$39,0))))</x:f>
        <x:v>0</x:v>
      </x:c>
      <x:c r="E53" s="58" t="n">
        <x:f>IF(E34&gt;='Commercial Inputs'!$B$38,'Commercial Inputs'!$B$42,IF(E34&gt;='Commercial Inputs'!$B$37,'Commercial Inputs'!$B$41,IF(E34&gt;='Commercial Inputs'!$B$36,'Commercial Inputs'!$B$40,IF(E34&gt;='Commercial Inputs'!$B$35,'Commercial Inputs'!$B$39,0))))</x:f>
        <x:v>0</x:v>
      </x:c>
      <x:c r="F53" s="58" t="n">
        <x:f>IF(F34&gt;='Commercial Inputs'!$B$38,'Commercial Inputs'!$B$42,IF(F34&gt;='Commercial Inputs'!$B$37,'Commercial Inputs'!$B$41,IF(F34&gt;='Commercial Inputs'!$B$36,'Commercial Inputs'!$B$40,IF(F34&gt;='Commercial Inputs'!$B$35,'Commercial Inputs'!$B$39,0))))</x:f>
        <x:v>0</x:v>
      </x:c>
      <x:c r="G53" s="58" t="n">
        <x:f>IF(G34&gt;='Commercial Inputs'!$B$38,'Commercial Inputs'!$B$42,IF(G34&gt;='Commercial Inputs'!$B$37,'Commercial Inputs'!$B$41,IF(G34&gt;='Commercial Inputs'!$B$36,'Commercial Inputs'!$B$40,IF(G34&gt;='Commercial Inputs'!$B$35,'Commercial Inputs'!$B$39,0))))</x:f>
        <x:v>0</x:v>
      </x:c>
      <x:c r="H53" s="58" t="n">
        <x:f>IF(H34&gt;='Commercial Inputs'!$B$38,'Commercial Inputs'!$B$42,IF(H34&gt;='Commercial Inputs'!$B$37,'Commercial Inputs'!$B$41,IF(H34&gt;='Commercial Inputs'!$B$36,'Commercial Inputs'!$B$40,IF(H34&gt;='Commercial Inputs'!$B$35,'Commercial Inputs'!$B$39,0))))</x:f>
        <x:v>0</x:v>
      </x:c>
      <x:c r="I53" s="58" t="n">
        <x:f>IF(I34&gt;='Commercial Inputs'!$B$38,'Commercial Inputs'!$B$42,IF(I34&gt;='Commercial Inputs'!$B$37,'Commercial Inputs'!$B$41,IF(I34&gt;='Commercial Inputs'!$B$36,'Commercial Inputs'!$B$40,IF(I34&gt;='Commercial Inputs'!$B$35,'Commercial Inputs'!$B$39,0))))</x:f>
        <x:v>0</x:v>
      </x:c>
      <x:c r="J53" s="58" t="n">
        <x:f>IF(J34&gt;='Commercial Inputs'!$B$38,'Commercial Inputs'!$B$42,IF(J34&gt;='Commercial Inputs'!$B$37,'Commercial Inputs'!$B$41,IF(J34&gt;='Commercial Inputs'!$B$36,'Commercial Inputs'!$B$40,IF(J34&gt;='Commercial Inputs'!$B$35,'Commercial Inputs'!$B$39,0))))</x:f>
        <x:v>0</x:v>
      </x:c>
      <x:c r="K53" s="58" t="n">
        <x:f>IF(K34&gt;='Commercial Inputs'!$B$38,'Commercial Inputs'!$B$42,IF(K34&gt;='Commercial Inputs'!$B$37,'Commercial Inputs'!$B$41,IF(K34&gt;='Commercial Inputs'!$B$36,'Commercial Inputs'!$B$40,IF(K34&gt;='Commercial Inputs'!$B$35,'Commercial Inputs'!$B$39,0))))</x:f>
        <x:v>0</x:v>
      </x:c>
      <x:c r="L53" s="58" t="n">
        <x:f>IF(L34&gt;='Commercial Inputs'!$B$38,'Commercial Inputs'!$B$42,IF(L34&gt;='Commercial Inputs'!$B$37,'Commercial Inputs'!$B$41,IF(L34&gt;='Commercial Inputs'!$B$36,'Commercial Inputs'!$B$40,IF(L34&gt;='Commercial Inputs'!$B$35,'Commercial Inputs'!$B$39,0))))</x:f>
        <x:v>0</x:v>
      </x:c>
      <x:c r="M53" s="58" t="n">
        <x:f>IF(M34&gt;='Commercial Inputs'!$B$38,'Commercial Inputs'!$B$42,IF(M34&gt;='Commercial Inputs'!$B$37,'Commercial Inputs'!$B$41,IF(M34&gt;='Commercial Inputs'!$B$36,'Commercial Inputs'!$B$40,IF(M34&gt;='Commercial Inputs'!$B$35,'Commercial Inputs'!$B$39,0))))</x:f>
        <x:v>0</x:v>
      </x:c>
      <x:c r="N53" s="58" t="n">
        <x:f>IF(N34&gt;='Commercial Inputs'!$B$38,'Commercial Inputs'!$B$42,IF(N34&gt;='Commercial Inputs'!$B$37,'Commercial Inputs'!$B$41,IF(N34&gt;='Commercial Inputs'!$B$36,'Commercial Inputs'!$B$40,IF(N34&gt;='Commercial Inputs'!$B$35,'Commercial Inputs'!$B$39,0))))</x:f>
        <x:v>0</x:v>
      </x:c>
      <x:c r="O53" s="58" t="n">
        <x:f>IF(O34&gt;='Commercial Inputs'!$B$38,'Commercial Inputs'!$B$42,IF(O34&gt;='Commercial Inputs'!$B$37,'Commercial Inputs'!$B$41,IF(O34&gt;='Commercial Inputs'!$B$36,'Commercial Inputs'!$B$40,IF(O34&gt;='Commercial Inputs'!$B$35,'Commercial Inputs'!$B$39,0))))</x:f>
        <x:v>0</x:v>
      </x:c>
      <x:c r="P53" s="58" t="n">
        <x:f>IF(P34&gt;='Commercial Inputs'!$B$38,'Commercial Inputs'!$B$42,IF(P34&gt;='Commercial Inputs'!$B$37,'Commercial Inputs'!$B$41,IF(P34&gt;='Commercial Inputs'!$B$36,'Commercial Inputs'!$B$40,IF(P34&gt;='Commercial Inputs'!$B$35,'Commercial Inputs'!$B$39,0))))</x:f>
        <x:v>0</x:v>
      </x:c>
      <x:c r="Q53" s="58" t="n">
        <x:f>IF(Q34&gt;='Commercial Inputs'!$B$38,'Commercial Inputs'!$B$42,IF(Q34&gt;='Commercial Inputs'!$B$37,'Commercial Inputs'!$B$41,IF(Q34&gt;='Commercial Inputs'!$B$36,'Commercial Inputs'!$B$40,IF(Q34&gt;='Commercial Inputs'!$B$35,'Commercial Inputs'!$B$39,0))))</x:f>
        <x:v>0</x:v>
      </x:c>
      <x:c r="R53" s="58" t="n">
        <x:f>IF(R34&gt;='Commercial Inputs'!$B$38,'Commercial Inputs'!$B$42,IF(R34&gt;='Commercial Inputs'!$B$37,'Commercial Inputs'!$B$41,IF(R34&gt;='Commercial Inputs'!$B$36,'Commercial Inputs'!$B$40,IF(R34&gt;='Commercial Inputs'!$B$35,'Commercial Inputs'!$B$39,0))))</x:f>
        <x:v>0</x:v>
      </x:c>
      <x:c r="S53" s="58" t="n">
        <x:f>IF(S34&gt;='Commercial Inputs'!$B$38,'Commercial Inputs'!$B$42,IF(S34&gt;='Commercial Inputs'!$B$37,'Commercial Inputs'!$B$41,IF(S34&gt;='Commercial Inputs'!$B$36,'Commercial Inputs'!$B$40,IF(S34&gt;='Commercial Inputs'!$B$35,'Commercial Inputs'!$B$39,0))))</x:f>
        <x:v>0</x:v>
      </x:c>
      <x:c r="T53" s="58" t="n">
        <x:f>IF(T34&gt;='Commercial Inputs'!$B$38,'Commercial Inputs'!$B$42,IF(T34&gt;='Commercial Inputs'!$B$37,'Commercial Inputs'!$B$41,IF(T34&gt;='Commercial Inputs'!$B$36,'Commercial Inputs'!$B$40,IF(T34&gt;='Commercial Inputs'!$B$35,'Commercial Inputs'!$B$39,0))))</x:f>
        <x:v>0</x:v>
      </x:c>
      <x:c r="U53" s="58" t="n">
        <x:f>IF(U34&gt;='Commercial Inputs'!$B$38,'Commercial Inputs'!$B$42,IF(U34&gt;='Commercial Inputs'!$B$37,'Commercial Inputs'!$B$41,IF(U34&gt;='Commercial Inputs'!$B$36,'Commercial Inputs'!$B$40,IF(U34&gt;='Commercial Inputs'!$B$35,'Commercial Inputs'!$B$39,0))))</x:f>
        <x:v>0</x:v>
      </x:c>
      <x:c r="V53" s="58" t="n">
        <x:f>IF(V34&gt;='Commercial Inputs'!$B$38,'Commercial Inputs'!$B$42,IF(V34&gt;='Commercial Inputs'!$B$37,'Commercial Inputs'!$B$41,IF(V34&gt;='Commercial Inputs'!$B$36,'Commercial Inputs'!$B$40,IF(V34&gt;='Commercial Inputs'!$B$35,'Commercial Inputs'!$B$39,0))))</x:f>
        <x:v>0</x:v>
      </x:c>
      <x:c r="W53" s="58" t="n">
        <x:f>IF(W34&gt;='Commercial Inputs'!$B$38,'Commercial Inputs'!$B$42,IF(W34&gt;='Commercial Inputs'!$B$37,'Commercial Inputs'!$B$41,IF(W34&gt;='Commercial Inputs'!$B$36,'Commercial Inputs'!$B$40,IF(W34&gt;='Commercial Inputs'!$B$35,'Commercial Inputs'!$B$39,0))))</x:f>
        <x:v>0</x:v>
      </x:c>
      <x:c r="X53" s="58" t="n">
        <x:f>IF(X34&gt;='Commercial Inputs'!$B$38,'Commercial Inputs'!$B$42,IF(X34&gt;='Commercial Inputs'!$B$37,'Commercial Inputs'!$B$41,IF(X34&gt;='Commercial Inputs'!$B$36,'Commercial Inputs'!$B$40,IF(X34&gt;='Commercial Inputs'!$B$35,'Commercial Inputs'!$B$39,0))))</x:f>
        <x:v>0</x:v>
      </x:c>
      <x:c r="Y53" s="58" t="n">
        <x:f>IF(Y34&gt;='Commercial Inputs'!$B$38,'Commercial Inputs'!$B$42,IF(Y34&gt;='Commercial Inputs'!$B$37,'Commercial Inputs'!$B$41,IF(Y34&gt;='Commercial Inputs'!$B$36,'Commercial Inputs'!$B$40,IF(Y34&gt;='Commercial Inputs'!$B$35,'Commercial Inputs'!$B$39,0))))</x:f>
        <x:v>0</x:v>
      </x:c>
      <x:c r="Z53" s="58" t="n">
        <x:f>IF(Z34&gt;='Commercial Inputs'!$B$38,'Commercial Inputs'!$B$42,IF(Z34&gt;='Commercial Inputs'!$B$37,'Commercial Inputs'!$B$41,IF(Z34&gt;='Commercial Inputs'!$B$36,'Commercial Inputs'!$B$40,IF(Z34&gt;='Commercial Inputs'!$B$35,'Commercial Inputs'!$B$39,0))))</x:f>
        <x:v>0</x:v>
      </x:c>
      <x:c r="AA53" s="58" t="n">
        <x:f>IF(AA34&gt;='Commercial Inputs'!$B$38,'Commercial Inputs'!$B$42,IF(AA34&gt;='Commercial Inputs'!$B$37,'Commercial Inputs'!$B$41,IF(AA34&gt;='Commercial Inputs'!$B$36,'Commercial Inputs'!$B$40,IF(AA34&gt;='Commercial Inputs'!$B$35,'Commercial Inputs'!$B$39,0))))</x:f>
        <x:v>0</x:v>
      </x:c>
      <x:c r="AB53" s="58" t="n">
        <x:f>IF(AB34&gt;='Commercial Inputs'!$B$38,'Commercial Inputs'!$B$42,IF(AB34&gt;='Commercial Inputs'!$B$37,'Commercial Inputs'!$B$41,IF(AB34&gt;='Commercial Inputs'!$B$36,'Commercial Inputs'!$B$40,IF(AB34&gt;='Commercial Inputs'!$B$35,'Commercial Inputs'!$B$39,0))))</x:f>
        <x:v>0</x:v>
      </x:c>
      <x:c r="AC53" s="58" t="n">
        <x:f>IF(AC34&gt;='Commercial Inputs'!$B$38,'Commercial Inputs'!$B$42,IF(AC34&gt;='Commercial Inputs'!$B$37,'Commercial Inputs'!$B$41,IF(AC34&gt;='Commercial Inputs'!$B$36,'Commercial Inputs'!$B$40,IF(AC34&gt;='Commercial Inputs'!$B$35,'Commercial Inputs'!$B$39,0))))</x:f>
        <x:v>0</x:v>
      </x:c>
      <x:c r="AD53" s="58" t="n">
        <x:f>IF(AD34&gt;='Commercial Inputs'!$B$38,'Commercial Inputs'!$B$42,IF(AD34&gt;='Commercial Inputs'!$B$37,'Commercial Inputs'!$B$41,IF(AD34&gt;='Commercial Inputs'!$B$36,'Commercial Inputs'!$B$40,IF(AD34&gt;='Commercial Inputs'!$B$35,'Commercial Inputs'!$B$39,0))))</x:f>
        <x:v>0</x:v>
      </x:c>
      <x:c r="AE53" s="58" t="n">
        <x:f>IF(AE34&gt;='Commercial Inputs'!$B$38,'Commercial Inputs'!$B$42,IF(AE34&gt;='Commercial Inputs'!$B$37,'Commercial Inputs'!$B$41,IF(AE34&gt;='Commercial Inputs'!$B$36,'Commercial Inputs'!$B$40,IF(AE34&gt;='Commercial Inputs'!$B$35,'Commercial Inputs'!$B$39,0))))</x:f>
        <x:v>0</x:v>
      </x:c>
      <x:c r="AF53" s="58" t="n">
        <x:f>IF(AF34&gt;='Commercial Inputs'!$B$38,'Commercial Inputs'!$B$42,IF(AF34&gt;='Commercial Inputs'!$B$37,'Commercial Inputs'!$B$41,IF(AF34&gt;='Commercial Inputs'!$B$36,'Commercial Inputs'!$B$40,IF(AF34&gt;='Commercial Inputs'!$B$35,'Commercial Inputs'!$B$39,0))))</x:f>
        <x:v>0</x:v>
      </x:c>
      <x:c r="AG53" s="58" t="n">
        <x:f>IF(AG34&gt;='Commercial Inputs'!$B$38,'Commercial Inputs'!$B$42,IF(AG34&gt;='Commercial Inputs'!$B$37,'Commercial Inputs'!$B$41,IF(AG34&gt;='Commercial Inputs'!$B$36,'Commercial Inputs'!$B$40,IF(AG34&gt;='Commercial Inputs'!$B$35,'Commercial Inputs'!$B$39,0))))</x:f>
        <x:v>0</x:v>
      </x:c>
      <x:c r="AH53" s="58" t="n">
        <x:f>IF(AH34&gt;='Commercial Inputs'!$B$38,'Commercial Inputs'!$B$42,IF(AH34&gt;='Commercial Inputs'!$B$37,'Commercial Inputs'!$B$41,IF(AH34&gt;='Commercial Inputs'!$B$36,'Commercial Inputs'!$B$40,IF(AH34&gt;='Commercial Inputs'!$B$35,'Commercial Inputs'!$B$39,0))))</x:f>
        <x:v>0</x:v>
      </x:c>
      <x:c r="AI53" s="58" t="n">
        <x:f>IF(AI34&gt;='Commercial Inputs'!$B$38,'Commercial Inputs'!$B$42,IF(AI34&gt;='Commercial Inputs'!$B$37,'Commercial Inputs'!$B$41,IF(AI34&gt;='Commercial Inputs'!$B$36,'Commercial Inputs'!$B$40,IF(AI34&gt;='Commercial Inputs'!$B$35,'Commercial Inputs'!$B$39,0))))</x:f>
        <x:v>0</x:v>
      </x:c>
      <x:c r="AJ53" s="58" t="n">
        <x:f>IF(AJ34&gt;='Commercial Inputs'!$B$38,'Commercial Inputs'!$B$42,IF(AJ34&gt;='Commercial Inputs'!$B$37,'Commercial Inputs'!$B$41,IF(AJ34&gt;='Commercial Inputs'!$B$36,'Commercial Inputs'!$B$40,IF(AJ34&gt;='Commercial Inputs'!$B$35,'Commercial Inputs'!$B$39,0))))</x:f>
        <x:v>0</x:v>
      </x:c>
      <x:c r="AK53" s="58" t="n">
        <x:f>IF(AK34&gt;='Commercial Inputs'!$B$38,'Commercial Inputs'!$B$42,IF(AK34&gt;='Commercial Inputs'!$B$37,'Commercial Inputs'!$B$41,IF(AK34&gt;='Commercial Inputs'!$B$36,'Commercial Inputs'!$B$40,IF(AK34&gt;='Commercial Inputs'!$B$35,'Commercial Inputs'!$B$39,0))))</x:f>
        <x:v>0</x:v>
      </x:c>
    </x:row>
    <x:row r="54" ht="18" customHeight="1">
      <x:c r="A54" s="4" t="str">
        <x:v>Founder cash pay (INR)</x:v>
      </x:c>
      <x:c r="B54" s="60" t="n">
        <x:f>'Commercial Inputs'!$B$32</x:f>
        <x:v>0</x:v>
      </x:c>
      <x:c r="C54" s="60" t="n">
        <x:f>'Commercial Inputs'!$B$32</x:f>
        <x:v>0</x:v>
      </x:c>
      <x:c r="D54" s="60" t="n">
        <x:f>'Commercial Inputs'!$B$32</x:f>
        <x:v>0</x:v>
      </x:c>
      <x:c r="E54" s="60" t="n">
        <x:f>'Commercial Inputs'!$B$32</x:f>
        <x:v>0</x:v>
      </x:c>
      <x:c r="F54" s="60" t="n">
        <x:f>'Commercial Inputs'!$B$32</x:f>
        <x:v>0</x:v>
      </x:c>
      <x:c r="G54" s="60" t="n">
        <x:f>'Commercial Inputs'!$B$32</x:f>
        <x:v>0</x:v>
      </x:c>
      <x:c r="H54" s="60" t="n">
        <x:f>'Commercial Inputs'!$B$32</x:f>
        <x:v>0</x:v>
      </x:c>
      <x:c r="I54" s="60" t="n">
        <x:f>'Commercial Inputs'!$B$32</x:f>
        <x:v>0</x:v>
      </x:c>
      <x:c r="J54" s="60" t="n">
        <x:f>'Commercial Inputs'!$B$32</x:f>
        <x:v>0</x:v>
      </x:c>
      <x:c r="K54" s="60" t="n">
        <x:f>'Commercial Inputs'!$B$32</x:f>
        <x:v>0</x:v>
      </x:c>
      <x:c r="L54" s="60" t="n">
        <x:f>'Commercial Inputs'!$B$32</x:f>
        <x:v>0</x:v>
      </x:c>
      <x:c r="M54" s="60" t="n">
        <x:f>'Commercial Inputs'!$B$32</x:f>
        <x:v>0</x:v>
      </x:c>
      <x:c r="N54" s="60" t="n">
        <x:f>'Commercial Inputs'!$B$32</x:f>
        <x:v>0</x:v>
      </x:c>
      <x:c r="O54" s="60" t="n">
        <x:f>'Commercial Inputs'!$B$32</x:f>
        <x:v>0</x:v>
      </x:c>
      <x:c r="P54" s="60" t="n">
        <x:f>'Commercial Inputs'!$B$32</x:f>
        <x:v>0</x:v>
      </x:c>
      <x:c r="Q54" s="60" t="n">
        <x:f>'Commercial Inputs'!$B$32</x:f>
        <x:v>0</x:v>
      </x:c>
      <x:c r="R54" s="60" t="n">
        <x:f>'Commercial Inputs'!$B$32</x:f>
        <x:v>0</x:v>
      </x:c>
      <x:c r="S54" s="60" t="n">
        <x:f>'Commercial Inputs'!$B$32</x:f>
        <x:v>0</x:v>
      </x:c>
      <x:c r="T54" s="60" t="n">
        <x:f>'Commercial Inputs'!$B$32</x:f>
        <x:v>0</x:v>
      </x:c>
      <x:c r="U54" s="60" t="n">
        <x:f>'Commercial Inputs'!$B$32</x:f>
        <x:v>0</x:v>
      </x:c>
      <x:c r="V54" s="60" t="n">
        <x:f>'Commercial Inputs'!$B$32</x:f>
        <x:v>0</x:v>
      </x:c>
      <x:c r="W54" s="60" t="n">
        <x:f>'Commercial Inputs'!$B$32</x:f>
        <x:v>0</x:v>
      </x:c>
      <x:c r="X54" s="60" t="n">
        <x:f>'Commercial Inputs'!$B$32</x:f>
        <x:v>0</x:v>
      </x:c>
      <x:c r="Y54" s="60" t="n">
        <x:f>'Commercial Inputs'!$B$32</x:f>
        <x:v>0</x:v>
      </x:c>
      <x:c r="Z54" s="60" t="n">
        <x:f>'Commercial Inputs'!$B$32</x:f>
        <x:v>0</x:v>
      </x:c>
      <x:c r="AA54" s="60" t="n">
        <x:f>'Commercial Inputs'!$B$32</x:f>
        <x:v>0</x:v>
      </x:c>
      <x:c r="AB54" s="60" t="n">
        <x:f>'Commercial Inputs'!$B$32</x:f>
        <x:v>0</x:v>
      </x:c>
      <x:c r="AC54" s="60" t="n">
        <x:f>'Commercial Inputs'!$B$32</x:f>
        <x:v>0</x:v>
      </x:c>
      <x:c r="AD54" s="60" t="n">
        <x:f>'Commercial Inputs'!$B$32</x:f>
        <x:v>0</x:v>
      </x:c>
      <x:c r="AE54" s="60" t="n">
        <x:f>'Commercial Inputs'!$B$32</x:f>
        <x:v>0</x:v>
      </x:c>
      <x:c r="AF54" s="60" t="n">
        <x:f>'Commercial Inputs'!$B$32</x:f>
        <x:v>0</x:v>
      </x:c>
      <x:c r="AG54" s="60" t="n">
        <x:f>'Commercial Inputs'!$B$32</x:f>
        <x:v>0</x:v>
      </x:c>
      <x:c r="AH54" s="60" t="n">
        <x:f>'Commercial Inputs'!$B$32</x:f>
        <x:v>0</x:v>
      </x:c>
      <x:c r="AI54" s="60" t="n">
        <x:f>'Commercial Inputs'!$B$32</x:f>
        <x:v>0</x:v>
      </x:c>
      <x:c r="AJ54" s="60" t="n">
        <x:f>'Commercial Inputs'!$B$32</x:f>
        <x:v>0</x:v>
      </x:c>
      <x:c r="AK54" s="60" t="n">
        <x:f>'Commercial Inputs'!$B$32</x:f>
        <x:v>0</x:v>
      </x:c>
    </x:row>
    <x:row r="55" ht="18" customHeight="1">
      <x:c r="A55" s="4" t="str">
        <x:v>One-time launch expense (INR)</x:v>
      </x:c>
      <x:c r="B55" s="60" t="n">
        <x:f>'Commercial Inputs'!$B$30</x:f>
        <x:v>20000</x:v>
      </x:c>
      <x:c r="C55" s="60" t="n">
        <x:f>0</x:f>
        <x:v>0</x:v>
      </x:c>
      <x:c r="D55" s="60" t="n">
        <x:f>0</x:f>
        <x:v>0</x:v>
      </x:c>
      <x:c r="E55" s="60" t="n">
        <x:f>0</x:f>
        <x:v>0</x:v>
      </x:c>
      <x:c r="F55" s="60" t="n">
        <x:f>0</x:f>
        <x:v>0</x:v>
      </x:c>
      <x:c r="G55" s="60" t="n">
        <x:f>0</x:f>
        <x:v>0</x:v>
      </x:c>
      <x:c r="H55" s="60" t="n">
        <x:f>0</x:f>
        <x:v>0</x:v>
      </x:c>
      <x:c r="I55" s="60" t="n">
        <x:f>0</x:f>
        <x:v>0</x:v>
      </x:c>
      <x:c r="J55" s="60" t="n">
        <x:f>0</x:f>
        <x:v>0</x:v>
      </x:c>
      <x:c r="K55" s="60" t="n">
        <x:f>0</x:f>
        <x:v>0</x:v>
      </x:c>
      <x:c r="L55" s="60" t="n">
        <x:f>0</x:f>
        <x:v>0</x:v>
      </x:c>
      <x:c r="M55" s="60" t="n">
        <x:f>0</x:f>
        <x:v>0</x:v>
      </x:c>
      <x:c r="N55" s="60" t="n">
        <x:f>0</x:f>
        <x:v>0</x:v>
      </x:c>
      <x:c r="O55" s="60" t="n">
        <x:f>0</x:f>
        <x:v>0</x:v>
      </x:c>
      <x:c r="P55" s="60" t="n">
        <x:f>0</x:f>
        <x:v>0</x:v>
      </x:c>
      <x:c r="Q55" s="60" t="n">
        <x:f>0</x:f>
        <x:v>0</x:v>
      </x:c>
      <x:c r="R55" s="60" t="n">
        <x:f>0</x:f>
        <x:v>0</x:v>
      </x:c>
      <x:c r="S55" s="60" t="n">
        <x:f>0</x:f>
        <x:v>0</x:v>
      </x:c>
      <x:c r="T55" s="60" t="n">
        <x:f>0</x:f>
        <x:v>0</x:v>
      </x:c>
      <x:c r="U55" s="60" t="n">
        <x:f>0</x:f>
        <x:v>0</x:v>
      </x:c>
      <x:c r="V55" s="60" t="n">
        <x:f>0</x:f>
        <x:v>0</x:v>
      </x:c>
      <x:c r="W55" s="60" t="n">
        <x:f>0</x:f>
        <x:v>0</x:v>
      </x:c>
      <x:c r="X55" s="60" t="n">
        <x:f>0</x:f>
        <x:v>0</x:v>
      </x:c>
      <x:c r="Y55" s="60" t="n">
        <x:f>0</x:f>
        <x:v>0</x:v>
      </x:c>
      <x:c r="Z55" s="60" t="n">
        <x:f>0</x:f>
        <x:v>0</x:v>
      </x:c>
      <x:c r="AA55" s="60" t="n">
        <x:f>0</x:f>
        <x:v>0</x:v>
      </x:c>
      <x:c r="AB55" s="60" t="n">
        <x:f>0</x:f>
        <x:v>0</x:v>
      </x:c>
      <x:c r="AC55" s="60" t="n">
        <x:f>0</x:f>
        <x:v>0</x:v>
      </x:c>
      <x:c r="AD55" s="60" t="n">
        <x:f>0</x:f>
        <x:v>0</x:v>
      </x:c>
      <x:c r="AE55" s="60" t="n">
        <x:f>0</x:f>
        <x:v>0</x:v>
      </x:c>
      <x:c r="AF55" s="60" t="n">
        <x:f>0</x:f>
        <x:v>0</x:v>
      </x:c>
      <x:c r="AG55" s="60" t="n">
        <x:f>0</x:f>
        <x:v>0</x:v>
      </x:c>
      <x:c r="AH55" s="60" t="n">
        <x:f>0</x:f>
        <x:v>0</x:v>
      </x:c>
      <x:c r="AI55" s="60" t="n">
        <x:f>0</x:f>
        <x:v>0</x:v>
      </x:c>
      <x:c r="AJ55" s="60" t="n">
        <x:f>0</x:f>
        <x:v>0</x:v>
      </x:c>
      <x:c r="AK55" s="60" t="n">
        <x:f>0</x:f>
        <x:v>0</x:v>
      </x:c>
    </x:row>
    <x:row r="56" ht="18" customHeight="1">
      <x:c r="A56" s="74" t="str">
        <x:v>OPERATING PROFIT BEFORE INCOME TAX</x:v>
      </x:c>
      <x:c r="B56" s="75" t="n">
        <x:f>B50-B16-SUM(B52:B55)</x:f>
        <x:v>-38292.79707143911</x:v>
      </x:c>
      <x:c r="C56" s="75" t="n">
        <x:f>C50-C16-SUM(C52:C55)</x:f>
        <x:v>-17674.286874833175</x:v>
      </x:c>
      <x:c r="D56" s="75" t="n">
        <x:f>D50-D16-SUM(D52:D55)</x:f>
        <x:v>-17105.839466071455</x:v>
      </x:c>
      <x:c r="E56" s="75" t="n">
        <x:f>E50-E16-SUM(E52:E55)</x:f>
        <x:v>-16550.150260612114</x:v>
      </x:c>
      <x:c r="F56" s="75" t="n">
        <x:f>F50-F16-SUM(F52:F55)</x:f>
        <x:v>-16002.62725542291</x:v>
      </x:c>
      <x:c r="G56" s="75" t="n">
        <x:f>G50-G16-SUM(G52:G55)</x:f>
        <x:v>-15459.640106938656</x:v>
      </x:c>
      <x:c r="H56" s="75" t="n">
        <x:f>H50-H16-SUM(H52:H55)</x:f>
        <x:v>-8747.386497839163</x:v>
      </x:c>
      <x:c r="I56" s="75" t="n">
        <x:f>I50-I16-SUM(I52:I55)</x:f>
        <x:v>-8529.811240396592</x:v>
      </x:c>
      <x:c r="J56" s="75" t="n">
        <x:f>J50-J16-SUM(J52:J55)</x:f>
        <x:v>-8278.742906987158</x:v>
      </x:c>
      <x:c r="K56" s="75" t="n">
        <x:f>K50-K16-SUM(K52:K55)</x:f>
        <x:v>-8012.614469436259</x:v>
      </x:c>
      <x:c r="L56" s="75" t="n">
        <x:f>L50-L16-SUM(L52:L55)</x:f>
        <x:v>-7744.05285161034</x:v>
      </x:c>
      <x:c r="M56" s="75" t="n">
        <x:f>M50-M16-SUM(M52:M55)</x:f>
        <x:v>-7464.3871077327</x:v>
      </x:c>
      <x:c r="N56" s="75" t="n">
        <x:f>N50-N16-SUM(N52:N55)</x:f>
        <x:v>-7659.653403077016</x:v>
      </x:c>
      <x:c r="O56" s="75" t="n">
        <x:f>O50-O16-SUM(O52:O55)</x:f>
        <x:v>-7726.575185201864</x:v>
      </x:c>
      <x:c r="P56" s="75" t="n">
        <x:f>P50-P16-SUM(P52:P55)</x:f>
        <x:v>-7791.351527410565</x:v>
      </x:c>
      <x:c r="Q56" s="75" t="n">
        <x:f>Q50-Q16-SUM(Q52:Q55)</x:f>
        <x:v>-7854.319322206901</x:v>
      </x:c>
      <x:c r="R56" s="75" t="n">
        <x:f>R50-R16-SUM(R52:R55)</x:f>
        <x:v>-7915.751562340799</x:v>
      </x:c>
      <x:c r="S56" s="75" t="n">
        <x:f>S50-S16-SUM(S52:S55)</x:f>
        <x:v>-7975.872072678232</x:v>
      </x:c>
      <x:c r="T56" s="75" t="n">
        <x:f>T50-T16-SUM(T52:T55)</x:f>
        <x:v>-7779.082005059247</x:v>
      </x:c>
      <x:c r="U56" s="75" t="n">
        <x:f>U50-U16-SUM(U52:U55)</x:f>
        <x:v>-7648.55273727826</x:v>
      </x:c>
      <x:c r="V56" s="75" t="n">
        <x:f>V50-V16-SUM(V52:V55)</x:f>
        <x:v>-7517.19118421226</x:v>
      </x:c>
      <x:c r="W56" s="75" t="n">
        <x:f>W50-W16-SUM(W52:W55)</x:f>
        <x:v>-7385.116998678644</x:v>
      </x:c>
      <x:c r="X56" s="75" t="n">
        <x:f>X50-X16-SUM(X52:X55)</x:f>
        <x:v>-7252.437983662714</x:v>
      </x:c>
      <x:c r="Y56" s="75" t="n">
        <x:f>Y50-Y16-SUM(Y52:Y55)</x:f>
        <x:v>-7119.253479371935</x:v>
      </x:c>
      <x:c r="Z56" s="75" t="n">
        <x:f>Z50-Z16-SUM(Z52:Z55)</x:f>
        <x:v>-7084.103602765624</x:v>
      </x:c>
      <x:c r="AA56" s="75" t="n">
        <x:f>AA50-AA16-SUM(AA52:AA55)</x:f>
        <x:v>-7003.963568103794</x:v>
      </x:c>
      <x:c r="AB56" s="75" t="n">
        <x:f>AB50-AB16-SUM(AB52:AB55)</x:f>
        <x:v>-6926.3634652791625</x:v>
      </x:c>
      <x:c r="AC56" s="75" t="n">
        <x:f>AC50-AC16-SUM(AC52:AC55)</x:f>
        <x:v>-6851.253839340728</x:v>
      </x:c>
      <x:c r="AD56" s="75" t="n">
        <x:f>AD50-AD16-SUM(AD52:AD55)</x:f>
        <x:v>-6778.617077966897</x:v>
      </x:c>
      <x:c r="AE56" s="75" t="n">
        <x:f>AE50-AE16-SUM(AE52:AE55)</x:f>
        <x:v>-6708.460938584714</x:v>
      </x:c>
      <x:c r="AF56" s="75" t="n">
        <x:f>AF50-AF16-SUM(AF52:AF55)</x:f>
        <x:v>-6587.844428026265</x:v>
      </x:c>
      <x:c r="AG56" s="75" t="n">
        <x:f>AG50-AG16-SUM(AG52:AG55)</x:f>
        <x:v>-6495.328156917758</x:v>
      </x:c>
      <x:c r="AH56" s="75" t="n">
        <x:f>AH50-AH16-SUM(AH52:AH55)</x:f>
        <x:v>-6405.423093478001</x:v>
      </x:c>
      <x:c r="AI56" s="75" t="n">
        <x:f>AI50-AI16-SUM(AI52:AI55)</x:f>
        <x:v>-6318.198258114555</x:v>
      </x:c>
      <x:c r="AJ56" s="75" t="n">
        <x:f>AJ50-AJ16-SUM(AJ52:AJ55)</x:f>
        <x:v>-6233.731932696129</x:v>
      </x:c>
      <x:c r="AK56" s="75" t="n">
        <x:f>AK50-AK16-SUM(AK52:AK55)</x:f>
        <x:v>-6152.110266951573</x:v>
      </x:c>
    </x:row>
    <x:row r="57" ht="18" customHeight="1">
      <x:c r="A57" s="4" t="str">
        <x:v>Operating margin (%)</x:v>
      </x:c>
      <x:c r="B57" s="62" t="n">
        <x:f>IFERROR(B56/B38,0)</x:f>
        <x:v>-41.32343047829681</x:v>
      </x:c>
      <x:c r="C57" s="62" t="n">
        <x:f>IFERROR(C56/C38,0)</x:f>
        <x:v>-10.925004364384012</x:v>
      </x:c>
      <x:c r="D57" s="62" t="n">
        <x:f>IFERROR(D56/D38,0)</x:f>
        <x:v>-7.609702989970915</x:v>
      </x:c>
      <x:c r="E57" s="62" t="n">
        <x:f>IFERROR(E56/E38,0)</x:f>
        <x:v>-5.78274164908163</x:v>
      </x:c>
      <x:c r="F57" s="62" t="n">
        <x:f>IFERROR(F56/F38,0)</x:f>
        <x:v>-4.617591220171348</x:v>
      </x:c>
      <x:c r="G57" s="62" t="n">
        <x:f>IFERROR(G56/G38,0)</x:f>
        <x:v>-3.804958543755454</x:v>
      </x:c>
      <x:c r="H57" s="62" t="n">
        <x:f>IFERROR(H56/H38,0)</x:f>
        <x:v>-2.097660242022636</x:v>
      </x:c>
      <x:c r="I57" s="62" t="n">
        <x:f>IFERROR(I56/I38,0)</x:f>
        <x:v>-1.9350396261260183</x:v>
      </x:c>
      <x:c r="J57" s="62" t="n">
        <x:f>IFERROR(J56/J38,0)</x:f>
        <x:v>-1.7667862426349386</x:v>
      </x:c>
      <x:c r="K57" s="62" t="n">
        <x:f>IFERROR(K56/K38,0)</x:f>
        <x:v>-1.6086814376337735</x:v>
      </x:c>
      <x:c r="L57" s="62" t="n">
        <x:f>IFERROR(L56/L38,0)</x:f>
        <x:v>-1.463383977081572</x:v>
      </x:c>
      <x:c r="M57" s="62" t="n">
        <x:f>IFERROR(M56/M38,0)</x:f>
        <x:v>-1.3287161830431244</x:v>
      </x:c>
      <x:c r="N57" s="62" t="n">
        <x:f>IFERROR(N56/N38,0)</x:f>
        <x:v>-1.3794002175979847</x:v>
      </x:c>
      <x:c r="O57" s="62" t="n">
        <x:f>IFERROR(O56/O38,0)</x:f>
        <x:v>-1.4070941424024523</x:v>
      </x:c>
      <x:c r="P57" s="62" t="n">
        <x:f>IFERROR(P56/P38,0)</x:f>
        <x:v>-1.4342680809141026</x:v>
      </x:c>
      <x:c r="Q57" s="62" t="n">
        <x:f>IFERROR(Q56/Q38,0)</x:f>
        <x:v>-1.461035101969568</x:v>
      </x:c>
      <x:c r="R57" s="62" t="n">
        <x:f>IFERROR(R56/R38,0)</x:f>
        <x:v>-1.4874882303538508</x:v>
      </x:c>
      <x:c r="S57" s="62" t="n">
        <x:f>IFERROR(S56/S38,0)</x:f>
        <x:v>-1.5137047577135039</x:v>
      </x:c>
      <x:c r="T57" s="62" t="n">
        <x:f>IFERROR(T56/T38,0)</x:f>
        <x:v>-1.4331019196432044</x:v>
      </x:c>
      <x:c r="U57" s="62" t="n">
        <x:f>IFERROR(U56/U38,0)</x:f>
        <x:v>-1.3685911800230977</x:v>
      </x:c>
      <x:c r="V57" s="62" t="n">
        <x:f>IFERROR(V56/V38,0)</x:f>
        <x:v>-1.3072422169420077</x:v>
      </x:c>
      <x:c r="W57" s="62" t="n">
        <x:f>IFERROR(W56/W38,0)</x:f>
        <x:v>-1.2488845729417215</x:v>
      </x:c>
      <x:c r="X57" s="62" t="n">
        <x:f>IFERROR(X56/X38,0)</x:f>
        <x:v>-1.1933523095583136</x:v>
      </x:c>
      <x:c r="Y57" s="62" t="n">
        <x:f>IFERROR(Y56/Y38,0)</x:f>
        <x:v>-1.1404862927359782</x:v>
      </x:c>
      <x:c r="Z57" s="62" t="n">
        <x:f>IFERROR(Z56/Z38,0)</x:f>
        <x:v>-1.1164884779390765</x:v>
      </x:c>
      <x:c r="AA57" s="62" t="n">
        <x:f>IFERROR(AA56/AA38,0)</x:f>
        <x:v>-1.0868179631183026</x:v>
      </x:c>
      <x:c r="AB57" s="62" t="n">
        <x:f>IFERROR(AB56/AB38,0)</x:f>
        <x:v>-1.058886268945533</x:v>
      </x:c>
      <x:c r="AC57" s="62" t="n">
        <x:f>IFERROR(AC56/AC38,0)</x:f>
        <x:v>-1.032563272555184</x:v>
      </x:c>
      <x:c r="AD57" s="62" t="n">
        <x:f>IFERROR(AD56/AD38,0)</x:f>
        <x:v>-1.007741924586676</x:v>
      </x:c>
      <x:c r="AE57" s="62" t="n">
        <x:f>IFERROR(AE56/AE38,0)</x:f>
        <x:v>-0.9843332802599376</x:v>
      </x:c>
      <x:c r="AF57" s="62" t="n">
        <x:f>IFERROR(AF56/AF38,0)</x:f>
        <x:v>-0.9503846868205644</x:v>
      </x:c>
      <x:c r="AG57" s="62" t="n">
        <x:f>IFERROR(AG56/AG38,0)</x:f>
        <x:v>-0.9219011538121176</x:v>
      </x:c>
      <x:c r="AH57" s="62" t="n">
        <x:f>IFERROR(AH56/AH38,0)</x:f>
        <x:v>-0.8950350408925833</x:v>
      </x:c>
      <x:c r="AI57" s="62" t="n">
        <x:f>IFERROR(AI56/AI38,0)</x:f>
        <x:v>-0.8696993188869551</x:v>
      </x:c>
      <x:c r="AJ57" s="62" t="n">
        <x:f>IFERROR(AJ56/AJ38,0)</x:f>
        <x:v>-0.8458172161981666</x:v>
      </x:c>
      <x:c r="AK57" s="62" t="n">
        <x:f>IFERROR(AK56/AK38,0)</x:f>
        <x:v>-0.8233207753067708</x:v>
      </x:c>
    </x:row>
    <x:row r="58" ht="18" customHeight="1">
      <x:c r="A58" s="4" t="str">
        <x:v>After imputed founder time (INR)</x:v>
      </x:c>
      <x:c r="B58" s="58" t="n">
        <x:f>B56-'Commercial Inputs'!$B$33</x:f>
        <x:v>-138292.7970714391</x:v>
      </x:c>
      <x:c r="C58" s="58" t="n">
        <x:f>C56-'Commercial Inputs'!$B$33</x:f>
        <x:v>-117674.28687483317</x:v>
      </x:c>
      <x:c r="D58" s="58" t="n">
        <x:f>D56-'Commercial Inputs'!$B$33</x:f>
        <x:v>-117105.83946607145</x:v>
      </x:c>
      <x:c r="E58" s="58" t="n">
        <x:f>E56-'Commercial Inputs'!$B$33</x:f>
        <x:v>-116550.1502606121</x:v>
      </x:c>
      <x:c r="F58" s="58" t="n">
        <x:f>F56-'Commercial Inputs'!$B$33</x:f>
        <x:v>-116002.6272554229</x:v>
      </x:c>
      <x:c r="G58" s="58" t="n">
        <x:f>G56-'Commercial Inputs'!$B$33</x:f>
        <x:v>-115459.64010693866</x:v>
      </x:c>
      <x:c r="H58" s="58" t="n">
        <x:f>H56-'Commercial Inputs'!$B$33</x:f>
        <x:v>-108747.38649783916</x:v>
      </x:c>
      <x:c r="I58" s="58" t="n">
        <x:f>I56-'Commercial Inputs'!$B$33</x:f>
        <x:v>-108529.8112403966</x:v>
      </x:c>
      <x:c r="J58" s="58" t="n">
        <x:f>J56-'Commercial Inputs'!$B$33</x:f>
        <x:v>-108278.74290698716</x:v>
      </x:c>
      <x:c r="K58" s="58" t="n">
        <x:f>K56-'Commercial Inputs'!$B$33</x:f>
        <x:v>-108012.61446943626</x:v>
      </x:c>
      <x:c r="L58" s="58" t="n">
        <x:f>L56-'Commercial Inputs'!$B$33</x:f>
        <x:v>-107744.05285161034</x:v>
      </x:c>
      <x:c r="M58" s="58" t="n">
        <x:f>M56-'Commercial Inputs'!$B$33</x:f>
        <x:v>-107464.3871077327</x:v>
      </x:c>
      <x:c r="N58" s="58" t="n">
        <x:f>N56-'Commercial Inputs'!$B$33</x:f>
        <x:v>-107659.65340307701</x:v>
      </x:c>
      <x:c r="O58" s="58" t="n">
        <x:f>O56-'Commercial Inputs'!$B$33</x:f>
        <x:v>-107726.57518520186</x:v>
      </x:c>
      <x:c r="P58" s="58" t="n">
        <x:f>P56-'Commercial Inputs'!$B$33</x:f>
        <x:v>-107791.35152741056</x:v>
      </x:c>
      <x:c r="Q58" s="58" t="n">
        <x:f>Q56-'Commercial Inputs'!$B$33</x:f>
        <x:v>-107854.3193222069</x:v>
      </x:c>
      <x:c r="R58" s="58" t="n">
        <x:f>R56-'Commercial Inputs'!$B$33</x:f>
        <x:v>-107915.7515623408</x:v>
      </x:c>
      <x:c r="S58" s="58" t="n">
        <x:f>S56-'Commercial Inputs'!$B$33</x:f>
        <x:v>-107975.87207267823</x:v>
      </x:c>
      <x:c r="T58" s="58" t="n">
        <x:f>T56-'Commercial Inputs'!$B$33</x:f>
        <x:v>-107779.08200505924</x:v>
      </x:c>
      <x:c r="U58" s="58" t="n">
        <x:f>U56-'Commercial Inputs'!$B$33</x:f>
        <x:v>-107648.55273727825</x:v>
      </x:c>
      <x:c r="V58" s="58" t="n">
        <x:f>V56-'Commercial Inputs'!$B$33</x:f>
        <x:v>-107517.19118421226</x:v>
      </x:c>
      <x:c r="W58" s="58" t="n">
        <x:f>W56-'Commercial Inputs'!$B$33</x:f>
        <x:v>-107385.11699867864</x:v>
      </x:c>
      <x:c r="X58" s="58" t="n">
        <x:f>X56-'Commercial Inputs'!$B$33</x:f>
        <x:v>-107252.43798366272</x:v>
      </x:c>
      <x:c r="Y58" s="58" t="n">
        <x:f>Y56-'Commercial Inputs'!$B$33</x:f>
        <x:v>-107119.25347937194</x:v>
      </x:c>
      <x:c r="Z58" s="58" t="n">
        <x:f>Z56-'Commercial Inputs'!$B$33</x:f>
        <x:v>-107084.10360276562</x:v>
      </x:c>
      <x:c r="AA58" s="58" t="n">
        <x:f>AA56-'Commercial Inputs'!$B$33</x:f>
        <x:v>-107003.96356810379</x:v>
      </x:c>
      <x:c r="AB58" s="58" t="n">
        <x:f>AB56-'Commercial Inputs'!$B$33</x:f>
        <x:v>-106926.36346527917</x:v>
      </x:c>
      <x:c r="AC58" s="58" t="n">
        <x:f>AC56-'Commercial Inputs'!$B$33</x:f>
        <x:v>-106851.25383934073</x:v>
      </x:c>
      <x:c r="AD58" s="58" t="n">
        <x:f>AD56-'Commercial Inputs'!$B$33</x:f>
        <x:v>-106778.61707796689</x:v>
      </x:c>
      <x:c r="AE58" s="58" t="n">
        <x:f>AE56-'Commercial Inputs'!$B$33</x:f>
        <x:v>-106708.46093858471</x:v>
      </x:c>
      <x:c r="AF58" s="58" t="n">
        <x:f>AF56-'Commercial Inputs'!$B$33</x:f>
        <x:v>-106587.84442802626</x:v>
      </x:c>
      <x:c r="AG58" s="58" t="n">
        <x:f>AG56-'Commercial Inputs'!$B$33</x:f>
        <x:v>-106495.32815691776</x:v>
      </x:c>
      <x:c r="AH58" s="58" t="n">
        <x:f>AH56-'Commercial Inputs'!$B$33</x:f>
        <x:v>-106405.423093478</x:v>
      </x:c>
      <x:c r="AI58" s="58" t="n">
        <x:f>AI56-'Commercial Inputs'!$B$33</x:f>
        <x:v>-106318.19825811456</x:v>
      </x:c>
      <x:c r="AJ58" s="58" t="n">
        <x:f>AJ56-'Commercial Inputs'!$B$33</x:f>
        <x:v>-106233.73193269613</x:v>
      </x:c>
      <x:c r="AK58" s="58" t="n">
        <x:f>AK56-'Commercial Inputs'!$B$33</x:f>
        <x:v>-106152.11026695157</x:v>
      </x:c>
    </x:row>
    <x:row r="59" ht="18" customHeight="1">
      <x:c r="A59" s="4" t="str">
        <x:v>Net proceeds awaiting payout (INR)</x:v>
      </x:c>
      <x:c r="B59" s="58" t="n">
        <x:f>B43-B44</x:f>
        <x:v>5683.746597777777</x:v>
      </x:c>
      <x:c r="C59" s="58" t="n">
        <x:f>C43-C44</x:f>
        <x:v>5927.4513078043865</x:v>
      </x:c>
      <x:c r="D59" s="58" t="n">
        <x:f>D43-D44</x:f>
        <x:v>6113.571593128593</x:v>
      </x:c>
      <x:c r="E59" s="58" t="n">
        <x:f>E43-E44</x:f>
        <x:v>6281.451439305964</x:v>
      </x:c>
      <x:c r="F59" s="58" t="n">
        <x:f>F43-F44</x:f>
        <x:v>6435.808747705244</x:v>
      </x:c>
      <x:c r="G59" s="58" t="n">
        <x:f>G43-G44</x:f>
        <x:v>6580.3393664222085</x:v>
      </x:c>
      <x:c r="H59" s="58" t="n">
        <x:f>H43-H44</x:f>
        <x:v>3726.498004363084</x:v>
      </x:c>
      <x:c r="I59" s="58" t="n">
        <x:f>I43-I44</x:f>
        <x:v>3773.7013773073522</x:v>
      </x:c>
      <x:c r="J59" s="58" t="n">
        <x:f>J43-J44</x:f>
        <x:v>3850.8606065219938</x:v>
      </x:c>
      <x:c r="K59" s="58" t="n">
        <x:f>K43-K44</x:f>
        <x:v>3938.3020630881856</x:v>
      </x:c>
      <x:c r="L59" s="58" t="n">
        <x:f>L43-L44</x:f>
        <x:v>4034.5734072714754</x:v>
      </x:c>
      <x:c r="M59" s="58" t="n">
        <x:f>M43-M44</x:f>
        <x:v>4138.56786739403</x:v>
      </x:c>
      <x:c r="N59" s="58" t="n">
        <x:f>N43-N44</x:f>
        <x:v>5219.6768607575295</x:v>
      </x:c>
      <x:c r="O59" s="58" t="n">
        <x:f>O43-O44</x:f>
        <x:v>5310.935650420823</x:v>
      </x:c>
      <x:c r="P59" s="58" t="n">
        <x:f>P43-P44</x:f>
        <x:v>5405.7765009560935</x:v>
      </x:c>
      <x:c r="Q59" s="58" t="n">
        <x:f>Q43-Q44</x:f>
        <x:v>5503.91871776978</x:v>
      </x:c>
      <x:c r="R59" s="58" t="n">
        <x:f>R43-R44</x:f>
        <x:v>5605.154936664426</x:v>
      </x:c>
      <x:c r="S59" s="58" t="n">
        <x:f>S43-S44</x:f>
        <x:v>5709.335176101169</x:v>
      </x:c>
      <x:c r="T59" s="58" t="n">
        <x:f>T43-T44</x:f>
        <x:v>5286.0933694929045</x:v>
      </x:c>
      <x:c r="U59" s="58" t="n">
        <x:f>U43-U44</x:f>
        <x:v>5395.8819007515685</x:v>
      </x:c>
      <x:c r="V59" s="58" t="n">
        <x:f>V43-V44</x:f>
        <x:v>5508.397777061869</x:v>
      </x:c>
      <x:c r="W59" s="58" t="n">
        <x:f>W43-W44</x:f>
        <x:v>5623.620976590838</x:v>
      </x:c>
      <x:c r="X59" s="58" t="n">
        <x:f>X43-X44</x:f>
        <x:v>5741.548844035484</x:v>
      </x:c>
      <x:c r="Y59" s="58" t="n">
        <x:f>Y43-Y44</x:f>
        <x:v>5862.192550072065</x:v>
      </x:c>
      <x:c r="Z59" s="58" t="n">
        <x:f>Z43-Z44</x:f>
        <x:v>6314.552262336392</x:v>
      </x:c>
      <x:c r="AA59" s="58" t="n">
        <x:f>AA43-AA44</x:f>
        <x:v>6389.170076726003</x:v>
      </x:c>
      <x:c r="AB59" s="58" t="n">
        <x:f>AB43-AB44</x:f>
        <x:v>6464.087651590952</x:v>
      </x:c>
      <x:c r="AC59" s="58" t="n">
        <x:f>AC43-AC44</x:f>
        <x:v>6539.466432015406</x:v>
      </x:c>
      <x:c r="AD59" s="58" t="n">
        <x:f>AD43-AD44</x:f>
        <x:v>6615.4359295369295</x:v>
      </x:c>
      <x:c r="AE59" s="58" t="n">
        <x:f>AE43-AE44</x:f>
        <x:v>6692.100854489725</x:v>
      </x:c>
      <x:c r="AF59" s="58" t="n">
        <x:f>AF43-AF44</x:f>
        <x:v>6568.0474746365735</x:v>
      </x:c>
      <x:c r="AG59" s="58" t="n">
        <x:f>AG43-AG44</x:f>
        <x:v>6646.344743364636</x:v>
      </x:c>
      <x:c r="AH59" s="58" t="n">
        <x:f>AH43-AH44</x:f>
        <x:v>6725.552480381131</x:v>
      </x:c>
      <x:c r="AI59" s="58" t="n">
        <x:f>AI43-AI44</x:f>
        <x:v>6805.720800316788</x:v>
      </x:c>
      <x:c r="AJ59" s="58" t="n">
        <x:f>AJ43-AJ44</x:f>
        <x:v>6886.892965589708</x:v>
      </x:c>
      <x:c r="AK59" s="58" t="n">
        <x:f>AK43-AK44</x:f>
        <x:v>6969.10698695566</x:v>
      </x:c>
    </x:row>
    <x:row r="60" ht="18" customHeight="1">
      <x:c r="A60" s="4" t="str">
        <x:v>Payouts received this month (INR)</x:v>
      </x:c>
      <x:c r="B60" s="58" t="n">
        <x:f>B59*(1-'Commercial Inputs'!$B$31)+0*'Commercial Inputs'!$B$31</x:f>
        <x:v>2841.8732988888887</x:v>
      </x:c>
      <x:c r="C60" s="58" t="n">
        <x:f>C59*(1-'Commercial Inputs'!$B$31)+B59*'Commercial Inputs'!$B$31</x:f>
        <x:v>5805.598952791082</x:v>
      </x:c>
      <x:c r="D60" s="58" t="n">
        <x:f>D59*(1-'Commercial Inputs'!$B$31)+C59*'Commercial Inputs'!$B$31</x:f>
        <x:v>6020.51145046649</x:v>
      </x:c>
      <x:c r="E60" s="58" t="n">
        <x:f>E59*(1-'Commercial Inputs'!$B$31)+D59*'Commercial Inputs'!$B$31</x:f>
        <x:v>6197.511516217279</x:v>
      </x:c>
      <x:c r="F60" s="58" t="n">
        <x:f>F59*(1-'Commercial Inputs'!$B$31)+E59*'Commercial Inputs'!$B$31</x:f>
        <x:v>6358.630093505604</x:v>
      </x:c>
      <x:c r="G60" s="58" t="n">
        <x:f>G59*(1-'Commercial Inputs'!$B$31)+F59*'Commercial Inputs'!$B$31</x:f>
        <x:v>6508.074057063726</x:v>
      </x:c>
      <x:c r="H60" s="58" t="n">
        <x:f>H59*(1-'Commercial Inputs'!$B$31)+G59*'Commercial Inputs'!$B$31</x:f>
        <x:v>5153.418685392646</x:v>
      </x:c>
      <x:c r="I60" s="58" t="n">
        <x:f>I59*(1-'Commercial Inputs'!$B$31)+H59*'Commercial Inputs'!$B$31</x:f>
        <x:v>3750.099690835218</x:v>
      </x:c>
      <x:c r="J60" s="58" t="n">
        <x:f>J59*(1-'Commercial Inputs'!$B$31)+I59*'Commercial Inputs'!$B$31</x:f>
        <x:v>3812.280991914673</x:v>
      </x:c>
      <x:c r="K60" s="58" t="n">
        <x:f>K59*(1-'Commercial Inputs'!$B$31)+J59*'Commercial Inputs'!$B$31</x:f>
        <x:v>3894.5813348050897</x:v>
      </x:c>
      <x:c r="L60" s="58" t="n">
        <x:f>L59*(1-'Commercial Inputs'!$B$31)+K59*'Commercial Inputs'!$B$31</x:f>
        <x:v>3986.4377351798303</x:v>
      </x:c>
      <x:c r="M60" s="58" t="n">
        <x:f>M59*(1-'Commercial Inputs'!$B$31)+L59*'Commercial Inputs'!$B$31</x:f>
        <x:v>4086.570637332753</x:v>
      </x:c>
      <x:c r="N60" s="58" t="n">
        <x:f>N59*(1-'Commercial Inputs'!$B$31)+M59*'Commercial Inputs'!$B$31</x:f>
        <x:v>4679.12236407578</x:v>
      </x:c>
      <x:c r="O60" s="58" t="n">
        <x:f>O59*(1-'Commercial Inputs'!$B$31)+N59*'Commercial Inputs'!$B$31</x:f>
        <x:v>5265.306255589176</x:v>
      </x:c>
      <x:c r="P60" s="58" t="n">
        <x:f>P59*(1-'Commercial Inputs'!$B$31)+O59*'Commercial Inputs'!$B$31</x:f>
        <x:v>5358.356075688458</x:v>
      </x:c>
      <x:c r="Q60" s="58" t="n">
        <x:f>Q59*(1-'Commercial Inputs'!$B$31)+P59*'Commercial Inputs'!$B$31</x:f>
        <x:v>5454.847609362937</x:v>
      </x:c>
      <x:c r="R60" s="58" t="n">
        <x:f>R59*(1-'Commercial Inputs'!$B$31)+Q59*'Commercial Inputs'!$B$31</x:f>
        <x:v>5554.536827217104</x:v>
      </x:c>
      <x:c r="S60" s="58" t="n">
        <x:f>S59*(1-'Commercial Inputs'!$B$31)+R59*'Commercial Inputs'!$B$31</x:f>
        <x:v>5657.245056382797</x:v>
      </x:c>
      <x:c r="T60" s="58" t="n">
        <x:f>T59*(1-'Commercial Inputs'!$B$31)+S59*'Commercial Inputs'!$B$31</x:f>
        <x:v>5497.714272797037</x:v>
      </x:c>
      <x:c r="U60" s="58" t="n">
        <x:f>U59*(1-'Commercial Inputs'!$B$31)+T59*'Commercial Inputs'!$B$31</x:f>
        <x:v>5340.9876351222365</x:v>
      </x:c>
      <x:c r="V60" s="58" t="n">
        <x:f>V59*(1-'Commercial Inputs'!$B$31)+U59*'Commercial Inputs'!$B$31</x:f>
        <x:v>5452.139838906719</x:v>
      </x:c>
      <x:c r="W60" s="58" t="n">
        <x:f>W59*(1-'Commercial Inputs'!$B$31)+V59*'Commercial Inputs'!$B$31</x:f>
        <x:v>5566.009376826354</x:v>
      </x:c>
      <x:c r="X60" s="58" t="n">
        <x:f>X59*(1-'Commercial Inputs'!$B$31)+W59*'Commercial Inputs'!$B$31</x:f>
        <x:v>5682.58491031316</x:v>
      </x:c>
      <x:c r="Y60" s="58" t="n">
        <x:f>Y59*(1-'Commercial Inputs'!$B$31)+X59*'Commercial Inputs'!$B$31</x:f>
        <x:v>5801.870697053775</x:v>
      </x:c>
      <x:c r="Z60" s="58" t="n">
        <x:f>Z59*(1-'Commercial Inputs'!$B$31)+Y59*'Commercial Inputs'!$B$31</x:f>
        <x:v>6088.372406204229</x:v>
      </x:c>
      <x:c r="AA60" s="58" t="n">
        <x:f>AA59*(1-'Commercial Inputs'!$B$31)+Z59*'Commercial Inputs'!$B$31</x:f>
        <x:v>6351.861169531197</x:v>
      </x:c>
      <x:c r="AB60" s="58" t="n">
        <x:f>AB59*(1-'Commercial Inputs'!$B$31)+AA59*'Commercial Inputs'!$B$31</x:f>
        <x:v>6426.628864158478</x:v>
      </x:c>
      <x:c r="AC60" s="58" t="n">
        <x:f>AC59*(1-'Commercial Inputs'!$B$31)+AB59*'Commercial Inputs'!$B$31</x:f>
        <x:v>6501.77704180318</x:v>
      </x:c>
      <x:c r="AD60" s="58" t="n">
        <x:f>AD59*(1-'Commercial Inputs'!$B$31)+AC59*'Commercial Inputs'!$B$31</x:f>
        <x:v>6577.451180776168</x:v>
      </x:c>
      <x:c r="AE60" s="58" t="n">
        <x:f>AE59*(1-'Commercial Inputs'!$B$31)+AD59*'Commercial Inputs'!$B$31</x:f>
        <x:v>6653.768392013328</x:v>
      </x:c>
      <x:c r="AF60" s="58" t="n">
        <x:f>AF59*(1-'Commercial Inputs'!$B$31)+AE59*'Commercial Inputs'!$B$31</x:f>
        <x:v>6630.07416456315</x:v>
      </x:c>
      <x:c r="AG60" s="58" t="n">
        <x:f>AG59*(1-'Commercial Inputs'!$B$31)+AF59*'Commercial Inputs'!$B$31</x:f>
        <x:v>6607.196109000604</x:v>
      </x:c>
      <x:c r="AH60" s="58" t="n">
        <x:f>AH59*(1-'Commercial Inputs'!$B$31)+AG59*'Commercial Inputs'!$B$31</x:f>
        <x:v>6685.948611872884</x:v>
      </x:c>
      <x:c r="AI60" s="58" t="n">
        <x:f>AI59*(1-'Commercial Inputs'!$B$31)+AH59*'Commercial Inputs'!$B$31</x:f>
        <x:v>6765.636640348959</x:v>
      </x:c>
      <x:c r="AJ60" s="58" t="n">
        <x:f>AJ59*(1-'Commercial Inputs'!$B$31)+AI59*'Commercial Inputs'!$B$31</x:f>
        <x:v>6846.306882953248</x:v>
      </x:c>
      <x:c r="AK60" s="58" t="n">
        <x:f>AK59*(1-'Commercial Inputs'!$B$31)+AJ59*'Commercial Inputs'!$B$31</x:f>
        <x:v>6927.999976272684</x:v>
      </x:c>
    </x:row>
    <x:row r="61" ht="18" customHeight="1">
      <x:c r="A61" s="4" t="str">
        <x:v>Cash outgo other than withheld fees (INR)</x:v>
      </x:c>
      <x:c r="B61" s="58" t="n">
        <x:f>SUM(B45:B48)+B16+SUM(B52:B55)</x:f>
        <x:v>38561.91843333333</x:v>
      </x:c>
      <x:c r="C61" s="58" t="n">
        <x:f>SUM(C45:C48)+C16+SUM(C52:C55)</x:f>
        <x:v>18602.406930156947</x:v>
      </x:c>
      <x:c r="D61" s="58" t="n">
        <x:f>SUM(D45:D48)+D16+SUM(D52:D55)</x:f>
        <x:v>18640.060420290647</x:v>
      </x:c>
      <x:c r="E61" s="58" t="n">
        <x:f>SUM(E45:E48)+E16+SUM(E52:E55)</x:f>
        <x:v>18677.05890365323</x:v>
      </x:c>
      <x:c r="F61" s="58" t="n">
        <x:f>SUM(F45:F48)+F16+SUM(F52:F55)</x:f>
        <x:v>18713.673095453392</x:v>
      </x:c>
      <x:c r="G61" s="58" t="n">
        <x:f>SUM(G45:G48)+G16+SUM(G52:G55)</x:f>
        <x:v>18750.11766160008</x:v>
      </x:c>
      <x:c r="H61" s="58" t="n">
        <x:f>SUM(H45:H48)+H16+SUM(H52:H55)</x:f>
        <x:v>12474.001385627245</x:v>
      </x:c>
      <x:c r="I61" s="58" t="n">
        <x:f>SUM(I45:I48)+I16+SUM(I52:I55)</x:f>
        <x:v>12490.165551642995</x:v>
      </x:c>
      <x:c r="J61" s="58" t="n">
        <x:f>SUM(J45:J48)+J16+SUM(J52:J55)</x:f>
        <x:v>12508.388579477672</x:v>
      </x:c>
      <x:c r="K61" s="58" t="n">
        <x:f>SUM(K45:K48)+K16+SUM(K52:K55)</x:f>
        <x:v>12527.59769448332</x:v>
      </x:c>
      <x:c r="L61" s="58" t="n">
        <x:f>SUM(L45:L48)+L16+SUM(L52:L55)</x:f>
        <x:v>12559.140399710755</x:v>
      </x:c>
      <x:c r="M61" s="58" t="n">
        <x:f>SUM(M45:M48)+M16+SUM(M52:M55)</x:f>
        <x:v>12593.41708419184</x:v>
      </x:c>
      <x:c r="N61" s="58" t="n">
        <x:f>SUM(N45:N48)+N16+SUM(N52:N55)</x:f>
        <x:v>12600.524469051703</x:v>
      </x:c>
      <x:c r="O61" s="58" t="n">
        <x:f>SUM(O45:O48)+O16+SUM(O52:O55)</x:f>
        <x:v>12595.16180923145</x:v>
      </x:c>
      <x:c r="P61" s="58" t="n">
        <x:f>SUM(P45:P48)+P16+SUM(P52:P55)</x:f>
        <x:v>12590.057101381626</x:v>
      </x:c>
      <x:c r="Q61" s="58" t="n">
        <x:f>SUM(Q45:Q48)+Q16+SUM(Q52:Q55)</x:f>
        <x:v>12585.17982643494</x:v>
      </x:c>
      <x:c r="R61" s="58" t="n">
        <x:f>SUM(R45:R48)+R16+SUM(R52:R55)</x:f>
        <x:v>12580.505267318866</x:v>
      </x:c>
      <x:c r="S61" s="58" t="n">
        <x:f>SUM(S45:S48)+S16+SUM(S52:S55)</x:f>
        <x:v>12576.01316368584</x:v>
      </x:c>
      <x:c r="T61" s="58" t="n">
        <x:f>SUM(T45:T48)+T16+SUM(T52:T55)</x:f>
        <x:v>12586.17610675119</x:v>
      </x:c>
      <x:c r="U61" s="58" t="n">
        <x:f>SUM(U45:U48)+U16+SUM(U52:U55)</x:f>
        <x:v>12603.293942181055</x:v>
      </x:c>
      <x:c r="V61" s="58" t="n">
        <x:f>SUM(V45:V48)+V16+SUM(V52:V55)</x:f>
        <x:v>12620.55078355093</x:v>
      </x:c>
      <x:c r="W61" s="58" t="n">
        <x:f>SUM(W45:W48)+W16+SUM(W52:W55)</x:f>
        <x:v>12637.935744010743</x:v>
      </x:c>
      <x:c r="X61" s="58" t="n">
        <x:f>SUM(X45:X48)+X16+SUM(X52:X55)</x:f>
        <x:v>12655.438981148873</x:v>
      </x:c>
      <x:c r="Y61" s="58" t="n">
        <x:f>SUM(Y45:Y48)+Y16+SUM(Y52:Y55)</x:f>
        <x:v>12673.051386193409</x:v>
      </x:c>
      <x:c r="Z61" s="58" t="n">
        <x:f>SUM(Z45:Z48)+Z16+SUM(Z52:Z55)</x:f>
        <x:v>12688.727268106753</x:v>
      </x:c>
      <x:c r="AA61" s="58" t="n">
        <x:f>SUM(AA45:AA48)+AA16+SUM(AA52:AA55)</x:f>
        <x:v>12699.277705337625</x:v>
      </x:c>
      <x:c r="AB61" s="58" t="n">
        <x:f>SUM(AB45:AB48)+AB16+SUM(AB52:AB55)</x:f>
        <x:v>12709.57666103627</x:v>
      </x:c>
      <x:c r="AC61" s="58" t="n">
        <x:f>SUM(AC45:AC48)+AC16+SUM(AC52:AC55)</x:f>
        <x:v>12719.62720155625</x:v>
      </x:c>
      <x:c r="AD61" s="58" t="n">
        <x:f>SUM(AD45:AD48)+AD16+SUM(AD52:AD55)</x:f>
        <x:v>12729.42944674713</x:v>
      </x:c>
      <x:c r="AE61" s="58" t="n">
        <x:f>SUM(AE45:AE48)+AE16+SUM(AE52:AE55)</x:f>
        <x:v>12738.981159350818</x:v>
      </x:c>
      <x:c r="AF61" s="58" t="n">
        <x:f>SUM(AF45:AF48)+AF16+SUM(AF52:AF55)</x:f>
        <x:v>12748.789536251814</x:v>
      </x:c>
      <x:c r="AG61" s="58" t="n">
        <x:f>SUM(AG45:AG48)+AG16+SUM(AG52:AG55)</x:f>
        <x:v>12760.922915326948</x:v>
      </x:c>
      <x:c r="AH61" s="58" t="n">
        <x:f>SUM(AH45:AH48)+AH16+SUM(AH52:AH55)</x:f>
        <x:v>12772.788992707907</x:v>
      </x:c>
      <x:c r="AI61" s="58" t="n">
        <x:f>SUM(AI45:AI48)+AI16+SUM(AI52:AI55)</x:f>
        <x:v>12784.379760161424</x:v>
      </x:c>
      <x:c r="AJ61" s="58" t="n">
        <x:f>SUM(AJ45:AJ48)+AJ16+SUM(AJ52:AJ55)</x:f>
        <x:v>12795.686316096166</x:v>
      </x:c>
      <x:c r="AK61" s="58" t="n">
        <x:f>SUM(AK45:AK48)+AK16+SUM(AK52:AK55)</x:f>
        <x:v>12806.698991479354</x:v>
      </x:c>
    </x:row>
    <x:row r="62" ht="18" customHeight="1">
      <x:c r="A62" s="74" t="str">
        <x:v>NET CASH MOVEMENT (INR)</x:v>
      </x:c>
      <x:c r="B62" s="75" t="n">
        <x:f>B60-B61</x:f>
        <x:v>-35720.045134444445</x:v>
      </x:c>
      <x:c r="C62" s="75" t="n">
        <x:f>C60-C61</x:f>
        <x:v>-12796.807977365865</x:v>
      </x:c>
      <x:c r="D62" s="75" t="n">
        <x:f>D60-D61</x:f>
        <x:v>-12619.548969824158</x:v>
      </x:c>
      <x:c r="E62" s="75" t="n">
        <x:f>E60-E61</x:f>
        <x:v>-12479.54738743595</x:v>
      </x:c>
      <x:c r="F62" s="75" t="n">
        <x:f>F60-F61</x:f>
        <x:v>-12355.043001947788</x:v>
      </x:c>
      <x:c r="G62" s="75" t="n">
        <x:f>G60-G61</x:f>
        <x:v>-12242.043604536355</x:v>
      </x:c>
      <x:c r="H62" s="75" t="n">
        <x:f>H60-H61</x:f>
        <x:v>-7320.5827002345995</x:v>
      </x:c>
      <x:c r="I62" s="75" t="n">
        <x:f>I60-I61</x:f>
        <x:v>-8740.065860807776</x:v>
      </x:c>
      <x:c r="J62" s="75" t="n">
        <x:f>J60-J61</x:f>
        <x:v>-8696.107587563</x:v>
      </x:c>
      <x:c r="K62" s="75" t="n">
        <x:f>K60-K61</x:f>
        <x:v>-8633.01635967823</x:v>
      </x:c>
      <x:c r="L62" s="75" t="n">
        <x:f>L60-L61</x:f>
        <x:v>-8572.702664530925</x:v>
      </x:c>
      <x:c r="M62" s="75" t="n">
        <x:f>M60-M61</x:f>
        <x:v>-8506.846446859086</x:v>
      </x:c>
      <x:c r="N62" s="75" t="n">
        <x:f>N60-N61</x:f>
        <x:v>-7921.402104975923</x:v>
      </x:c>
      <x:c r="O62" s="75" t="n">
        <x:f>O60-O61</x:f>
        <x:v>-7329.855553642274</x:v>
      </x:c>
      <x:c r="P62" s="75" t="n">
        <x:f>P60-P61</x:f>
        <x:v>-7231.701025693168</x:v>
      </x:c>
      <x:c r="Q62" s="75" t="n">
        <x:f>Q60-Q61</x:f>
        <x:v>-7130.332217072003</x:v>
      </x:c>
      <x:c r="R62" s="75" t="n">
        <x:f>R60-R61</x:f>
        <x:v>-7025.968440101762</x:v>
      </x:c>
      <x:c r="S62" s="75" t="n">
        <x:f>S60-S61</x:f>
        <x:v>-6918.7681073030435</x:v>
      </x:c>
      <x:c r="T62" s="75" t="n">
        <x:f>T60-T61</x:f>
        <x:v>-7088.461833954154</x:v>
      </x:c>
      <x:c r="U62" s="75" t="n">
        <x:f>U60-U61</x:f>
        <x:v>-7262.306307058819</x:v>
      </x:c>
      <x:c r="V62" s="75" t="n">
        <x:f>V60-V61</x:f>
        <x:v>-7168.410944644212</x:v>
      </x:c>
      <x:c r="W62" s="75" t="n">
        <x:f>W60-W61</x:f>
        <x:v>-7071.926367184389</x:v>
      </x:c>
      <x:c r="X62" s="75" t="n">
        <x:f>X60-X61</x:f>
        <x:v>-6972.854070835712</x:v>
      </x:c>
      <x:c r="Y62" s="75" t="n">
        <x:f>Y60-Y61</x:f>
        <x:v>-6871.180689139634</x:v>
      </x:c>
      <x:c r="Z62" s="75" t="n">
        <x:f>Z60-Z61</x:f>
        <x:v>-6600.354861902524</x:v>
      </x:c>
      <x:c r="AA62" s="75" t="n">
        <x:f>AA60-AA61</x:f>
        <x:v>-6347.416535806427</x:v>
      </x:c>
      <x:c r="AB62" s="75" t="n">
        <x:f>AB60-AB61</x:f>
        <x:v>-6282.947796877792</x:v>
      </x:c>
      <x:c r="AC62" s="75" t="n">
        <x:f>AC60-AC61</x:f>
        <x:v>-6217.85015975307</x:v>
      </x:c>
      <x:c r="AD62" s="75" t="n">
        <x:f>AD60-AD61</x:f>
        <x:v>-6151.978265970962</x:v>
      </x:c>
      <x:c r="AE62" s="75" t="n">
        <x:f>AE60-AE61</x:f>
        <x:v>-6085.212767337491</x:v>
      </x:c>
      <x:c r="AF62" s="75" t="n">
        <x:f>AF60-AF61</x:f>
        <x:v>-6118.715371688664</x:v>
      </x:c>
      <x:c r="AG62" s="75" t="n">
        <x:f>AG60-AG61</x:f>
        <x:v>-6153.726806326344</x:v>
      </x:c>
      <x:c r="AH62" s="75" t="n">
        <x:f>AH60-AH61</x:f>
        <x:v>-6086.840380835023</x:v>
      </x:c>
      <x:c r="AI62" s="75" t="n">
        <x:f>AI60-AI61</x:f>
        <x:v>-6018.743119812465</x:v>
      </x:c>
      <x:c r="AJ62" s="75" t="n">
        <x:f>AJ60-AJ61</x:f>
        <x:v>-5949.379433142918</x:v>
      </x:c>
      <x:c r="AK62" s="75" t="n">
        <x:f>AK60-AK61</x:f>
        <x:v>-5878.69901520667</x:v>
      </x:c>
    </x:row>
    <x:row r="63" ht="18" customHeight="1">
      <x:c r="A63" s="4" t="str">
        <x:v>Cumulative cash movement (INR)</x:v>
      </x:c>
      <x:c r="B63" s="58" t="n">
        <x:f>0+B62</x:f>
        <x:v>-35720.045134444445</x:v>
      </x:c>
      <x:c r="C63" s="58" t="n">
        <x:f>B63+C62</x:f>
        <x:v>-48516.85311181031</x:v>
      </x:c>
      <x:c r="D63" s="58" t="n">
        <x:f>C63+D62</x:f>
        <x:v>-61136.40208163447</x:v>
      </x:c>
      <x:c r="E63" s="58" t="n">
        <x:f>D63+E62</x:f>
        <x:v>-73615.94946907042</x:v>
      </x:c>
      <x:c r="F63" s="58" t="n">
        <x:f>E63+F62</x:f>
        <x:v>-85970.99247101821</x:v>
      </x:c>
      <x:c r="G63" s="58" t="n">
        <x:f>F63+G62</x:f>
        <x:v>-98213.03607555457</x:v>
      </x:c>
      <x:c r="H63" s="58" t="n">
        <x:f>G63+H62</x:f>
        <x:v>-105533.61877578917</x:v>
      </x:c>
      <x:c r="I63" s="58" t="n">
        <x:f>H63+I62</x:f>
        <x:v>-114273.68463659695</x:v>
      </x:c>
      <x:c r="J63" s="58" t="n">
        <x:f>I63+J62</x:f>
        <x:v>-122969.79222415996</x:v>
      </x:c>
      <x:c r="K63" s="58" t="n">
        <x:f>J63+K62</x:f>
        <x:v>-131602.8085838382</x:v>
      </x:c>
      <x:c r="L63" s="58" t="n">
        <x:f>K63+L62</x:f>
        <x:v>-140175.51124836912</x:v>
      </x:c>
      <x:c r="M63" s="58" t="n">
        <x:f>L63+M62</x:f>
        <x:v>-148682.35769522822</x:v>
      </x:c>
      <x:c r="N63" s="58" t="n">
        <x:f>M63+N62</x:f>
        <x:v>-156603.75980020413</x:v>
      </x:c>
      <x:c r="O63" s="58" t="n">
        <x:f>N63+O62</x:f>
        <x:v>-163933.6153538464</x:v>
      </x:c>
      <x:c r="P63" s="58" t="n">
        <x:f>O63+P62</x:f>
        <x:v>-171165.31637953955</x:v>
      </x:c>
      <x:c r="Q63" s="58" t="n">
        <x:f>P63+Q62</x:f>
        <x:v>-178295.64859661154</x:v>
      </x:c>
      <x:c r="R63" s="58" t="n">
        <x:f>Q63+R62</x:f>
        <x:v>-185321.61703671332</x:v>
      </x:c>
      <x:c r="S63" s="58" t="n">
        <x:f>R63+S62</x:f>
        <x:v>-192240.38514401636</x:v>
      </x:c>
      <x:c r="T63" s="58" t="n">
        <x:f>S63+T62</x:f>
        <x:v>-199328.8469779705</x:v>
      </x:c>
      <x:c r="U63" s="58" t="n">
        <x:f>T63+U62</x:f>
        <x:v>-206591.15328502932</x:v>
      </x:c>
      <x:c r="V63" s="58" t="n">
        <x:f>U63+V62</x:f>
        <x:v>-213759.56422967353</x:v>
      </x:c>
      <x:c r="W63" s="58" t="n">
        <x:f>V63+W62</x:f>
        <x:v>-220831.4905968579</x:v>
      </x:c>
      <x:c r="X63" s="58" t="n">
        <x:f>W63+X62</x:f>
        <x:v>-227804.34466769363</x:v>
      </x:c>
      <x:c r="Y63" s="58" t="n">
        <x:f>X63+Y62</x:f>
        <x:v>-234675.52535683327</x:v>
      </x:c>
      <x:c r="Z63" s="58" t="n">
        <x:f>Y63+Z62</x:f>
        <x:v>-241275.88021873578</x:v>
      </x:c>
      <x:c r="AA63" s="58" t="n">
        <x:f>Z63+AA62</x:f>
        <x:v>-247623.2967545422</x:v>
      </x:c>
      <x:c r="AB63" s="58" t="n">
        <x:f>AA63+AB62</x:f>
        <x:v>-253906.24455142</x:v>
      </x:c>
      <x:c r="AC63" s="58" t="n">
        <x:f>AB63+AC62</x:f>
        <x:v>-260124.0947111731</x:v>
      </x:c>
      <x:c r="AD63" s="58" t="n">
        <x:f>AC63+AD62</x:f>
        <x:v>-266276.07297714404</x:v>
      </x:c>
      <x:c r="AE63" s="58" t="n">
        <x:f>AD63+AE62</x:f>
        <x:v>-272361.28574448155</x:v>
      </x:c>
      <x:c r="AF63" s="58" t="n">
        <x:f>AE63+AF62</x:f>
        <x:v>-278480.0011161702</x:v>
      </x:c>
      <x:c r="AG63" s="58" t="n">
        <x:f>AF63+AG62</x:f>
        <x:v>-284633.72792249656</x:v>
      </x:c>
      <x:c r="AH63" s="58" t="n">
        <x:f>AG63+AH62</x:f>
        <x:v>-290720.56830333156</x:v>
      </x:c>
      <x:c r="AI63" s="58" t="n">
        <x:f>AH63+AI62</x:f>
        <x:v>-296739.311423144</x:v>
      </x:c>
      <x:c r="AJ63" s="58" t="n">
        <x:f>AI63+AJ62</x:f>
        <x:v>-302688.6908562869</x:v>
      </x:c>
      <x:c r="AK63" s="58" t="n">
        <x:f>AJ63+AK62</x:f>
        <x:v>-308567.38987149356</x:v>
      </x:c>
    </x:row>
    <x:row r="64" ht="18" customHeight="1">
      <x:c r="A64" s="74" t="str">
        <x:v>CLOSING CASH, BEFORE TAX / OWNER DRAWS</x:v>
      </x:c>
      <x:c r="B64" s="75" t="n">
        <x:f>'Commercial Inputs'!$B$29+B63</x:f>
        <x:v>64279.954865555555</x:v>
      </x:c>
      <x:c r="C64" s="75" t="n">
        <x:f>'Commercial Inputs'!$B$29+C63</x:f>
        <x:v>51483.14688818969</x:v>
      </x:c>
      <x:c r="D64" s="75" t="n">
        <x:f>'Commercial Inputs'!$B$29+D63</x:f>
        <x:v>38863.59791836553</x:v>
      </x:c>
      <x:c r="E64" s="75" t="n">
        <x:f>'Commercial Inputs'!$B$29+E63</x:f>
        <x:v>26384.050530929584</x:v>
      </x:c>
      <x:c r="F64" s="75" t="n">
        <x:f>'Commercial Inputs'!$B$29+F63</x:f>
        <x:v>14029.00752898179</x:v>
      </x:c>
      <x:c r="G64" s="75" t="n">
        <x:f>'Commercial Inputs'!$B$29+G63</x:f>
        <x:v>1786.9639244454302</x:v>
      </x:c>
      <x:c r="H64" s="75" t="n">
        <x:f>'Commercial Inputs'!$B$29+H63</x:f>
        <x:v>-5533.618775789175</x:v>
      </x:c>
      <x:c r="I64" s="75" t="n">
        <x:f>'Commercial Inputs'!$B$29+I63</x:f>
        <x:v>-14273.684636596954</x:v>
      </x:c>
      <x:c r="J64" s="75" t="n">
        <x:f>'Commercial Inputs'!$B$29+J63</x:f>
        <x:v>-22969.79222415996</x:v>
      </x:c>
      <x:c r="K64" s="75" t="n">
        <x:f>'Commercial Inputs'!$B$29+K63</x:f>
        <x:v>-31602.808583838196</x:v>
      </x:c>
      <x:c r="L64" s="75" t="n">
        <x:f>'Commercial Inputs'!$B$29+L63</x:f>
        <x:v>-40175.51124836912</x:v>
      </x:c>
      <x:c r="M64" s="75" t="n">
        <x:f>'Commercial Inputs'!$B$29+M63</x:f>
        <x:v>-48682.35769522822</x:v>
      </x:c>
      <x:c r="N64" s="75" t="n">
        <x:f>'Commercial Inputs'!$B$29+N63</x:f>
        <x:v>-56603.759800204134</x:v>
      </x:c>
      <x:c r="O64" s="75" t="n">
        <x:f>'Commercial Inputs'!$B$29+O63</x:f>
        <x:v>-63933.6153538464</x:v>
      </x:c>
      <x:c r="P64" s="75" t="n">
        <x:f>'Commercial Inputs'!$B$29+P63</x:f>
        <x:v>-71165.31637953955</x:v>
      </x:c>
      <x:c r="Q64" s="75" t="n">
        <x:f>'Commercial Inputs'!$B$29+Q63</x:f>
        <x:v>-78295.64859661154</x:v>
      </x:c>
      <x:c r="R64" s="75" t="n">
        <x:f>'Commercial Inputs'!$B$29+R63</x:f>
        <x:v>-85321.61703671332</x:v>
      </x:c>
      <x:c r="S64" s="75" t="n">
        <x:f>'Commercial Inputs'!$B$29+S63</x:f>
        <x:v>-92240.38514401636</x:v>
      </x:c>
      <x:c r="T64" s="75" t="n">
        <x:f>'Commercial Inputs'!$B$29+T63</x:f>
        <x:v>-99328.8469779705</x:v>
      </x:c>
      <x:c r="U64" s="75" t="n">
        <x:f>'Commercial Inputs'!$B$29+U63</x:f>
        <x:v>-106591.15328502932</x:v>
      </x:c>
      <x:c r="V64" s="75" t="n">
        <x:f>'Commercial Inputs'!$B$29+V63</x:f>
        <x:v>-113759.56422967353</x:v>
      </x:c>
      <x:c r="W64" s="75" t="n">
        <x:f>'Commercial Inputs'!$B$29+W63</x:f>
        <x:v>-120831.49059685791</x:v>
      </x:c>
      <x:c r="X64" s="75" t="n">
        <x:f>'Commercial Inputs'!$B$29+X63</x:f>
        <x:v>-127804.34466769363</x:v>
      </x:c>
      <x:c r="Y64" s="75" t="n">
        <x:f>'Commercial Inputs'!$B$29+Y63</x:f>
        <x:v>-134675.52535683327</x:v>
      </x:c>
      <x:c r="Z64" s="75" t="n">
        <x:f>'Commercial Inputs'!$B$29+Z63</x:f>
        <x:v>-141275.88021873578</x:v>
      </x:c>
      <x:c r="AA64" s="75" t="n">
        <x:f>'Commercial Inputs'!$B$29+AA63</x:f>
        <x:v>-147623.2967545422</x:v>
      </x:c>
      <x:c r="AB64" s="75" t="n">
        <x:f>'Commercial Inputs'!$B$29+AB63</x:f>
        <x:v>-153906.24455142</x:v>
      </x:c>
      <x:c r="AC64" s="75" t="n">
        <x:f>'Commercial Inputs'!$B$29+AC63</x:f>
        <x:v>-160124.0947111731</x:v>
      </x:c>
      <x:c r="AD64" s="75" t="n">
        <x:f>'Commercial Inputs'!$B$29+AD63</x:f>
        <x:v>-166276.07297714404</x:v>
      </x:c>
      <x:c r="AE64" s="75" t="n">
        <x:f>'Commercial Inputs'!$B$29+AE63</x:f>
        <x:v>-172361.28574448155</x:v>
      </x:c>
      <x:c r="AF64" s="75" t="n">
        <x:f>'Commercial Inputs'!$B$29+AF63</x:f>
        <x:v>-178480.0011161702</x:v>
      </x:c>
      <x:c r="AG64" s="75" t="n">
        <x:f>'Commercial Inputs'!$B$29+AG63</x:f>
        <x:v>-184633.72792249656</x:v>
      </x:c>
      <x:c r="AH64" s="75" t="n">
        <x:f>'Commercial Inputs'!$B$29+AH63</x:f>
        <x:v>-190720.56830333156</x:v>
      </x:c>
      <x:c r="AI64" s="75" t="n">
        <x:f>'Commercial Inputs'!$B$29+AI63</x:f>
        <x:v>-196739.311423144</x:v>
      </x:c>
      <x:c r="AJ64" s="75" t="n">
        <x:f>'Commercial Inputs'!$B$29+AJ63</x:f>
        <x:v>-202688.6908562869</x:v>
      </x:c>
      <x:c r="AK64" s="75" t="n">
        <x:f>'Commercial Inputs'!$B$29+AK63</x:f>
        <x:v>-208567.38987149356</x:v>
      </x:c>
    </x:row>
    <x:row r="65" ht="18" customHeight="1">
      <x:c r="A65" s="74" t="str">
        <x:v>Unearned annual subscription revenue (INR)</x:v>
      </x:c>
      <x:c r="B65" s="75" t="n">
        <x:f>0+B43-B38</x:f>
        <x:v>5414.625235883553</x:v>
      </x:c>
      <x:c r="C65" s="75" t="n">
        <x:f>B65+C43-C38</x:f>
        <x:v>10413.956488364169</x:v>
      </x:c>
      <x:c r="D65" s="75" t="n">
        <x:f>C65+D43-D38</x:f>
        <x:v>14993.307127273569</x:v>
      </x:c>
      <x:c r="E65" s="75" t="n">
        <x:f>D65+E43-E38</x:f>
        <x:v>19147.849923538415</x:v>
      </x:c>
      <x:c r="F65" s="75" t="n">
        <x:f>E65+F43-F38</x:f>
        <x:v>22872.612831213177</x:v>
      </x:c>
      <x:c r="G65" s="75" t="n">
        <x:f>F65+G43-G38</x:f>
        <x:v>26162.47464297396</x:v>
      </x:c>
      <x:c r="H65" s="75" t="n">
        <x:f>G65+H43-H38</x:f>
        <x:v>26162.35775954896</x:v>
      </x:c>
      <x:c r="I65" s="75" t="n">
        <x:f>H65+I43-I38</x:f>
        <x:v>25975.704825609908</x:v>
      </x:c>
      <x:c r="J65" s="75" t="n">
        <x:f>I65+J43-J38</x:f>
        <x:v>25596.919759641387</x:v>
      </x:c>
      <x:c r="K65" s="75" t="n">
        <x:f>J65+K43-K38</x:f>
        <x:v>25020.23859768251</x:v>
      </x:c>
      <x:c r="L65" s="75" t="n">
        <x:f>K65+L43-L38</x:f>
        <x:v>24239.724456853568</x:v>
      </x:c>
      <x:c r="M65" s="75" t="n">
        <x:f>L65+M43-M38</x:f>
        <x:v>23249.26234778846</x:v>
      </x:c>
      <x:c r="N65" s="75" t="n">
        <x:f>M65+N43-N38</x:f>
        <x:v>23528.0681425713</x:v>
      </x:c>
      <x:c r="O65" s="75" t="n">
        <x:f>N65+O43-O38</x:f>
        <x:v>23970.41716896254</x:v>
      </x:c>
      <x:c r="P65" s="75" t="n">
        <x:f>O65+P43-P38</x:f>
        <x:v>24577.488095947574</x:v>
      </x:c>
      <x:c r="Q65" s="75" t="n">
        <x:f>P65+Q43-Q38</x:f>
        <x:v>25350.546309489317</x:v>
      </x:c>
      <x:c r="R65" s="75" t="n">
        <x:f>Q65+R43-R38</x:f>
        <x:v>26290.94754117568</x:v>
      </x:c>
      <x:c r="S65" s="75" t="n">
        <x:f>R65+S43-S38</x:f>
        <x:v>27400.14162626924</x:v>
      </x:c>
      <x:c r="T65" s="75" t="n">
        <x:f>S65+T43-T38</x:f>
        <x:v>27879.1408940702</x:v>
      </x:c>
      <x:c r="U65" s="75" t="n">
        <x:f>T65+U43-U38</x:f>
        <x:v>28320.281589918974</x:v>
      </x:c>
      <x:c r="V65" s="75" t="n">
        <x:f>U65+V43-V38</x:f>
        <x:v>28725.319767642173</x:v>
      </x:c>
      <x:c r="W65" s="75" t="n">
        <x:f>V65+W43-W38</x:f>
        <x:v>29096.12199890091</x:v>
      </x:c>
      <x:c r="X65" s="75" t="n">
        <x:f>W65+X43-X38</x:f>
        <x:v>29434.66984545024</x:v>
      </x:c>
      <x:c r="Y65" s="75" t="n">
        <x:f>X65+Y43-Y38</x:f>
        <x:v>29743.064488700827</x:v>
      </x:c>
      <x:c r="Z65" s="75" t="n">
        <x:f>Y65+Z43-Z38</x:f>
        <x:v>30452.993085696085</x:v>
      </x:c>
      <x:c r="AA65" s="75" t="n">
        <x:f>Z65+AA43-AA38</x:f>
        <x:v>31146.84902518826</x:v>
      </x:c>
      <x:c r="AB65" s="75" t="n">
        <x:f>AA65+AB43-AB38</x:f>
        <x:v>31827.723481022105</x:v>
      </x:c>
      <x:c r="AC65" s="75" t="n">
        <x:f>AB65+AC43-AC38</x:f>
        <x:v>32498.81655082199</x:v>
      </x:c>
      <x:c r="AD65" s="75" t="n">
        <x:f>AC65+AD43-AD38</x:f>
        <x:v>33163.44011157869</x:v>
      </x:c>
      <x:c r="AE65" s="75" t="n">
        <x:f>AD65+AE43-AE38</x:f>
        <x:v>33825.02074530231</x:v>
      </x:c>
      <x:c r="AF65" s="75" t="n">
        <x:f>AE65+AF43-AF38</x:f>
        <x:v>34232.12311171334</x:v>
      </x:c>
      <x:c r="AG65" s="75" t="n">
        <x:f>AF65+AG43-AG38</x:f>
        <x:v>34612.87309666879</x:v>
      </x:c>
      <x:c r="AH65" s="75" t="n">
        <x:f>AG65+AH43-AH38</x:f>
        <x:v>34971.05967782001</x:v>
      </x:c>
      <x:c r="AI65" s="75" t="n">
        <x:f>AH65+AI43-AI38</x:f>
        <x:v>35310.59897608993</x:v>
      </x:c>
      <x:c r="AJ65" s="75" t="n">
        <x:f>AI65+AJ43-AJ38</x:f>
        <x:v>35635.537558279604</x:v>
      </x:c>
      <x:c r="AK65" s="75" t="n">
        <x:f>AJ65+AK43-AK38</x:f>
        <x:v>35950.05582070749</x:v>
      </x:c>
    </x:row>
    <x:row r="66" ht="18" customHeight="1">
      <x:c r="A66" s="4" t="str">
        <x:v>Payout receivable (INR)</x:v>
      </x:c>
      <x:c r="B66" s="58" t="n">
        <x:f>'Commercial Inputs'!$B$31*B59</x:f>
        <x:v>2841.8732988888887</x:v>
      </x:c>
      <x:c r="C66" s="58" t="n">
        <x:f>'Commercial Inputs'!$B$31*C59</x:f>
        <x:v>2963.7256539021932</x:v>
      </x:c>
      <x:c r="D66" s="58" t="n">
        <x:f>'Commercial Inputs'!$B$31*D59</x:f>
        <x:v>3056.7857965642966</x:v>
      </x:c>
      <x:c r="E66" s="58" t="n">
        <x:f>'Commercial Inputs'!$B$31*E59</x:f>
        <x:v>3140.725719652982</x:v>
      </x:c>
      <x:c r="F66" s="58" t="n">
        <x:f>'Commercial Inputs'!$B$31*F59</x:f>
        <x:v>3217.904373852622</x:v>
      </x:c>
      <x:c r="G66" s="58" t="n">
        <x:f>'Commercial Inputs'!$B$31*G59</x:f>
        <x:v>3290.1696832111043</x:v>
      </x:c>
      <x:c r="H66" s="58" t="n">
        <x:f>'Commercial Inputs'!$B$31*H59</x:f>
        <x:v>1863.249002181542</x:v>
      </x:c>
      <x:c r="I66" s="58" t="n">
        <x:f>'Commercial Inputs'!$B$31*I59</x:f>
        <x:v>1886.8506886536761</x:v>
      </x:c>
      <x:c r="J66" s="58" t="n">
        <x:f>'Commercial Inputs'!$B$31*J59</x:f>
        <x:v>1925.4303032609969</x:v>
      </x:c>
      <x:c r="K66" s="58" t="n">
        <x:f>'Commercial Inputs'!$B$31*K59</x:f>
        <x:v>1969.1510315440928</x:v>
      </x:c>
      <x:c r="L66" s="58" t="n">
        <x:f>'Commercial Inputs'!$B$31*L59</x:f>
        <x:v>2017.2867036357377</x:v>
      </x:c>
      <x:c r="M66" s="58" t="n">
        <x:f>'Commercial Inputs'!$B$31*M59</x:f>
        <x:v>2069.283933697015</x:v>
      </x:c>
      <x:c r="N66" s="58" t="n">
        <x:f>'Commercial Inputs'!$B$31*N59</x:f>
        <x:v>2609.8384303787648</x:v>
      </x:c>
      <x:c r="O66" s="58" t="n">
        <x:f>'Commercial Inputs'!$B$31*O59</x:f>
        <x:v>2655.4678252104113</x:v>
      </x:c>
      <x:c r="P66" s="58" t="n">
        <x:f>'Commercial Inputs'!$B$31*P59</x:f>
        <x:v>2702.8882504780468</x:v>
      </x:c>
      <x:c r="Q66" s="58" t="n">
        <x:f>'Commercial Inputs'!$B$31*Q59</x:f>
        <x:v>2751.95935888489</x:v>
      </x:c>
      <x:c r="R66" s="58" t="n">
        <x:f>'Commercial Inputs'!$B$31*R59</x:f>
        <x:v>2802.577468332213</x:v>
      </x:c>
      <x:c r="S66" s="58" t="n">
        <x:f>'Commercial Inputs'!$B$31*S59</x:f>
        <x:v>2854.6675880505845</x:v>
      </x:c>
      <x:c r="T66" s="58" t="n">
        <x:f>'Commercial Inputs'!$B$31*T59</x:f>
        <x:v>2643.0466847464522</x:v>
      </x:c>
      <x:c r="U66" s="58" t="n">
        <x:f>'Commercial Inputs'!$B$31*U59</x:f>
        <x:v>2697.9409503757843</x:v>
      </x:c>
      <x:c r="V66" s="58" t="n">
        <x:f>'Commercial Inputs'!$B$31*V59</x:f>
        <x:v>2754.1988885309347</x:v>
      </x:c>
      <x:c r="W66" s="58" t="n">
        <x:f>'Commercial Inputs'!$B$31*W59</x:f>
        <x:v>2811.810488295419</x:v>
      </x:c>
      <x:c r="X66" s="58" t="n">
        <x:f>'Commercial Inputs'!$B$31*X59</x:f>
        <x:v>2870.774422017742</x:v>
      </x:c>
      <x:c r="Y66" s="58" t="n">
        <x:f>'Commercial Inputs'!$B$31*Y59</x:f>
        <x:v>2931.0962750360327</x:v>
      </x:c>
      <x:c r="Z66" s="58" t="n">
        <x:f>'Commercial Inputs'!$B$31*Z59</x:f>
        <x:v>3157.276131168196</x:v>
      </x:c>
      <x:c r="AA66" s="58" t="n">
        <x:f>'Commercial Inputs'!$B$31*AA59</x:f>
        <x:v>3194.5850383630013</x:v>
      </x:c>
      <x:c r="AB66" s="58" t="n">
        <x:f>'Commercial Inputs'!$B$31*AB59</x:f>
        <x:v>3232.043825795476</x:v>
      </x:c>
      <x:c r="AC66" s="58" t="n">
        <x:f>'Commercial Inputs'!$B$31*AC59</x:f>
        <x:v>3269.733216007703</x:v>
      </x:c>
      <x:c r="AD66" s="58" t="n">
        <x:f>'Commercial Inputs'!$B$31*AD59</x:f>
        <x:v>3307.7179647684648</x:v>
      </x:c>
      <x:c r="AE66" s="58" t="n">
        <x:f>'Commercial Inputs'!$B$31*AE59</x:f>
        <x:v>3346.0504272448625</x:v>
      </x:c>
      <x:c r="AF66" s="58" t="n">
        <x:f>'Commercial Inputs'!$B$31*AF59</x:f>
        <x:v>3284.0237373182867</x:v>
      </x:c>
      <x:c r="AG66" s="58" t="n">
        <x:f>'Commercial Inputs'!$B$31*AG59</x:f>
        <x:v>3323.172371682318</x:v>
      </x:c>
      <x:c r="AH66" s="58" t="n">
        <x:f>'Commercial Inputs'!$B$31*AH59</x:f>
        <x:v>3362.7762401905657</x:v>
      </x:c>
      <x:c r="AI66" s="58" t="n">
        <x:f>'Commercial Inputs'!$B$31*AI59</x:f>
        <x:v>3402.860400158394</x:v>
      </x:c>
      <x:c r="AJ66" s="58" t="n">
        <x:f>'Commercial Inputs'!$B$31*AJ59</x:f>
        <x:v>3443.446482794854</x:v>
      </x:c>
      <x:c r="AK66" s="58" t="n">
        <x:f>'Commercial Inputs'!$B$31*AK59</x:f>
        <x:v>3484.55349347783</x:v>
      </x:c>
    </x:row>
    <x:row r="67" ht="18" customHeight="1">
      <x:c r="A67" s="4" t="str">
        <x:v>Cash-profit bridge check: must be zero</x:v>
      </x:c>
      <x:c r="B67" s="58" t="n">
        <x:f>ROUND(B62-(B56+(B65-0)-(B66-0)),6)</x:f>
        <x:v>0</x:v>
      </x:c>
      <x:c r="C67" s="58" t="n">
        <x:f>ROUND(C62-(C56+(C65-B65)-(C66-B66)),6)</x:f>
        <x:v>0</x:v>
      </x:c>
      <x:c r="D67" s="58" t="n">
        <x:f>ROUND(D62-(D56+(D65-C65)-(D66-C66)),6)</x:f>
        <x:v>0</x:v>
      </x:c>
      <x:c r="E67" s="58" t="n">
        <x:f>ROUND(E62-(E56+(E65-D65)-(E66-D66)),6)</x:f>
        <x:v>0</x:v>
      </x:c>
      <x:c r="F67" s="58" t="n">
        <x:f>ROUND(F62-(F56+(F65-E65)-(F66-E66)),6)</x:f>
        <x:v>0</x:v>
      </x:c>
      <x:c r="G67" s="58" t="n">
        <x:f>ROUND(G62-(G56+(G65-F65)-(G66-F66)),6)</x:f>
        <x:v>0</x:v>
      </x:c>
      <x:c r="H67" s="58" t="n">
        <x:f>ROUND(H62-(H56+(H65-G65)-(H66-G66)),6)</x:f>
        <x:v>0</x:v>
      </x:c>
      <x:c r="I67" s="58" t="n">
        <x:f>ROUND(I62-(I56+(I65-H65)-(I66-H66)),6)</x:f>
        <x:v>0</x:v>
      </x:c>
      <x:c r="J67" s="58" t="n">
        <x:f>ROUND(J62-(J56+(J65-I65)-(J66-I66)),6)</x:f>
        <x:v>0</x:v>
      </x:c>
      <x:c r="K67" s="58" t="n">
        <x:f>ROUND(K62-(K56+(K65-J65)-(K66-J66)),6)</x:f>
        <x:v>0</x:v>
      </x:c>
      <x:c r="L67" s="58" t="n">
        <x:f>ROUND(L62-(L56+(L65-K65)-(L66-K66)),6)</x:f>
        <x:v>0</x:v>
      </x:c>
      <x:c r="M67" s="58" t="n">
        <x:f>ROUND(M62-(M56+(M65-L65)-(M66-L66)),6)</x:f>
        <x:v>0</x:v>
      </x:c>
      <x:c r="N67" s="58" t="n">
        <x:f>ROUND(N62-(N56+(N65-M65)-(N66-M66)),6)</x:f>
        <x:v>0</x:v>
      </x:c>
      <x:c r="O67" s="58" t="n">
        <x:f>ROUND(O62-(O56+(O65-N65)-(O66-N66)),6)</x:f>
        <x:v>0</x:v>
      </x:c>
      <x:c r="P67" s="58" t="n">
        <x:f>ROUND(P62-(P56+(P65-O65)-(P66-O66)),6)</x:f>
        <x:v>0</x:v>
      </x:c>
      <x:c r="Q67" s="58" t="n">
        <x:f>ROUND(Q62-(Q56+(Q65-P65)-(Q66-P66)),6)</x:f>
        <x:v>0</x:v>
      </x:c>
      <x:c r="R67" s="58" t="n">
        <x:f>ROUND(R62-(R56+(R65-Q65)-(R66-Q66)),6)</x:f>
        <x:v>0</x:v>
      </x:c>
      <x:c r="S67" s="58" t="n">
        <x:f>ROUND(S62-(S56+(S65-R65)-(S66-R66)),6)</x:f>
        <x:v>0</x:v>
      </x:c>
      <x:c r="T67" s="58" t="n">
        <x:f>ROUND(T62-(T56+(T65-S65)-(T66-S66)),6)</x:f>
        <x:v>0</x:v>
      </x:c>
      <x:c r="U67" s="58" t="n">
        <x:f>ROUND(U62-(U56+(U65-T65)-(U66-T66)),6)</x:f>
        <x:v>0</x:v>
      </x:c>
      <x:c r="V67" s="58" t="n">
        <x:f>ROUND(V62-(V56+(V65-U65)-(V66-U66)),6)</x:f>
        <x:v>0</x:v>
      </x:c>
      <x:c r="W67" s="58" t="n">
        <x:f>ROUND(W62-(W56+(W65-V65)-(W66-V66)),6)</x:f>
        <x:v>0</x:v>
      </x:c>
      <x:c r="X67" s="58" t="n">
        <x:f>ROUND(X62-(X56+(X65-W65)-(X66-W66)),6)</x:f>
        <x:v>0</x:v>
      </x:c>
      <x:c r="Y67" s="58" t="n">
        <x:f>ROUND(Y62-(Y56+(Y65-X65)-(Y66-X66)),6)</x:f>
        <x:v>0</x:v>
      </x:c>
      <x:c r="Z67" s="58" t="n">
        <x:f>ROUND(Z62-(Z56+(Z65-Y65)-(Z66-Y66)),6)</x:f>
        <x:v>0</x:v>
      </x:c>
      <x:c r="AA67" s="58" t="n">
        <x:f>ROUND(AA62-(AA56+(AA65-Z65)-(AA66-Z66)),6)</x:f>
        <x:v>0</x:v>
      </x:c>
      <x:c r="AB67" s="58" t="n">
        <x:f>ROUND(AB62-(AB56+(AB65-AA65)-(AB66-AA66)),6)</x:f>
        <x:v>0</x:v>
      </x:c>
      <x:c r="AC67" s="58" t="n">
        <x:f>ROUND(AC62-(AC56+(AC65-AB65)-(AC66-AB66)),6)</x:f>
        <x:v>0</x:v>
      </x:c>
      <x:c r="AD67" s="58" t="n">
        <x:f>ROUND(AD62-(AD56+(AD65-AC65)-(AD66-AC66)),6)</x:f>
        <x:v>0</x:v>
      </x:c>
      <x:c r="AE67" s="58" t="n">
        <x:f>ROUND(AE62-(AE56+(AE65-AD65)-(AE66-AD66)),6)</x:f>
        <x:v>0</x:v>
      </x:c>
      <x:c r="AF67" s="58" t="n">
        <x:f>ROUND(AF62-(AF56+(AF65-AE65)-(AF66-AE66)),6)</x:f>
        <x:v>0</x:v>
      </x:c>
      <x:c r="AG67" s="58" t="n">
        <x:f>ROUND(AG62-(AG56+(AG65-AF65)-(AG66-AF66)),6)</x:f>
        <x:v>0</x:v>
      </x:c>
      <x:c r="AH67" s="58" t="n">
        <x:f>ROUND(AH62-(AH56+(AH65-AG65)-(AH66-AG66)),6)</x:f>
        <x:v>0</x:v>
      </x:c>
      <x:c r="AI67" s="58" t="n">
        <x:f>ROUND(AI62-(AI56+(AI65-AH65)-(AI66-AH66)),6)</x:f>
        <x:v>0</x:v>
      </x:c>
      <x:c r="AJ67" s="58" t="n">
        <x:f>ROUND(AJ62-(AJ56+(AJ65-AI65)-(AJ66-AI66)),6)</x:f>
        <x:v>0</x:v>
      </x:c>
      <x:c r="AK67" s="58" t="n">
        <x:f>ROUND(AK62-(AK56+(AK65-AJ65)-(AK66-AJ66)),6)</x:f>
        <x:v>0</x:v>
      </x:c>
    </x:row>
    <x:row r="68" ht="18" customHeight="1">
      <x:c r="A68" s="4" t="str">
        <x:v>Remaining paid-service cost reserve (INR)</x:v>
      </x:c>
      <x:c r="B68" s="58" t="n">
        <x:f>B65/$B$84*'Commercial Inputs'!$B$46*('Commercial Inputs'!$B$24*$B$90+'Commercial Inputs'!$B$28)</x:f>
        <x:v>327.9494472222222</x:v>
      </x:c>
      <x:c r="C68" s="58" t="n">
        <x:f>C65/$B$84*'Commercial Inputs'!$B$46*('Commercial Inputs'!$B$24*$B$90+'Commercial Inputs'!$B$28)</x:f>
        <x:v>630.7456425833332</x:v>
      </x:c>
      <x:c r="D68" s="58" t="n">
        <x:f>D65/$B$84*'Commercial Inputs'!$B$46*('Commercial Inputs'!$B$24*$B$90+'Commercial Inputs'!$B$28)</x:f>
        <x:v>908.1047293608333</x:v>
      </x:c>
      <x:c r="E68" s="58" t="n">
        <x:f>E65/$B$84*'Commercial Inputs'!$B$46*('Commercial Inputs'!$B$24*$B$90+'Commercial Inputs'!$B$28)</x:f>
        <x:v>1159.7343351305472</x:v>
      </x:c>
      <x:c r="F68" s="58" t="n">
        <x:f>F65/$B$84*'Commercial Inputs'!$B$46*('Commercial Inputs'!$B$24*$B$90+'Commercial Inputs'!$B$28)</x:f>
        <x:v>1385.3333162955744</x:v>
      </x:c>
      <x:c r="G68" s="58" t="n">
        <x:f>G65/$B$84*'Commercial Inputs'!$B$46*('Commercial Inputs'!$B$24*$B$90+'Commercial Inputs'!$B$28)</x:f>
        <x:v>1584.5914949511082</x:v>
      </x:c>
      <x:c r="H68" s="58" t="n">
        <x:f>H65/$B$84*'Commercial Inputs'!$B$46*('Commercial Inputs'!$B$24*$B$90+'Commercial Inputs'!$B$28)</x:f>
        <x:v>1584.5844156329745</x:v>
      </x:c>
      <x:c r="I68" s="58" t="n">
        <x:f>I65/$B$84*'Commercial Inputs'!$B$46*('Commercial Inputs'!$B$24*$B$90+'Commercial Inputs'!$B$28)</x:f>
        <x:v>1573.2793439352972</x:v>
      </x:c>
      <x:c r="J68" s="58" t="n">
        <x:f>J65/$B$84*'Commercial Inputs'!$B$46*('Commercial Inputs'!$B$24*$B$90+'Commercial Inputs'!$B$28)</x:f>
        <x:v>1550.337340086689</x:v>
      </x:c>
      <x:c r="K68" s="58" t="n">
        <x:f>K65/$B$84*'Commercial Inputs'!$B$46*('Commercial Inputs'!$B$24*$B$90+'Commercial Inputs'!$B$28)</x:f>
        <x:v>1515.4092961226233</x:v>
      </x:c>
      <x:c r="L68" s="58" t="n">
        <x:f>L65/$B$84*'Commercial Inputs'!$B$46*('Commercial Inputs'!$B$24*$B$90+'Commercial Inputs'!$B$28)</x:f>
        <x:v>1468.135630839635</x:v>
      </x:c>
      <x:c r="M68" s="58" t="n">
        <x:f>M65/$B$84*'Commercial Inputs'!$B$46*('Commercial Inputs'!$B$24*$B$90+'Commercial Inputs'!$B$28)</x:f>
        <x:v>1408.1459755981575</x:v>
      </x:c>
      <x:c r="N68" s="58" t="n">
        <x:f>N65/$B$84*'Commercial Inputs'!$B$46*('Commercial Inputs'!$B$24*$B$90+'Commercial Inputs'!$B$28)</x:f>
        <x:v>1425.0325009435196</x:v>
      </x:c>
      <x:c r="O68" s="58" t="n">
        <x:f>O65/$B$84*'Commercial Inputs'!$B$46*('Commercial Inputs'!$B$24*$B$90+'Commercial Inputs'!$B$28)</x:f>
        <x:v>1451.8244047899589</x:v>
      </x:c>
      <x:c r="P68" s="58" t="n">
        <x:f>P65/$B$84*'Commercial Inputs'!$B$46*('Commercial Inputs'!$B$24*$B$90+'Commercial Inputs'!$B$28)</x:f>
        <x:v>1488.5930759825712</x:v>
      </x:c>
      <x:c r="Q68" s="58" t="n">
        <x:f>Q65/$B$84*'Commercial Inputs'!$B$46*('Commercial Inputs'!$B$24*$B$90+'Commercial Inputs'!$B$28)</x:f>
        <x:v>1535.4151555831077</x:v>
      </x:c>
      <x:c r="R68" s="58" t="n">
        <x:f>R65/$B$84*'Commercial Inputs'!$B$46*('Commercial Inputs'!$B$24*$B$90+'Commercial Inputs'!$B$28)</x:f>
        <x:v>1592.3727566474988</x:v>
      </x:c>
      <x:c r="S68" s="58" t="n">
        <x:f>S65/$B$84*'Commercial Inputs'!$B$46*('Commercial Inputs'!$B$24*$B$90+'Commercial Inputs'!$B$28)</x:f>
        <x:v>1659.5536918409266</x:v>
      </x:c>
      <x:c r="T68" s="58" t="n">
        <x:f>T65/$B$84*'Commercial Inputs'!$B$46*('Commercial Inputs'!$B$24*$B$90+'Commercial Inputs'!$B$28)</x:f>
        <x:v>1688.5654033171206</x:v>
      </x:c>
      <x:c r="U68" s="58" t="n">
        <x:f>U65/$B$84*'Commercial Inputs'!$B$46*('Commercial Inputs'!$B$24*$B$90+'Commercial Inputs'!$B$28)</x:f>
        <x:v>1715.284121796854</x:v>
      </x:c>
      <x:c r="V68" s="58" t="n">
        <x:f>V65/$B$84*'Commercial Inputs'!$B$46*('Commercial Inputs'!$B$24*$B$90+'Commercial Inputs'!$B$28)</x:f>
        <x:v>1739.8162067891674</x:v>
      </x:c>
      <x:c r="W68" s="58" t="n">
        <x:f>W65/$B$84*'Commercial Inputs'!$B$46*('Commercial Inputs'!$B$24*$B$90+'Commercial Inputs'!$B$28)</x:f>
        <x:v>1762.2747115743516</x:v>
      </x:c>
      <x:c r="X68" s="58" t="n">
        <x:f>X65/$B$84*'Commercial Inputs'!$B$46*('Commercial Inputs'!$B$24*$B$90+'Commercial Inputs'!$B$28)</x:f>
        <x:v>1782.7796540768052</x:v>
      </x:c>
      <x:c r="Y68" s="58" t="n">
        <x:f>Y65/$B$84*'Commercial Inputs'!$B$46*('Commercial Inputs'!$B$24*$B$90+'Commercial Inputs'!$B$28)</x:f>
        <x:v>1801.4582972652695</x:v>
      </x:c>
      <x:c r="Z68" s="58" t="n">
        <x:f>Z65/$B$84*'Commercial Inputs'!$B$46*('Commercial Inputs'!$B$24*$B$90+'Commercial Inputs'!$B$28)</x:f>
        <x:v>1844.4567839211704</x:v>
      </x:c>
      <x:c r="AA68" s="58" t="n">
        <x:f>AA65/$B$84*'Commercial Inputs'!$B$46*('Commercial Inputs'!$B$24*$B$90+'Commercial Inputs'!$B$28)</x:f>
        <x:v>1886.4817924666015</x:v>
      </x:c>
      <x:c r="AB68" s="58" t="n">
        <x:f>AB65/$B$84*'Commercial Inputs'!$B$46*('Commercial Inputs'!$B$24*$B$90+'Commercial Inputs'!$B$28)</x:f>
        <x:v>1927.7205470785825</x:v>
      </x:c>
      <x:c r="AC68" s="58" t="n">
        <x:f>AC65/$B$84*'Commercial Inputs'!$B$46*('Commercial Inputs'!$B$24*$B$90+'Commercial Inputs'!$B$28)</x:f>
        <x:v>1968.3668691577175</x:v>
      </x:c>
      <x:c r="AD68" s="58" t="n">
        <x:f>AD65/$B$84*'Commercial Inputs'!$B$46*('Commercial Inputs'!$B$24*$B$90+'Commercial Inputs'!$B$28)</x:f>
        <x:v>2008.6213502834937</x:v>
      </x:c>
      <x:c r="AE68" s="58" t="n">
        <x:f>AE65/$B$84*'Commercial Inputs'!$B$46*('Commercial Inputs'!$B$24*$B$90+'Commercial Inputs'!$B$28)</x:f>
        <x:v>2048.6915294132937</x:v>
      </x:c>
      <x:c r="AF68" s="58" t="n">
        <x:f>AF65/$B$84*'Commercial Inputs'!$B$46*('Commercial Inputs'!$B$24*$B$90+'Commercial Inputs'!$B$28)</x:f>
        <x:v>2073.34863682353</x:v>
      </x:c>
      <x:c r="AG68" s="58" t="n">
        <x:f>AG65/$B$84*'Commercial Inputs'!$B$46*('Commercial Inputs'!$B$24*$B$90+'Commercial Inputs'!$B$28)</x:f>
        <x:v>2096.4096505883417</x:v>
      </x:c>
      <x:c r="AH68" s="58" t="n">
        <x:f>AH65/$B$84*'Commercial Inputs'!$B$46*('Commercial Inputs'!$B$24*$B$90+'Commercial Inputs'!$B$28)</x:f>
        <x:v>2118.104059005103</x:v>
      </x:c>
      <x:c r="AI68" s="58" t="n">
        <x:f>AI65/$B$84*'Commercial Inputs'!$B$46*('Commercial Inputs'!$B$24*$B$90+'Commercial Inputs'!$B$28)</x:f>
        <x:v>2138.6690511009356</x:v>
      </x:c>
      <x:c r="AJ68" s="58" t="n">
        <x:f>AJ65/$B$84*'Commercial Inputs'!$B$46*('Commercial Inputs'!$B$24*$B$90+'Commercial Inputs'!$B$28)</x:f>
        <x:v>2158.349716662804</x:v>
      </x:c>
      <x:c r="AK68" s="58" t="n">
        <x:f>AK65/$B$84*'Commercial Inputs'!$B$46*('Commercial Inputs'!$B$24*$B$90+'Commercial Inputs'!$B$28)</x:f>
        <x:v>2177.399251175544</x:v>
      </x:c>
    </x:row>
    <x:row r="69" ht="18" customHeight="1">
      <x:c r="A69" s="4" t="str">
        <x:v>Forward liquidity buffer (INR)</x:v>
      </x:c>
      <x:c r="B69" s="58" t="n">
        <x:f>'Commercial Inputs'!$B$34*(SUM(B52:B54)+B47+B16)</x:f>
        <x:v>55329.149999999994</x:v>
      </x:c>
      <x:c r="C69" s="58" t="n">
        <x:f>'Commercial Inputs'!$B$34*(SUM(C52:C54)+C47+C16)</x:f>
        <x:v>55329.149999999994</x:v>
      </x:c>
      <x:c r="D69" s="58" t="n">
        <x:f>'Commercial Inputs'!$B$34*(SUM(D52:D54)+D47+D16)</x:f>
        <x:v>55329.149999999994</x:v>
      </x:c>
      <x:c r="E69" s="58" t="n">
        <x:f>'Commercial Inputs'!$B$34*(SUM(E52:E54)+E47+E16)</x:f>
        <x:v>55329.149999999994</x:v>
      </x:c>
      <x:c r="F69" s="58" t="n">
        <x:f>'Commercial Inputs'!$B$34*(SUM(F52:F54)+F47+F16)</x:f>
        <x:v>55329.149999999994</x:v>
      </x:c>
      <x:c r="G69" s="58" t="n">
        <x:f>'Commercial Inputs'!$B$34*(SUM(G52:G54)+G47+G16)</x:f>
        <x:v>55329.149999999994</x:v>
      </x:c>
      <x:c r="H69" s="58" t="n">
        <x:f>'Commercial Inputs'!$B$34*(SUM(H52:H54)+H47+H16)</x:f>
        <x:v>36579.149999999994</x:v>
      </x:c>
      <x:c r="I69" s="58" t="n">
        <x:f>'Commercial Inputs'!$B$34*(SUM(I52:I54)+I47+I16)</x:f>
        <x:v>36579.149999999994</x:v>
      </x:c>
      <x:c r="J69" s="58" t="n">
        <x:f>'Commercial Inputs'!$B$34*(SUM(J52:J54)+J47+J16)</x:f>
        <x:v>36579.149999999994</x:v>
      </x:c>
      <x:c r="K69" s="58" t="n">
        <x:f>'Commercial Inputs'!$B$34*(SUM(K52:K54)+K47+K16)</x:f>
        <x:v>36579.149999999994</x:v>
      </x:c>
      <x:c r="L69" s="58" t="n">
        <x:f>'Commercial Inputs'!$B$34*(SUM(L52:L54)+L47+L16)</x:f>
        <x:v>36613.3950810778</x:v>
      </x:c>
      <x:c r="M69" s="58" t="n">
        <x:f>'Commercial Inputs'!$B$34*(SUM(M52:M54)+M47+M16)</x:f>
        <x:v>36653.230677742715</x:v>
      </x:c>
      <x:c r="N69" s="58" t="n">
        <x:f>'Commercial Inputs'!$B$34*(SUM(N52:N54)+N47+N16)</x:f>
        <x:v>36645.05034142505</x:v>
      </x:c>
      <x:c r="O69" s="58" t="n">
        <x:f>'Commercial Inputs'!$B$34*(SUM(O52:O54)+O47+O16)</x:f>
        <x:v>36637.14805198071</x:v>
      </x:c>
      <x:c r="P69" s="58" t="n">
        <x:f>'Commercial Inputs'!$B$34*(SUM(P52:P54)+P47+P16)</x:f>
        <x:v>36629.5017025039</x:v>
      </x:c>
      <x:c r="Q69" s="58" t="n">
        <x:f>'Commercial Inputs'!$B$34*(SUM(Q52:Q54)+Q47+Q16)</x:f>
        <x:v>36622.0788195399</x:v>
      </x:c>
      <x:c r="R69" s="58" t="n">
        <x:f>'Commercial Inputs'!$B$34*(SUM(R52:R54)+R47+R16)</x:f>
        <x:v>36614.85279069243</x:v>
      </x:c>
      <x:c r="S69" s="58" t="n">
        <x:f>'Commercial Inputs'!$B$34*(SUM(S52:S54)+S47+S16)</x:f>
        <x:v>36607.80148909734</x:v>
      </x:c>
      <x:c r="T69" s="58" t="n">
        <x:f>'Commercial Inputs'!$B$34*(SUM(T52:T54)+T47+T16)</x:f>
        <x:v>36626.655207665484</x:v>
      </x:c>
      <x:c r="U69" s="58" t="n">
        <x:f>'Commercial Inputs'!$B$34*(SUM(U52:U54)+U47+U16)</x:f>
        <x:v>36645.64879151156</x:v>
      </x:c>
      <x:c r="V69" s="58" t="n">
        <x:f>'Commercial Inputs'!$B$34*(SUM(V52:V54)+V47+V16)</x:f>
        <x:v>36664.7680066973</x:v>
      </x:c>
      <x:c r="W69" s="58" t="n">
        <x:f>'Commercial Inputs'!$B$34*(SUM(W52:W54)+W47+W16)</x:f>
        <x:v>36684.000014876976</x:v>
      </x:c>
      <x:c r="X69" s="58" t="n">
        <x:f>'Commercial Inputs'!$B$34*(SUM(X52:X54)+X47+X16)</x:f>
        <x:v>36703.33296736026</x:v>
      </x:c>
      <x:c r="Y69" s="58" t="n">
        <x:f>'Commercial Inputs'!$B$34*(SUM(Y52:Y54)+Y47+Y16)</x:f>
        <x:v>36722.7556850617</x:v>
      </x:c>
      <x:c r="Z69" s="58" t="n">
        <x:f>'Commercial Inputs'!$B$34*(SUM(Z52:Z54)+Z47+Z16)</x:f>
        <x:v>36734.6904880958</x:v>
      </x:c>
      <x:c r="AA69" s="58" t="n">
        <x:f>'Commercial Inputs'!$B$34*(SUM(AA52:AA54)+AA47+AA16)</x:f>
        <x:v>36746.288402009566</x:v>
      </x:c>
      <x:c r="AB69" s="58" t="n">
        <x:f>'Commercial Inputs'!$B$34*(SUM(AB52:AB54)+AB47+AB16)</x:f>
        <x:v>36757.57769436098</x:v>
      </x:c>
      <x:c r="AC69" s="58" t="n">
        <x:f>'Commercial Inputs'!$B$34*(SUM(AC52:AC54)+AC47+AC16)</x:f>
        <x:v>36768.5595330974</x:v>
      </x:c>
      <x:c r="AD69" s="58" t="n">
        <x:f>'Commercial Inputs'!$B$34*(SUM(AD52:AD54)+AD47+AD16)</x:f>
        <x:v>36779.23202624396</x:v>
      </x:c>
      <x:c r="AE69" s="58" t="n">
        <x:f>'Commercial Inputs'!$B$34*(SUM(AE52:AE54)+AE47+AE16)</x:f>
        <x:v>36789.59082227187</x:v>
      </x:c>
      <x:c r="AF69" s="58" t="n">
        <x:f>'Commercial Inputs'!$B$34*(SUM(AF52:AF54)+AF47+AF16)</x:f>
        <x:v>36803.37430833254</x:v>
      </x:c>
      <x:c r="AG69" s="58" t="n">
        <x:f>'Commercial Inputs'!$B$34*(SUM(AG52:AG54)+AG47+AG16)</x:f>
        <x:v>36816.82977394835</x:v>
      </x:c>
      <x:c r="AH69" s="58" t="n">
        <x:f>'Commercial Inputs'!$B$34*(SUM(AH52:AH54)+AH47+AH16)</x:f>
        <x:v>36829.94788748809</x:v>
      </x:c>
      <x:c r="AI69" s="58" t="n">
        <x:f>'Commercial Inputs'!$B$34*(SUM(AI52:AI54)+AI47+AI16)</x:f>
        <x:v>36842.718179242394</x:v>
      </x:c>
      <x:c r="AJ69" s="58" t="n">
        <x:f>'Commercial Inputs'!$B$34*(SUM(AJ52:AJ54)+AJ47+AJ16)</x:f>
        <x:v>36855.1292072323</x:v>
      </x:c>
      <x:c r="AK69" s="58" t="n">
        <x:f>'Commercial Inputs'!$B$34*(SUM(AK52:AK54)+AK47+AK16)</x:f>
        <x:v>36867.16868426108</x:v>
      </x:c>
    </x:row>
    <x:row r="70" ht="18" customHeight="1">
      <x:c r="A70" s="4" t="str">
        <x:v>Cash after service / liquidity reserves</x:v>
      </x:c>
      <x:c r="B70" s="58" t="n">
        <x:f>B64-B68-B69</x:f>
        <x:v>8622.85541833334</x:v>
      </x:c>
      <x:c r="C70" s="58" t="n">
        <x:f>C64-C68-C69</x:f>
        <x:v>-4476.748754393637</x:v>
      </x:c>
      <x:c r="D70" s="58" t="n">
        <x:f>D64-D68-D69</x:f>
        <x:v>-17373.6568109953</x:v>
      </x:c>
      <x:c r="E70" s="58" t="n">
        <x:f>E64-E68-E69</x:f>
        <x:v>-30104.833804200956</x:v>
      </x:c>
      <x:c r="F70" s="58" t="n">
        <x:f>F64-F68-F69</x:f>
        <x:v>-42685.47578731378</x:v>
      </x:c>
      <x:c r="G70" s="58" t="n">
        <x:f>G64-G68-G69</x:f>
        <x:v>-55126.77757050567</x:v>
      </x:c>
      <x:c r="H70" s="58" t="n">
        <x:f>H64-H68-H69</x:f>
        <x:v>-43697.353191422146</x:v>
      </x:c>
      <x:c r="I70" s="58" t="n">
        <x:f>I64-I68-I69</x:f>
        <x:v>-52426.113980532245</x:v>
      </x:c>
      <x:c r="J70" s="58" t="n">
        <x:f>J64-J68-J69</x:f>
        <x:v>-61099.27956424664</x:v>
      </x:c>
      <x:c r="K70" s="58" t="n">
        <x:f>K64-K68-K69</x:f>
        <x:v>-69697.36787996082</x:v>
      </x:c>
      <x:c r="L70" s="58" t="n">
        <x:f>L64-L68-L69</x:f>
        <x:v>-78257.04196028656</x:v>
      </x:c>
      <x:c r="M70" s="58" t="n">
        <x:f>M64-M68-M69</x:f>
        <x:v>-86743.7343485691</x:v>
      </x:c>
      <x:c r="N70" s="58" t="n">
        <x:f>N64-N68-N69</x:f>
        <x:v>-94673.84264257271</x:v>
      </x:c>
      <x:c r="O70" s="58" t="n">
        <x:f>O64-O68-O69</x:f>
        <x:v>-102022.58781061706</x:v>
      </x:c>
      <x:c r="P70" s="58" t="n">
        <x:f>P64-P68-P69</x:f>
        <x:v>-109283.41115802602</x:v>
      </x:c>
      <x:c r="Q70" s="58" t="n">
        <x:f>Q64-Q68-Q69</x:f>
        <x:v>-116453.14257173456</x:v>
      </x:c>
      <x:c r="R70" s="58" t="n">
        <x:f>R64-R68-R69</x:f>
        <x:v>-123528.84258405324</x:v>
      </x:c>
      <x:c r="S70" s="58" t="n">
        <x:f>S64-S68-S69</x:f>
        <x:v>-130507.74032495462</x:v>
      </x:c>
      <x:c r="T70" s="58" t="n">
        <x:f>T64-T68-T69</x:f>
        <x:v>-137644.0675889531</x:v>
      </x:c>
      <x:c r="U70" s="58" t="n">
        <x:f>U64-U68-U69</x:f>
        <x:v>-144952.08619833773</x:v>
      </x:c>
      <x:c r="V70" s="58" t="n">
        <x:f>V64-V68-V69</x:f>
        <x:v>-152164.14844316</x:v>
      </x:c>
      <x:c r="W70" s="58" t="n">
        <x:f>W64-W68-W69</x:f>
        <x:v>-159277.76532330923</x:v>
      </x:c>
      <x:c r="X70" s="58" t="n">
        <x:f>X64-X68-X69</x:f>
        <x:v>-166290.4572891307</x:v>
      </x:c>
      <x:c r="Y70" s="58" t="n">
        <x:f>Y64-Y68-Y69</x:f>
        <x:v>-173199.7393391602</x:v>
      </x:c>
      <x:c r="Z70" s="58" t="n">
        <x:f>Z64-Z68-Z69</x:f>
        <x:v>-179855.02749075275</x:v>
      </x:c>
      <x:c r="AA70" s="58" t="n">
        <x:f>AA64-AA68-AA69</x:f>
        <x:v>-186256.0669490184</x:v>
      </x:c>
      <x:c r="AB70" s="58" t="n">
        <x:f>AB64-AB68-AB69</x:f>
        <x:v>-192591.54279285957</x:v>
      </x:c>
      <x:c r="AC70" s="58" t="n">
        <x:f>AC64-AC68-AC69</x:f>
        <x:v>-198861.0211134282</x:v>
      </x:c>
      <x:c r="AD70" s="58" t="n">
        <x:f>AD64-AD68-AD69</x:f>
        <x:v>-205063.9263536715</x:v>
      </x:c>
      <x:c r="AE70" s="58" t="n">
        <x:f>AE64-AE68-AE69</x:f>
        <x:v>-211199.5680961667</x:v>
      </x:c>
      <x:c r="AF70" s="58" t="n">
        <x:f>AF64-AF68-AF69</x:f>
        <x:v>-217356.72406132627</x:v>
      </x:c>
      <x:c r="AG70" s="58" t="n">
        <x:f>AG64-AG68-AG69</x:f>
        <x:v>-223546.96734703326</x:v>
      </x:c>
      <x:c r="AH70" s="58" t="n">
        <x:f>AH64-AH68-AH69</x:f>
        <x:v>-229668.62024982474</x:v>
      </x:c>
      <x:c r="AI70" s="58" t="n">
        <x:f>AI64-AI68-AI69</x:f>
        <x:v>-235720.69865348734</x:v>
      </x:c>
      <x:c r="AJ70" s="58" t="n">
        <x:f>AJ64-AJ68-AJ69</x:f>
        <x:v>-241702.169780182</x:v>
      </x:c>
      <x:c r="AK70" s="58" t="n">
        <x:f>AK64-AK68-AK69</x:f>
        <x:v>-247611.95780693018</x:v>
      </x:c>
    </x:row>
    <x:row r="71" ht="18" customHeight="1">
      <x:c r="A71" s="4" t="str">
        <x:v>Cumulative earned operating profit (INR)</x:v>
      </x:c>
      <x:c r="B71" s="58" t="n">
        <x:f>0+B56</x:f>
        <x:v>-38292.79707143911</x:v>
      </x:c>
      <x:c r="C71" s="58" t="n">
        <x:f>B71+C56</x:f>
        <x:v>-55967.08394627229</x:v>
      </x:c>
      <x:c r="D71" s="58" t="n">
        <x:f>C71+D56</x:f>
        <x:v>-73072.92341234375</x:v>
      </x:c>
      <x:c r="E71" s="58" t="n">
        <x:f>D71+E56</x:f>
        <x:v>-89623.07367295586</x:v>
      </x:c>
      <x:c r="F71" s="58" t="n">
        <x:f>E71+F56</x:f>
        <x:v>-105625.70092837876</x:v>
      </x:c>
      <x:c r="G71" s="58" t="n">
        <x:f>F71+G56</x:f>
        <x:v>-121085.34103531743</x:v>
      </x:c>
      <x:c r="H71" s="58" t="n">
        <x:f>G71+H56</x:f>
        <x:v>-129832.72753315659</x:v>
      </x:c>
      <x:c r="I71" s="58" t="n">
        <x:f>H71+I56</x:f>
        <x:v>-138362.53877355318</x:v>
      </x:c>
      <x:c r="J71" s="58" t="n">
        <x:f>I71+J56</x:f>
        <x:v>-146641.28168054036</x:v>
      </x:c>
      <x:c r="K71" s="58" t="n">
        <x:f>J71+K56</x:f>
        <x:v>-154653.89614997662</x:v>
      </x:c>
      <x:c r="L71" s="58" t="n">
        <x:f>K71+L56</x:f>
        <x:v>-162397.94900158697</x:v>
      </x:c>
      <x:c r="M71" s="58" t="n">
        <x:f>L71+M56</x:f>
        <x:v>-169862.33610931967</x:v>
      </x:c>
      <x:c r="N71" s="58" t="n">
        <x:f>M71+N56</x:f>
        <x:v>-177521.98951239669</x:v>
      </x:c>
      <x:c r="O71" s="58" t="n">
        <x:f>N71+O56</x:f>
        <x:v>-185248.56469759854</x:v>
      </x:c>
      <x:c r="P71" s="58" t="n">
        <x:f>O71+P56</x:f>
        <x:v>-193039.9162250091</x:v>
      </x:c>
      <x:c r="Q71" s="58" t="n">
        <x:f>P71+Q56</x:f>
        <x:v>-200894.235547216</x:v>
      </x:c>
      <x:c r="R71" s="58" t="n">
        <x:f>Q71+R56</x:f>
        <x:v>-208809.9871095568</x:v>
      </x:c>
      <x:c r="S71" s="58" t="n">
        <x:f>R71+S56</x:f>
        <x:v>-216785.85918223503</x:v>
      </x:c>
      <x:c r="T71" s="58" t="n">
        <x:f>S71+T56</x:f>
        <x:v>-224564.9411872943</x:v>
      </x:c>
      <x:c r="U71" s="58" t="n">
        <x:f>T71+U56</x:f>
        <x:v>-232213.49392457254</x:v>
      </x:c>
      <x:c r="V71" s="58" t="n">
        <x:f>U71+V56</x:f>
        <x:v>-239730.6851087848</x:v>
      </x:c>
      <x:c r="W71" s="58" t="n">
        <x:f>V71+W56</x:f>
        <x:v>-247115.80210746345</x:v>
      </x:c>
      <x:c r="X71" s="58" t="n">
        <x:f>W71+X56</x:f>
        <x:v>-254368.24009112615</x:v>
      </x:c>
      <x:c r="Y71" s="58" t="n">
        <x:f>X71+Y56</x:f>
        <x:v>-261487.49357049807</x:v>
      </x:c>
      <x:c r="Z71" s="58" t="n">
        <x:f>Y71+Z56</x:f>
        <x:v>-268571.5971732637</x:v>
      </x:c>
      <x:c r="AA71" s="58" t="n">
        <x:f>Z71+AA56</x:f>
        <x:v>-275575.5607413675</x:v>
      </x:c>
      <x:c r="AB71" s="58" t="n">
        <x:f>AA71+AB56</x:f>
        <x:v>-282501.9242066467</x:v>
      </x:c>
      <x:c r="AC71" s="58" t="n">
        <x:f>AB71+AC56</x:f>
        <x:v>-289353.1780459874</x:v>
      </x:c>
      <x:c r="AD71" s="58" t="n">
        <x:f>AC71+AD56</x:f>
        <x:v>-296131.7951239543</x:v>
      </x:c>
      <x:c r="AE71" s="58" t="n">
        <x:f>AD71+AE56</x:f>
        <x:v>-302840.256062539</x:v>
      </x:c>
      <x:c r="AF71" s="58" t="n">
        <x:f>AE71+AF56</x:f>
        <x:v>-309428.1004905653</x:v>
      </x:c>
      <x:c r="AG71" s="58" t="n">
        <x:f>AF71+AG56</x:f>
        <x:v>-315923.42864748306</x:v>
      </x:c>
      <x:c r="AH71" s="58" t="n">
        <x:f>AG71+AH56</x:f>
        <x:v>-322328.8517409611</x:v>
      </x:c>
      <x:c r="AI71" s="58" t="n">
        <x:f>AH71+AI56</x:f>
        <x:v>-328647.04999907565</x:v>
      </x:c>
      <x:c r="AJ71" s="58" t="n">
        <x:f>AI71+AJ56</x:f>
        <x:v>-334880.7819317718</x:v>
      </x:c>
      <x:c r="AK71" s="58" t="n">
        <x:f>AJ71+AK56</x:f>
        <x:v>-341032.89219872333</x:v>
      </x:c>
    </x:row>
    <x:row r="72" ht="18" customHeight="1">
      <x:c r="A72" s="4" t="str">
        <x:v>Pre-tax retained-profit / liquidity cap</x:v>
      </x:c>
      <x:c r="B72" s="58" t="n">
        <x:f>MAX(0,MIN(B71,B70))</x:f>
        <x:v>0</x:v>
      </x:c>
      <x:c r="C72" s="58" t="n">
        <x:f>MAX(0,MIN(C71,C70))</x:f>
        <x:v>0</x:v>
      </x:c>
      <x:c r="D72" s="58" t="n">
        <x:f>MAX(0,MIN(D71,D70))</x:f>
        <x:v>0</x:v>
      </x:c>
      <x:c r="E72" s="58" t="n">
        <x:f>MAX(0,MIN(E71,E70))</x:f>
        <x:v>0</x:v>
      </x:c>
      <x:c r="F72" s="58" t="n">
        <x:f>MAX(0,MIN(F71,F70))</x:f>
        <x:v>0</x:v>
      </x:c>
      <x:c r="G72" s="58" t="n">
        <x:f>MAX(0,MIN(G71,G70))</x:f>
        <x:v>0</x:v>
      </x:c>
      <x:c r="H72" s="58" t="n">
        <x:f>MAX(0,MIN(H71,H70))</x:f>
        <x:v>0</x:v>
      </x:c>
      <x:c r="I72" s="58" t="n">
        <x:f>MAX(0,MIN(I71,I70))</x:f>
        <x:v>0</x:v>
      </x:c>
      <x:c r="J72" s="58" t="n">
        <x:f>MAX(0,MIN(J71,J70))</x:f>
        <x:v>0</x:v>
      </x:c>
      <x:c r="K72" s="58" t="n">
        <x:f>MAX(0,MIN(K71,K70))</x:f>
        <x:v>0</x:v>
      </x:c>
      <x:c r="L72" s="58" t="n">
        <x:f>MAX(0,MIN(L71,L70))</x:f>
        <x:v>0</x:v>
      </x:c>
      <x:c r="M72" s="58" t="n">
        <x:f>MAX(0,MIN(M71,M70))</x:f>
        <x:v>0</x:v>
      </x:c>
      <x:c r="N72" s="58" t="n">
        <x:f>MAX(0,MIN(N71,N70))</x:f>
        <x:v>0</x:v>
      </x:c>
      <x:c r="O72" s="58" t="n">
        <x:f>MAX(0,MIN(O71,O70))</x:f>
        <x:v>0</x:v>
      </x:c>
      <x:c r="P72" s="58" t="n">
        <x:f>MAX(0,MIN(P71,P70))</x:f>
        <x:v>0</x:v>
      </x:c>
      <x:c r="Q72" s="58" t="n">
        <x:f>MAX(0,MIN(Q71,Q70))</x:f>
        <x:v>0</x:v>
      </x:c>
      <x:c r="R72" s="58" t="n">
        <x:f>MAX(0,MIN(R71,R70))</x:f>
        <x:v>0</x:v>
      </x:c>
      <x:c r="S72" s="58" t="n">
        <x:f>MAX(0,MIN(S71,S70))</x:f>
        <x:v>0</x:v>
      </x:c>
      <x:c r="T72" s="58" t="n">
        <x:f>MAX(0,MIN(T71,T70))</x:f>
        <x:v>0</x:v>
      </x:c>
      <x:c r="U72" s="58" t="n">
        <x:f>MAX(0,MIN(U71,U70))</x:f>
        <x:v>0</x:v>
      </x:c>
      <x:c r="V72" s="58" t="n">
        <x:f>MAX(0,MIN(V71,V70))</x:f>
        <x:v>0</x:v>
      </x:c>
      <x:c r="W72" s="58" t="n">
        <x:f>MAX(0,MIN(W71,W70))</x:f>
        <x:v>0</x:v>
      </x:c>
      <x:c r="X72" s="58" t="n">
        <x:f>MAX(0,MIN(X71,X70))</x:f>
        <x:v>0</x:v>
      </x:c>
      <x:c r="Y72" s="58" t="n">
        <x:f>MAX(0,MIN(Y71,Y70))</x:f>
        <x:v>0</x:v>
      </x:c>
      <x:c r="Z72" s="58" t="n">
        <x:f>MAX(0,MIN(Z71,Z70))</x:f>
        <x:v>0</x:v>
      </x:c>
      <x:c r="AA72" s="58" t="n">
        <x:f>MAX(0,MIN(AA71,AA70))</x:f>
        <x:v>0</x:v>
      </x:c>
      <x:c r="AB72" s="58" t="n">
        <x:f>MAX(0,MIN(AB71,AB70))</x:f>
        <x:v>0</x:v>
      </x:c>
      <x:c r="AC72" s="58" t="n">
        <x:f>MAX(0,MIN(AC71,AC70))</x:f>
        <x:v>0</x:v>
      </x:c>
      <x:c r="AD72" s="58" t="n">
        <x:f>MAX(0,MIN(AD71,AD70))</x:f>
        <x:v>0</x:v>
      </x:c>
      <x:c r="AE72" s="58" t="n">
        <x:f>MAX(0,MIN(AE71,AE70))</x:f>
        <x:v>0</x:v>
      </x:c>
      <x:c r="AF72" s="58" t="n">
        <x:f>MAX(0,MIN(AF71,AF70))</x:f>
        <x:v>0</x:v>
      </x:c>
      <x:c r="AG72" s="58" t="n">
        <x:f>MAX(0,MIN(AG71,AG70))</x:f>
        <x:v>0</x:v>
      </x:c>
      <x:c r="AH72" s="58" t="n">
        <x:f>MAX(0,MIN(AH71,AH70))</x:f>
        <x:v>0</x:v>
      </x:c>
      <x:c r="AI72" s="58" t="n">
        <x:f>MAX(0,MIN(AI71,AI70))</x:f>
        <x:v>0</x:v>
      </x:c>
      <x:c r="AJ72" s="58" t="n">
        <x:f>MAX(0,MIN(AJ71,AJ70))</x:f>
        <x:v>0</x:v>
      </x:c>
      <x:c r="AK72" s="58" t="n">
        <x:f>MAX(0,MIN(AK71,AK70))</x:f>
        <x:v>0</x:v>
      </x:c>
    </x:row>
    <x:row r="73" ht="18" customHeight="1">
      <x:c r="A73" s="74" t="str">
        <x:v>Revenue run rate: current month x 12</x:v>
      </x:c>
      <x:c r="B73" s="75" t="n">
        <x:f>B38*'Commercial Inputs'!$B$46</x:f>
        <x:v>11119.92783606403</x:v>
      </x:c>
      <x:c r="C73" s="75" t="n">
        <x:f>C38*'Commercial Inputs'!$B$46</x:f>
        <x:v>19413.39659226365</x:v>
      </x:c>
      <x:c r="D73" s="75" t="n">
        <x:f>D38*'Commercial Inputs'!$B$46</x:f>
        <x:v>26974.78125800571</x:v>
      </x:c>
      <x:c r="E73" s="75" t="n">
        <x:f>E38*'Commercial Inputs'!$B$46</x:f>
        <x:v>34343.88308854949</x:v>
      </x:c>
      <x:c r="F73" s="75" t="n">
        <x:f>F38*'Commercial Inputs'!$B$46</x:f>
        <x:v>41586.94823963848</x:v>
      </x:c>
      <x:c r="G73" s="75" t="n">
        <x:f>G38*'Commercial Inputs'!$B$46</x:f>
        <x:v>48756.2950160718</x:v>
      </x:c>
      <x:c r="H73" s="75" t="n">
        <x:f>H38*'Commercial Inputs'!$B$46</x:f>
        <x:v>50040.81970531872</x:v>
      </x:c>
      <x:c r="I73" s="75" t="n">
        <x:f>I38*'Commercial Inputs'!$B$46</x:f>
        <x:v>52896.97094714334</x:v>
      </x:c>
      <x:c r="J73" s="75" t="n">
        <x:f>J38*'Commercial Inputs'!$B$46</x:f>
        <x:v>56229.164845479834</x:v>
      </x:c>
      <x:c r="K73" s="75" t="n">
        <x:f>K38*'Commercial Inputs'!$B$46</x:f>
        <x:v>59770.30093333158</x:v>
      </x:c>
      <x:c r="L73" s="75" t="n">
        <x:f>L38*'Commercial Inputs'!$B$46</x:f>
        <x:v>63502.563698047146</x:v>
      </x:c>
      <x:c r="M73" s="75" t="n">
        <x:f>M38*'Commercial Inputs'!$B$46</x:f>
        <x:v>67412.92567660799</x:v>
      </x:c>
      <x:c r="N73" s="75" t="n">
        <x:f>N38*'Commercial Inputs'!$B$46</x:f>
        <x:v>66634.64284280136</x:v>
      </x:c>
      <x:c r="O73" s="75" t="n">
        <x:f>O38*'Commercial Inputs'!$B$46</x:f>
        <x:v>65893.88686112747</x:v>
      </x:c>
      <x:c r="P73" s="75" t="n">
        <x:f>P38*'Commercial Inputs'!$B$46</x:f>
        <x:v>65187.40783057711</x:v>
      </x:c>
      <x:c r="Q73" s="75" t="n">
        <x:f>Q38*'Commercial Inputs'!$B$46</x:f>
        <x:v>64510.313092016324</x:v>
      </x:c>
      <x:c r="R73" s="75" t="n">
        <x:f>R38*'Commercial Inputs'!$B$46</x:f>
        <x:v>63858.669137498415</x:v>
      </x:c>
      <x:c r="S73" s="75" t="n">
        <x:f>S38*'Commercial Inputs'!$B$46</x:f>
        <x:v>63229.28192199931</x:v>
      </x:c>
      <x:c r="T73" s="75" t="n">
        <x:f>T38*'Commercial Inputs'!$B$46</x:f>
        <x:v>65137.71475789511</x:v>
      </x:c>
      <x:c r="U73" s="75" t="n">
        <x:f>U38*'Commercial Inputs'!$B$46</x:f>
        <x:v>67063.5863996947</x:v>
      </x:c>
      <x:c r="V73" s="75" t="n">
        <x:f>V38*'Commercial Inputs'!$B$46</x:f>
        <x:v>69005.03444691679</x:v>
      </x:c>
      <x:c r="W73" s="75" t="n">
        <x:f>W38*'Commercial Inputs'!$B$46</x:f>
        <x:v>70960.4441468901</x:v>
      </x:c>
      <x:c r="X73" s="75" t="n">
        <x:f>X38*'Commercial Inputs'!$B$46</x:f>
        <x:v>72928.38427250712</x:v>
      </x:c>
      <x:c r="Y73" s="75" t="n">
        <x:f>Y38*'Commercial Inputs'!$B$46</x:f>
        <x:v>74907.55679975581</x:v>
      </x:c>
      <x:c r="Z73" s="75" t="n">
        <x:f>Z38*'Commercial Inputs'!$B$46</x:f>
        <x:v>76139.83029193981</x:v>
      </x:c>
      <x:c r="AA73" s="75" t="n">
        <x:f>AA38*'Commercial Inputs'!$B$46</x:f>
        <x:v>77333.61581188437</x:v>
      </x:c>
      <x:c r="AB73" s="75" t="n">
        <x:f>AB38*'Commercial Inputs'!$B$46</x:f>
        <x:v>78494.13484804126</x:v>
      </x:c>
      <x:c r="AC73" s="75" t="n">
        <x:f>AC38*'Commercial Inputs'!$B$46</x:f>
        <x:v>79622.28393872576</x:v>
      </x:c>
      <x:c r="AD73" s="75" t="n">
        <x:f>AD38*'Commercial Inputs'!$B$46</x:f>
        <x:v>80718.4884850014</x:v>
      </x:c>
      <x:c r="AE73" s="75" t="n">
        <x:f>AE38*'Commercial Inputs'!$B$46</x:f>
        <x:v>81782.79946174141</x:v>
      </x:c>
      <x:c r="AF73" s="75" t="n">
        <x:f>AF38*'Commercial Inputs'!$B$46</x:f>
        <x:v>83181.19413390847</x:v>
      </x:c>
      <x:c r="AG73" s="75" t="n">
        <x:f>AG38*'Commercial Inputs'!$B$46</x:f>
        <x:v>84546.95773045749</x:v>
      </x:c>
      <x:c r="AH73" s="75" t="n">
        <x:f>AH38*'Commercial Inputs'!$B$46</x:f>
        <x:v>85879.40539744844</x:v>
      </x:c>
      <x:c r="AI73" s="75" t="n">
        <x:f>AI38*'Commercial Inputs'!$B$46</x:f>
        <x:v>87177.6917043092</x:v>
      </x:c>
      <x:c r="AJ73" s="75" t="n">
        <x:f>AJ38*'Commercial Inputs'!$B$46</x:f>
        <x:v>88440.83775994874</x:v>
      </x:c>
      <x:c r="AK73" s="75" t="n">
        <x:f>AK38*'Commercial Inputs'!$B$46</x:f>
        <x:v>89667.7521296744</x:v>
      </x:c>
    </x:row>
    <x:row r="74" ht="18" customHeight="1">
      <x:c r="A74" s="4" t="str"/>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c r="AA74" s="58"/>
      <x:c r="AB74" s="58"/>
      <x:c r="AC74" s="58"/>
      <x:c r="AD74" s="58"/>
      <x:c r="AE74" s="58"/>
      <x:c r="AF74" s="58"/>
      <x:c r="AG74" s="58"/>
      <x:c r="AH74" s="58"/>
      <x:c r="AI74" s="58"/>
      <x:c r="AJ74" s="58"/>
      <x:c r="AK74" s="58"/>
    </x:row>
    <x:row r="75" ht="18" customHeight="1">
      <x:c r="A75" s="4" t="str">
        <x:v>Annual entitlement balance check</x:v>
      </x:c>
      <x:c r="B75" s="58" t="n">
        <x:f>ROUND(B24-(0+SUM(B20:B22)-B23),6)</x:f>
        <x:v>0</x:v>
      </x:c>
      <x:c r="C75" s="58" t="n">
        <x:f>ROUND(C24-(B24+SUM(C20:C22)-C23),6)</x:f>
        <x:v>0</x:v>
      </x:c>
      <x:c r="D75" s="58" t="n">
        <x:f>ROUND(D24-(C24+SUM(D20:D22)-D23),6)</x:f>
        <x:v>0</x:v>
      </x:c>
      <x:c r="E75" s="58" t="n">
        <x:f>ROUND(E24-(D24+SUM(E20:E22)-E23),6)</x:f>
        <x:v>0</x:v>
      </x:c>
      <x:c r="F75" s="58" t="n">
        <x:f>ROUND(F24-(E24+SUM(F20:F22)-F23),6)</x:f>
        <x:v>0</x:v>
      </x:c>
      <x:c r="G75" s="58" t="n">
        <x:f>ROUND(G24-(F24+SUM(G20:G22)-G23),6)</x:f>
        <x:v>0</x:v>
      </x:c>
      <x:c r="H75" s="58" t="n">
        <x:f>ROUND(H24-(G24+SUM(H20:H22)-H23),6)</x:f>
        <x:v>0</x:v>
      </x:c>
      <x:c r="I75" s="58" t="n">
        <x:f>ROUND(I24-(H24+SUM(I20:I22)-I23),6)</x:f>
        <x:v>0</x:v>
      </x:c>
      <x:c r="J75" s="58" t="n">
        <x:f>ROUND(J24-(I24+SUM(J20:J22)-J23),6)</x:f>
        <x:v>0</x:v>
      </x:c>
      <x:c r="K75" s="58" t="n">
        <x:f>ROUND(K24-(J24+SUM(K20:K22)-K23),6)</x:f>
        <x:v>0</x:v>
      </x:c>
      <x:c r="L75" s="58" t="n">
        <x:f>ROUND(L24-(K24+SUM(L20:L22)-L23),6)</x:f>
        <x:v>0</x:v>
      </x:c>
      <x:c r="M75" s="58" t="n">
        <x:f>ROUND(M24-(L24+SUM(M20:M22)-M23),6)</x:f>
        <x:v>0</x:v>
      </x:c>
      <x:c r="N75" s="58" t="n">
        <x:f>ROUND(N24-(M24+SUM(N20:N22)-N23),6)</x:f>
        <x:v>0</x:v>
      </x:c>
      <x:c r="O75" s="58" t="n">
        <x:f>ROUND(O24-(N24+SUM(O20:O22)-O23),6)</x:f>
        <x:v>0</x:v>
      </x:c>
      <x:c r="P75" s="58" t="n">
        <x:f>ROUND(P24-(O24+SUM(P20:P22)-P23),6)</x:f>
        <x:v>0</x:v>
      </x:c>
      <x:c r="Q75" s="58" t="n">
        <x:f>ROUND(Q24-(P24+SUM(Q20:Q22)-Q23),6)</x:f>
        <x:v>0</x:v>
      </x:c>
      <x:c r="R75" s="58" t="n">
        <x:f>ROUND(R24-(Q24+SUM(R20:R22)-R23),6)</x:f>
        <x:v>0</x:v>
      </x:c>
      <x:c r="S75" s="58" t="n">
        <x:f>ROUND(S24-(R24+SUM(S20:S22)-S23),6)</x:f>
        <x:v>0</x:v>
      </x:c>
      <x:c r="T75" s="58" t="n">
        <x:f>ROUND(T24-(S24+SUM(T20:T22)-T23),6)</x:f>
        <x:v>0</x:v>
      </x:c>
      <x:c r="U75" s="58" t="n">
        <x:f>ROUND(U24-(T24+SUM(U20:U22)-U23),6)</x:f>
        <x:v>0</x:v>
      </x:c>
      <x:c r="V75" s="58" t="n">
        <x:f>ROUND(V24-(U24+SUM(V20:V22)-V23),6)</x:f>
        <x:v>0</x:v>
      </x:c>
      <x:c r="W75" s="58" t="n">
        <x:f>ROUND(W24-(V24+SUM(W20:W22)-W23),6)</x:f>
        <x:v>0</x:v>
      </x:c>
      <x:c r="X75" s="58" t="n">
        <x:f>ROUND(X24-(W24+SUM(X20:X22)-X23),6)</x:f>
        <x:v>0</x:v>
      </x:c>
      <x:c r="Y75" s="58" t="n">
        <x:f>ROUND(Y24-(X24+SUM(Y20:Y22)-Y23),6)</x:f>
        <x:v>0</x:v>
      </x:c>
      <x:c r="Z75" s="58" t="n">
        <x:f>ROUND(Z24-(Y24+SUM(Z20:Z22)-Z23),6)</x:f>
        <x:v>0</x:v>
      </x:c>
      <x:c r="AA75" s="58" t="n">
        <x:f>ROUND(AA24-(Z24+SUM(AA20:AA22)-AA23),6)</x:f>
        <x:v>0</x:v>
      </x:c>
      <x:c r="AB75" s="58" t="n">
        <x:f>ROUND(AB24-(AA24+SUM(AB20:AB22)-AB23),6)</x:f>
        <x:v>0</x:v>
      </x:c>
      <x:c r="AC75" s="58" t="n">
        <x:f>ROUND(AC24-(AB24+SUM(AC20:AC22)-AC23),6)</x:f>
        <x:v>0</x:v>
      </x:c>
      <x:c r="AD75" s="58" t="n">
        <x:f>ROUND(AD24-(AC24+SUM(AD20:AD22)-AD23),6)</x:f>
        <x:v>0</x:v>
      </x:c>
      <x:c r="AE75" s="58" t="n">
        <x:f>ROUND(AE24-(AD24+SUM(AE20:AE22)-AE23),6)</x:f>
        <x:v>0</x:v>
      </x:c>
      <x:c r="AF75" s="58" t="n">
        <x:f>ROUND(AF24-(AE24+SUM(AF20:AF22)-AF23),6)</x:f>
        <x:v>0</x:v>
      </x:c>
      <x:c r="AG75" s="58" t="n">
        <x:f>ROUND(AG24-(AF24+SUM(AG20:AG22)-AG23),6)</x:f>
        <x:v>0</x:v>
      </x:c>
      <x:c r="AH75" s="58" t="n">
        <x:f>ROUND(AH24-(AG24+SUM(AH20:AH22)-AH23),6)</x:f>
        <x:v>0</x:v>
      </x:c>
      <x:c r="AI75" s="58" t="n">
        <x:f>ROUND(AI24-(AH24+SUM(AI20:AI22)-AI23),6)</x:f>
        <x:v>0</x:v>
      </x:c>
      <x:c r="AJ75" s="58" t="n">
        <x:f>ROUND(AJ24-(AI24+SUM(AJ20:AJ22)-AJ23),6)</x:f>
        <x:v>0</x:v>
      </x:c>
      <x:c r="AK75" s="58" t="n">
        <x:f>ROUND(AK24-(AJ24+SUM(AK20:AK22)-AK23),6)</x:f>
        <x:v>0</x:v>
      </x:c>
    </x:row>
    <x:row r="76" ht="18" customHeight="1">
      <x:c r="A76" s="4" t="str">
        <x:v>Monthly charge / refund check</x:v>
      </x:c>
      <x:c r="B76" s="58" t="n">
        <x:f>ROUND(B31-B32*(1-'Scenario Inputs'!$B$29),6)</x:f>
        <x:v>0</x:v>
      </x:c>
      <x:c r="C76" s="58" t="n">
        <x:f>ROUND(C31-C32*(1-'Scenario Inputs'!$B$29),6)</x:f>
        <x:v>0</x:v>
      </x:c>
      <x:c r="D76" s="58" t="n">
        <x:f>ROUND(D31-D32*(1-'Scenario Inputs'!$B$29),6)</x:f>
        <x:v>0</x:v>
      </x:c>
      <x:c r="E76" s="58" t="n">
        <x:f>ROUND(E31-E32*(1-'Scenario Inputs'!$B$29),6)</x:f>
        <x:v>0</x:v>
      </x:c>
      <x:c r="F76" s="58" t="n">
        <x:f>ROUND(F31-F32*(1-'Scenario Inputs'!$B$29),6)</x:f>
        <x:v>0</x:v>
      </x:c>
      <x:c r="G76" s="58" t="n">
        <x:f>ROUND(G31-G32*(1-'Scenario Inputs'!$B$29),6)</x:f>
        <x:v>0</x:v>
      </x:c>
      <x:c r="H76" s="58" t="n">
        <x:f>ROUND(H31-H32*(1-'Scenario Inputs'!$B$29),6)</x:f>
        <x:v>0</x:v>
      </x:c>
      <x:c r="I76" s="58" t="n">
        <x:f>ROUND(I31-I32*(1-'Scenario Inputs'!$B$29),6)</x:f>
        <x:v>0</x:v>
      </x:c>
      <x:c r="J76" s="58" t="n">
        <x:f>ROUND(J31-J32*(1-'Scenario Inputs'!$B$29),6)</x:f>
        <x:v>0</x:v>
      </x:c>
      <x:c r="K76" s="58" t="n">
        <x:f>ROUND(K31-K32*(1-'Scenario Inputs'!$B$29),6)</x:f>
        <x:v>0</x:v>
      </x:c>
      <x:c r="L76" s="58" t="n">
        <x:f>ROUND(L31-L32*(1-'Scenario Inputs'!$B$29),6)</x:f>
        <x:v>0</x:v>
      </x:c>
      <x:c r="M76" s="58" t="n">
        <x:f>ROUND(M31-M32*(1-'Scenario Inputs'!$B$29),6)</x:f>
        <x:v>0</x:v>
      </x:c>
      <x:c r="N76" s="58" t="n">
        <x:f>ROUND(N31-N32*(1-'Scenario Inputs'!$B$29),6)</x:f>
        <x:v>0</x:v>
      </x:c>
      <x:c r="O76" s="58" t="n">
        <x:f>ROUND(O31-O32*(1-'Scenario Inputs'!$B$29),6)</x:f>
        <x:v>0</x:v>
      </x:c>
      <x:c r="P76" s="58" t="n">
        <x:f>ROUND(P31-P32*(1-'Scenario Inputs'!$B$29),6)</x:f>
        <x:v>0</x:v>
      </x:c>
      <x:c r="Q76" s="58" t="n">
        <x:f>ROUND(Q31-Q32*(1-'Scenario Inputs'!$B$29),6)</x:f>
        <x:v>0</x:v>
      </x:c>
      <x:c r="R76" s="58" t="n">
        <x:f>ROUND(R31-R32*(1-'Scenario Inputs'!$B$29),6)</x:f>
        <x:v>0</x:v>
      </x:c>
      <x:c r="S76" s="58" t="n">
        <x:f>ROUND(S31-S32*(1-'Scenario Inputs'!$B$29),6)</x:f>
        <x:v>0</x:v>
      </x:c>
      <x:c r="T76" s="58" t="n">
        <x:f>ROUND(T31-T32*(1-'Scenario Inputs'!$B$29),6)</x:f>
        <x:v>0</x:v>
      </x:c>
      <x:c r="U76" s="58" t="n">
        <x:f>ROUND(U31-U32*(1-'Scenario Inputs'!$B$29),6)</x:f>
        <x:v>0</x:v>
      </x:c>
      <x:c r="V76" s="58" t="n">
        <x:f>ROUND(V31-V32*(1-'Scenario Inputs'!$B$29),6)</x:f>
        <x:v>0</x:v>
      </x:c>
      <x:c r="W76" s="58" t="n">
        <x:f>ROUND(W31-W32*(1-'Scenario Inputs'!$B$29),6)</x:f>
        <x:v>0</x:v>
      </x:c>
      <x:c r="X76" s="58" t="n">
        <x:f>ROUND(X31-X32*(1-'Scenario Inputs'!$B$29),6)</x:f>
        <x:v>0</x:v>
      </x:c>
      <x:c r="Y76" s="58" t="n">
        <x:f>ROUND(Y31-Y32*(1-'Scenario Inputs'!$B$29),6)</x:f>
        <x:v>0</x:v>
      </x:c>
      <x:c r="Z76" s="58" t="n">
        <x:f>ROUND(Z31-Z32*(1-'Scenario Inputs'!$B$29),6)</x:f>
        <x:v>0</x:v>
      </x:c>
      <x:c r="AA76" s="58" t="n">
        <x:f>ROUND(AA31-AA32*(1-'Scenario Inputs'!$B$29),6)</x:f>
        <x:v>0</x:v>
      </x:c>
      <x:c r="AB76" s="58" t="n">
        <x:f>ROUND(AB31-AB32*(1-'Scenario Inputs'!$B$29),6)</x:f>
        <x:v>0</x:v>
      </x:c>
      <x:c r="AC76" s="58" t="n">
        <x:f>ROUND(AC31-AC32*(1-'Scenario Inputs'!$B$29),6)</x:f>
        <x:v>0</x:v>
      </x:c>
      <x:c r="AD76" s="58" t="n">
        <x:f>ROUND(AD31-AD32*(1-'Scenario Inputs'!$B$29),6)</x:f>
        <x:v>0</x:v>
      </x:c>
      <x:c r="AE76" s="58" t="n">
        <x:f>ROUND(AE31-AE32*(1-'Scenario Inputs'!$B$29),6)</x:f>
        <x:v>0</x:v>
      </x:c>
      <x:c r="AF76" s="58" t="n">
        <x:f>ROUND(AF31-AF32*(1-'Scenario Inputs'!$B$29),6)</x:f>
        <x:v>0</x:v>
      </x:c>
      <x:c r="AG76" s="58" t="n">
        <x:f>ROUND(AG31-AG32*(1-'Scenario Inputs'!$B$29),6)</x:f>
        <x:v>0</x:v>
      </x:c>
      <x:c r="AH76" s="58" t="n">
        <x:f>ROUND(AH31-AH32*(1-'Scenario Inputs'!$B$29),6)</x:f>
        <x:v>0</x:v>
      </x:c>
      <x:c r="AI76" s="58" t="n">
        <x:f>ROUND(AI31-AI32*(1-'Scenario Inputs'!$B$29),6)</x:f>
        <x:v>0</x:v>
      </x:c>
      <x:c r="AJ76" s="58" t="n">
        <x:f>ROUND(AJ31-AJ32*(1-'Scenario Inputs'!$B$29),6)</x:f>
        <x:v>0</x:v>
      </x:c>
      <x:c r="AK76" s="58" t="n">
        <x:f>ROUND(AK31-AK32*(1-'Scenario Inputs'!$B$29),6)</x:f>
        <x:v>0</x:v>
      </x:c>
    </x:row>
    <x:row r="77" ht="18"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row>
    <x:row r="78" ht="18"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row>
    <x:row r="79" ht="18"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row>
    <x:row r="80" ht="18"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row>
    <x:row r="81" ht="18"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row>
    <x:row r="82" ht="18"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row>
    <x:row r="83" ht="18"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row>
    <x:row r="84" ht="18" customHeight="1">
      <x:c r="A84" s="4" t="str">
        <x:v>Blended annual price, ex-tax (INR)</x:v>
      </x:c>
      <x:c r="B84" s="56" t="n">
        <x:f>'Scenario Inputs'!$B$28*'Commercial Inputs'!$B$6/(1+'Commercial Inputs'!$B$10)+(1-'Scenario Inputs'!$B$28)*('Commercial Inputs'!$B$8*'Commercial Inputs'!$B$5)/(1+'Commercial Inputs'!$B$11)</x:f>
        <x:v>2265.5774576271187</x:v>
      </x:c>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row>
    <x:row r="85" ht="18" customHeight="1">
      <x:c r="A85" s="4" t="str">
        <x:v>Blended monthly price, ex-tax (INR)</x:v>
      </x:c>
      <x:c r="B85" s="56" t="n">
        <x:f>'Scenario Inputs'!$B$28*'Commercial Inputs'!$B$7/(1+'Commercial Inputs'!$B$10)+(1-'Scenario Inputs'!$B$28)*('Commercial Inputs'!$B$9*'Commercial Inputs'!$B$5)/(1+'Commercial Inputs'!$B$11)</x:f>
        <x:v>309.4418644067797</x:v>
      </x:c>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row>
    <x:row r="86" ht="18" customHeight="1">
      <x:c r="A86" s="4" t="str">
        <x:v>Fee per annual charge (INR)</x:v>
      </x:c>
      <x:c r="B86" s="56" t="n">
        <x:f>'Scenario Inputs'!$B$28*('Commercial Inputs'!$B$12*'Commercial Inputs'!$B$6*'Commercial Inputs'!$B$14+(1-'Commercial Inputs'!$B$12)*'Commercial Inputs'!$B$6/(1+'Commercial Inputs'!$B$10)*'Commercial Inputs'!$B$13)+(1-'Scenario Inputs'!$B$28)*('Commercial Inputs'!$B$12*(('Commercial Inputs'!$B$8*'Commercial Inputs'!$B$5)*'Commercial Inputs'!$B$15+'Commercial Inputs'!$B$16*'Commercial Inputs'!$B$5)+(1-'Commercial Inputs'!$B$12)*('Commercial Inputs'!$B$8*'Commercial Inputs'!$B$5)/(1+'Commercial Inputs'!$B$11)*'Commercial Inputs'!$B$13)</x:f>
        <x:v>220.17329932203393</x:v>
      </x:c>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row>
    <x:row r="87" ht="18" customHeight="1">
      <x:c r="A87" s="4" t="str">
        <x:v>Fee per monthly charge (INR)</x:v>
      </x:c>
      <x:c r="B87" s="56" t="n">
        <x:f>'Scenario Inputs'!$B$28*('Commercial Inputs'!$B$12*'Commercial Inputs'!$B$7*'Commercial Inputs'!$B$14+(1-'Commercial Inputs'!$B$12)*'Commercial Inputs'!$B$7/(1+'Commercial Inputs'!$B$10)*'Commercial Inputs'!$B$13)+(1-'Scenario Inputs'!$B$28)*('Commercial Inputs'!$B$12*(('Commercial Inputs'!$B$9*'Commercial Inputs'!$B$5)*'Commercial Inputs'!$B$15+'Commercial Inputs'!$B$16*'Commercial Inputs'!$B$5)+(1-'Commercial Inputs'!$B$12)*('Commercial Inputs'!$B$9*'Commercial Inputs'!$B$5)/(1+'Commercial Inputs'!$B$11)*'Commercial Inputs'!$B$13)</x:f>
        <x:v>36.05812983050848</x:v>
      </x:c>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row>
    <x:row r="88" ht="18" customHeight="1">
      <x:c r="A88" s="4" t="str">
        <x:v>Billing reserve per annual charge (INR)</x:v>
      </x:c>
      <x:c r="B88" s="56" t="n">
        <x:f>('Scenario Inputs'!$B$28*'Commercial Inputs'!$B$6+(1-'Scenario Inputs'!$B$28)*('Commercial Inputs'!$B$8*'Commercial Inputs'!$B$5))*'Commercial Inputs'!$B$17</x:f>
        <x:v>24.790300000000002</x:v>
      </x:c>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row>
    <x:row r="89" ht="18" customHeight="1">
      <x:c r="A89" s="4" t="str">
        <x:v>Billing reserve per monthly charge (INR)</x:v>
      </x:c>
      <x:c r="B89" s="56" t="n">
        <x:f>('Scenario Inputs'!$B$28*'Commercial Inputs'!$B$7+(1-'Scenario Inputs'!$B$28)*('Commercial Inputs'!$B$9*'Commercial Inputs'!$B$5))*'Commercial Inputs'!$B$17</x:f>
        <x:v>3.3602999999999996</x:v>
      </x:c>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row>
    <x:row r="90" ht="18" customHeight="1">
      <x:c r="A90" s="4" t="str">
        <x:v>Budgeted AI cost per job (INR)</x:v>
      </x:c>
      <x:c r="B90" s="56" t="n">
        <x:f>('Commercial Inputs'!$B$20*'Commercial Inputs'!$B$18+'Commercial Inputs'!$B$21*'Commercial Inputs'!$B$19)/'Commercial Inputs'!$B$47*'Commercial Inputs'!$B$22*'Commercial Inputs'!$B$5*(1+'Commercial Inputs'!$B$23)</x:f>
        <x:v>0.1287</x:v>
      </x:c>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row>
    <x:row r="91" ht="18"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row>
    <x:row r="92" ht="18"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row>
  </x:sheetData>
  <x:mergeCells>
    <x:mergeCell ref="A1:AK1"/>
    <x:mergeCell ref="A2:AK2"/>
  </x:mergeCells>
  <x:conditionalFormatting sqref="B67:AK67">
    <x:cfRule type="cellIs" dxfId="0" priority="1" operator="notEqual">
      <x:formula>0</x:formula>
    </x:cfRule>
  </x:conditionalFormatting>
  <x:conditionalFormatting sqref="B75:AK75">
    <x:cfRule type="cellIs" dxfId="1" priority="2" operator="notEqual">
      <x:formula>0</x:formula>
    </x:cfRule>
  </x:conditionalFormatting>
  <x:conditionalFormatting sqref="B76:AK76">
    <x:cfRule type="cellIs" dxfId="2" priority="3" operator="notEqual">
      <x:formula>0</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5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s>
  <x:sheetData>
    <x:row r="1" ht="29" customHeight="1">
      <x:c r="A1" s="50" t="str">
        <x:v>BASE | MONTHLY COHORT MODEL</x:v>
      </x:c>
      <x:c r="B1" s="50"/>
      <x:c r="C1" s="50"/>
      <x:c r="D1" s="50"/>
      <x:c r="E1" s="50"/>
      <x:c r="F1" s="50"/>
      <x:c r="G1" s="50"/>
      <x:c r="H1" s="50"/>
      <x:c r="I1" s="50"/>
      <x:c r="J1" s="50"/>
      <x:c r="K1" s="50"/>
      <x:c r="L1" s="50"/>
      <x:c r="M1" s="50"/>
      <x:c r="N1" s="50"/>
      <x:c r="O1" s="50"/>
      <x:c r="P1" s="50"/>
      <x:c r="Q1" s="50"/>
      <x:c r="R1" s="50"/>
      <x:c r="S1" s="50"/>
      <x:c r="T1" s="50"/>
      <x:c r="U1" s="50"/>
      <x:c r="V1" s="50"/>
      <x:c r="W1" s="50"/>
      <x:c r="X1" s="50"/>
      <x:c r="Y1" s="50"/>
      <x:c r="Z1" s="50"/>
      <x:c r="AA1" s="50"/>
      <x:c r="AB1" s="50"/>
      <x:c r="AC1" s="50"/>
      <x:c r="AD1" s="50"/>
      <x:c r="AE1" s="50"/>
      <x:c r="AF1" s="50"/>
      <x:c r="AG1" s="50"/>
      <x:c r="AH1" s="50"/>
      <x:c r="AI1" s="50"/>
      <x:c r="AJ1" s="50"/>
      <x:c r="AK1" s="50"/>
    </x:row>
    <x:row r="2" ht="24" customHeight="1">
      <x:c r="A2" s="11" t="str">
        <x:v>INR unless stated. Purchases occur at month start; annual revenue is earned over 12 months. No founder salary or income tax in the base case.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row>
    <x:row r="3" ht="18"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row>
    <x:row r="4" ht="18"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row>
    <x:row r="5" ht="30" customHeight="1">
      <x:c r="A5" s="16" t="str">
        <x:v>Month after paid launch</x:v>
      </x:c>
      <x:c r="B5" s="16" t="n">
        <x:v>1</x:v>
      </x:c>
      <x:c r="C5" s="16" t="n">
        <x:v>2</x:v>
      </x:c>
      <x:c r="D5" s="16" t="n">
        <x:v>3</x:v>
      </x:c>
      <x:c r="E5" s="16" t="n">
        <x:v>4</x:v>
      </x:c>
      <x:c r="F5" s="16" t="n">
        <x:v>5</x:v>
      </x:c>
      <x:c r="G5" s="16" t="n">
        <x:v>6</x:v>
      </x:c>
      <x:c r="H5" s="16" t="n">
        <x:v>7</x:v>
      </x:c>
      <x:c r="I5" s="16" t="n">
        <x:v>8</x:v>
      </x:c>
      <x:c r="J5" s="16" t="n">
        <x:v>9</x:v>
      </x:c>
      <x:c r="K5" s="16" t="n">
        <x:v>10</x:v>
      </x:c>
      <x:c r="L5" s="16" t="n">
        <x:v>11</x:v>
      </x:c>
      <x:c r="M5" s="16" t="n">
        <x:v>12</x:v>
      </x:c>
      <x:c r="N5" s="16" t="n">
        <x:v>13</x:v>
      </x:c>
      <x:c r="O5" s="16" t="n">
        <x:v>14</x:v>
      </x:c>
      <x:c r="P5" s="16" t="n">
        <x:v>15</x:v>
      </x:c>
      <x:c r="Q5" s="16" t="n">
        <x:v>16</x:v>
      </x:c>
      <x:c r="R5" s="16" t="n">
        <x:v>17</x:v>
      </x:c>
      <x:c r="S5" s="16" t="n">
        <x:v>18</x:v>
      </x:c>
      <x:c r="T5" s="16" t="n">
        <x:v>19</x:v>
      </x:c>
      <x:c r="U5" s="16" t="n">
        <x:v>20</x:v>
      </x:c>
      <x:c r="V5" s="16" t="n">
        <x:v>21</x:v>
      </x:c>
      <x:c r="W5" s="16" t="n">
        <x:v>22</x:v>
      </x:c>
      <x:c r="X5" s="16" t="n">
        <x:v>23</x:v>
      </x:c>
      <x:c r="Y5" s="16" t="n">
        <x:v>24</x:v>
      </x:c>
      <x:c r="Z5" s="16" t="n">
        <x:v>25</x:v>
      </x:c>
      <x:c r="AA5" s="16" t="n">
        <x:v>26</x:v>
      </x:c>
      <x:c r="AB5" s="16" t="n">
        <x:v>27</x:v>
      </x:c>
      <x:c r="AC5" s="16" t="n">
        <x:v>28</x:v>
      </x:c>
      <x:c r="AD5" s="16" t="n">
        <x:v>29</x:v>
      </x:c>
      <x:c r="AE5" s="16" t="n">
        <x:v>30</x:v>
      </x:c>
      <x:c r="AF5" s="16" t="n">
        <x:v>31</x:v>
      </x:c>
      <x:c r="AG5" s="16" t="n">
        <x:v>32</x:v>
      </x:c>
      <x:c r="AH5" s="16" t="n">
        <x:v>33</x:v>
      </x:c>
      <x:c r="AI5" s="16" t="n">
        <x:v>34</x:v>
      </x:c>
      <x:c r="AJ5" s="16" t="n">
        <x:v>35</x:v>
      </x:c>
      <x:c r="AK5" s="16" t="n">
        <x:v>36</x:v>
      </x:c>
    </x:row>
    <x:row r="6" ht="18" customHeight="1">
      <x:c r="A6" s="4" t="str">
        <x:v>Qualified organic prospects</x:v>
      </x:c>
      <x:c r="B6" s="58" t="n">
        <x:f>'Scenario Inputs'!$C$5</x:f>
        <x:v>1000</x:v>
      </x:c>
      <x:c r="C6" s="58" t="n">
        <x:f>B6*(1+'Scenario Inputs'!$C$6)</x:f>
        <x:v>1120</x:v>
      </x:c>
      <x:c r="D6" s="58" t="n">
        <x:f>C6*(1+'Scenario Inputs'!$C$6)</x:f>
        <x:v>1254.4</x:v>
      </x:c>
      <x:c r="E6" s="58" t="n">
        <x:f>D6*(1+'Scenario Inputs'!$C$6)</x:f>
        <x:v>1404.9280000000003</x:v>
      </x:c>
      <x:c r="F6" s="58" t="n">
        <x:f>E6*(1+'Scenario Inputs'!$C$6)</x:f>
        <x:v>1573.5193600000005</x:v>
      </x:c>
      <x:c r="G6" s="58" t="n">
        <x:f>F6*(1+'Scenario Inputs'!$C$6)</x:f>
        <x:v>1762.3416832000007</x:v>
      </x:c>
      <x:c r="H6" s="58" t="n">
        <x:f>G6*(1+'Scenario Inputs'!$C$6)</x:f>
        <x:v>1973.822685184001</x:v>
      </x:c>
      <x:c r="I6" s="58" t="n">
        <x:f>H6*(1+'Scenario Inputs'!$C$6)</x:f>
        <x:v>2210.6814074060812</x:v>
      </x:c>
      <x:c r="J6" s="58" t="n">
        <x:f>I6*(1+'Scenario Inputs'!$C$6)</x:f>
        <x:v>2475.963176294811</x:v>
      </x:c>
      <x:c r="K6" s="58" t="n">
        <x:f>J6*(1+'Scenario Inputs'!$C$6)</x:f>
        <x:v>2773.0787574501887</x:v>
      </x:c>
      <x:c r="L6" s="58" t="n">
        <x:f>K6*(1+'Scenario Inputs'!$C$6)</x:f>
        <x:v>3105.848208344212</x:v>
      </x:c>
      <x:c r="M6" s="58" t="n">
        <x:f>L6*(1+'Scenario Inputs'!$C$6)</x:f>
        <x:v>3478.5499933455176</x:v>
      </x:c>
      <x:c r="N6" s="58" t="n">
        <x:f>M6*(1+'Scenario Inputs'!$C$7)</x:f>
        <x:v>3756.833992813159</x:v>
      </x:c>
      <x:c r="O6" s="58" t="n">
        <x:f>N6*(1+'Scenario Inputs'!$C$7)</x:f>
        <x:v>4057.3807122382123</x:v>
      </x:c>
      <x:c r="P6" s="58" t="n">
        <x:f>O6*(1+'Scenario Inputs'!$C$7)</x:f>
        <x:v>4381.97116921727</x:v>
      </x:c>
      <x:c r="Q6" s="58" t="n">
        <x:f>P6*(1+'Scenario Inputs'!$C$7)</x:f>
        <x:v>4732.5288627546515</x:v>
      </x:c>
      <x:c r="R6" s="58" t="n">
        <x:f>Q6*(1+'Scenario Inputs'!$C$7)</x:f>
        <x:v>5111.131171775024</x:v>
      </x:c>
      <x:c r="S6" s="58" t="n">
        <x:f>R6*(1+'Scenario Inputs'!$C$7)</x:f>
        <x:v>5520.021665517026</x:v>
      </x:c>
      <x:c r="T6" s="58" t="n">
        <x:f>S6*(1+'Scenario Inputs'!$C$7)</x:f>
        <x:v>5961.623398758388</x:v>
      </x:c>
      <x:c r="U6" s="58" t="n">
        <x:f>T6*(1+'Scenario Inputs'!$C$7)</x:f>
        <x:v>6438.553270659059</x:v>
      </x:c>
      <x:c r="V6" s="58" t="n">
        <x:f>U6*(1+'Scenario Inputs'!$C$7)</x:f>
        <x:v>6953.6375323117845</x:v>
      </x:c>
      <x:c r="W6" s="58" t="n">
        <x:f>V6*(1+'Scenario Inputs'!$C$7)</x:f>
        <x:v>7509.928534896728</x:v>
      </x:c>
      <x:c r="X6" s="58" t="n">
        <x:f>W6*(1+'Scenario Inputs'!$C$7)</x:f>
        <x:v>8110.722817688466</x:v>
      </x:c>
      <x:c r="Y6" s="58" t="n">
        <x:f>X6*(1+'Scenario Inputs'!$C$7)</x:f>
        <x:v>8759.580643103543</x:v>
      </x:c>
      <x:c r="Z6" s="58" t="n">
        <x:f>Y6*(1+'Scenario Inputs'!$C$8)</x:f>
        <x:v>9285.155481689757</x:v>
      </x:c>
      <x:c r="AA6" s="58" t="n">
        <x:f>Z6*(1+'Scenario Inputs'!$C$8)</x:f>
        <x:v>9842.264810591143</x:v>
      </x:c>
      <x:c r="AB6" s="58" t="n">
        <x:f>AA6*(1+'Scenario Inputs'!$C$8)</x:f>
        <x:v>10432.800699226613</x:v>
      </x:c>
      <x:c r="AC6" s="58" t="n">
        <x:f>AB6*(1+'Scenario Inputs'!$C$8)</x:f>
        <x:v>11058.76874118021</x:v>
      </x:c>
      <x:c r="AD6" s="58" t="n">
        <x:f>AC6*(1+'Scenario Inputs'!$C$8)</x:f>
        <x:v>11722.294865651023</x:v>
      </x:c>
      <x:c r="AE6" s="58" t="n">
        <x:f>AD6*(1+'Scenario Inputs'!$C$8)</x:f>
        <x:v>12425.632557590085</x:v>
      </x:c>
      <x:c r="AF6" s="58" t="n">
        <x:f>AE6*(1+'Scenario Inputs'!$C$8)</x:f>
        <x:v>13171.17051104549</x:v>
      </x:c>
      <x:c r="AG6" s="58" t="n">
        <x:f>AF6*(1+'Scenario Inputs'!$C$8)</x:f>
        <x:v>13961.44074170822</x:v>
      </x:c>
      <x:c r="AH6" s="58" t="n">
        <x:f>AG6*(1+'Scenario Inputs'!$C$8)</x:f>
        <x:v>14799.127186210715</x:v>
      </x:c>
      <x:c r="AI6" s="58" t="n">
        <x:f>AH6*(1+'Scenario Inputs'!$C$8)</x:f>
        <x:v>15687.074817383358</x:v>
      </x:c>
      <x:c r="AJ6" s="58" t="n">
        <x:f>AI6*(1+'Scenario Inputs'!$C$8)</x:f>
        <x:v>16628.29930642636</x:v>
      </x:c>
      <x:c r="AK6" s="58" t="n">
        <x:f>AJ6*(1+'Scenario Inputs'!$C$8)</x:f>
        <x:v>17625.997264811944</x:v>
      </x:c>
    </x:row>
    <x:row r="7" ht="18" customHeight="1">
      <x:c r="A7" s="4" t="str">
        <x:v>Paid media spend (INR)</x:v>
      </x:c>
      <x:c r="B7" s="60" t="n">
        <x:f>'Scenario Inputs'!$C$14</x:f>
        <x:v>6000</x:v>
      </x:c>
      <x:c r="C7" s="60" t="n">
        <x:f>'Scenario Inputs'!$C$14</x:f>
        <x:v>6000</x:v>
      </x:c>
      <x:c r="D7" s="60" t="n">
        <x:f>'Scenario Inputs'!$C$14</x:f>
        <x:v>6000</x:v>
      </x:c>
      <x:c r="E7" s="60" t="n">
        <x:f>'Scenario Inputs'!$C$15</x:f>
        <x:v>12000</x:v>
      </x:c>
      <x:c r="F7" s="60" t="n">
        <x:f>'Scenario Inputs'!$C$15</x:f>
        <x:v>12000</x:v>
      </x:c>
      <x:c r="G7" s="60" t="n">
        <x:f>'Scenario Inputs'!$C$15</x:f>
        <x:v>12000</x:v>
      </x:c>
      <x:c r="H7" s="60" t="n">
        <x:f>'Scenario Inputs'!$C$16</x:f>
        <x:v>25000</x:v>
      </x:c>
      <x:c r="I7" s="60" t="n">
        <x:f>'Scenario Inputs'!$C$16</x:f>
        <x:v>25000</x:v>
      </x:c>
      <x:c r="J7" s="60" t="n">
        <x:f>'Scenario Inputs'!$C$16</x:f>
        <x:v>25000</x:v>
      </x:c>
      <x:c r="K7" s="60" t="n">
        <x:f>'Scenario Inputs'!$C$16</x:f>
        <x:v>25000</x:v>
      </x:c>
      <x:c r="L7" s="60" t="n">
        <x:f>'Scenario Inputs'!$C$16</x:f>
        <x:v>25000</x:v>
      </x:c>
      <x:c r="M7" s="60" t="n">
        <x:f>'Scenario Inputs'!$C$16</x:f>
        <x:v>25000</x:v>
      </x:c>
      <x:c r="N7" s="60" t="n">
        <x:f>'Scenario Inputs'!$C$17</x:f>
        <x:v>50000</x:v>
      </x:c>
      <x:c r="O7" s="60" t="n">
        <x:f>'Scenario Inputs'!$C$17</x:f>
        <x:v>50000</x:v>
      </x:c>
      <x:c r="P7" s="60" t="n">
        <x:f>'Scenario Inputs'!$C$17</x:f>
        <x:v>50000</x:v>
      </x:c>
      <x:c r="Q7" s="60" t="n">
        <x:f>'Scenario Inputs'!$C$17</x:f>
        <x:v>50000</x:v>
      </x:c>
      <x:c r="R7" s="60" t="n">
        <x:f>'Scenario Inputs'!$C$17</x:f>
        <x:v>50000</x:v>
      </x:c>
      <x:c r="S7" s="60" t="n">
        <x:f>'Scenario Inputs'!$C$17</x:f>
        <x:v>50000</x:v>
      </x:c>
      <x:c r="T7" s="60" t="n">
        <x:f>'Scenario Inputs'!$C$18</x:f>
        <x:v>75000</x:v>
      </x:c>
      <x:c r="U7" s="60" t="n">
        <x:f>'Scenario Inputs'!$C$18</x:f>
        <x:v>75000</x:v>
      </x:c>
      <x:c r="V7" s="60" t="n">
        <x:f>'Scenario Inputs'!$C$18</x:f>
        <x:v>75000</x:v>
      </x:c>
      <x:c r="W7" s="60" t="n">
        <x:f>'Scenario Inputs'!$C$18</x:f>
        <x:v>75000</x:v>
      </x:c>
      <x:c r="X7" s="60" t="n">
        <x:f>'Scenario Inputs'!$C$18</x:f>
        <x:v>75000</x:v>
      </x:c>
      <x:c r="Y7" s="60" t="n">
        <x:f>'Scenario Inputs'!$C$18</x:f>
        <x:v>75000</x:v>
      </x:c>
      <x:c r="Z7" s="60" t="n">
        <x:f>'Scenario Inputs'!$C$19</x:f>
        <x:v>100000</x:v>
      </x:c>
      <x:c r="AA7" s="60" t="n">
        <x:f>'Scenario Inputs'!$C$19</x:f>
        <x:v>100000</x:v>
      </x:c>
      <x:c r="AB7" s="60" t="n">
        <x:f>'Scenario Inputs'!$C$19</x:f>
        <x:v>100000</x:v>
      </x:c>
      <x:c r="AC7" s="60" t="n">
        <x:f>'Scenario Inputs'!$C$19</x:f>
        <x:v>100000</x:v>
      </x:c>
      <x:c r="AD7" s="60" t="n">
        <x:f>'Scenario Inputs'!$C$19</x:f>
        <x:v>100000</x:v>
      </x:c>
      <x:c r="AE7" s="60" t="n">
        <x:f>'Scenario Inputs'!$C$19</x:f>
        <x:v>100000</x:v>
      </x:c>
      <x:c r="AF7" s="60" t="n">
        <x:f>'Scenario Inputs'!$C$20</x:f>
        <x:v>125000</x:v>
      </x:c>
      <x:c r="AG7" s="60" t="n">
        <x:f>'Scenario Inputs'!$C$20</x:f>
        <x:v>125000</x:v>
      </x:c>
      <x:c r="AH7" s="60" t="n">
        <x:f>'Scenario Inputs'!$C$20</x:f>
        <x:v>125000</x:v>
      </x:c>
      <x:c r="AI7" s="60" t="n">
        <x:f>'Scenario Inputs'!$C$20</x:f>
        <x:v>125000</x:v>
      </x:c>
      <x:c r="AJ7" s="60" t="n">
        <x:f>'Scenario Inputs'!$C$20</x:f>
        <x:v>125000</x:v>
      </x:c>
      <x:c r="AK7" s="60" t="n">
        <x:f>'Scenario Inputs'!$C$20</x:f>
        <x:v>125000</x:v>
      </x:c>
    </x:row>
    <x:row r="8" ht="18" customHeight="1">
      <x:c r="A8" s="4" t="str">
        <x:v>Paid CPC (INR)</x:v>
      </x:c>
      <x:c r="B8" s="64" t="n">
        <x:f>'Scenario Inputs'!$C$10*(1+'Scenario Inputs'!$C$11)^0</x:f>
        <x:v>15</x:v>
      </x:c>
      <x:c r="C8" s="64" t="n">
        <x:f>'Scenario Inputs'!$C$10*(1+'Scenario Inputs'!$C$11)^0</x:f>
        <x:v>15</x:v>
      </x:c>
      <x:c r="D8" s="64" t="n">
        <x:f>'Scenario Inputs'!$C$10*(1+'Scenario Inputs'!$C$11)^0</x:f>
        <x:v>15</x:v>
      </x:c>
      <x:c r="E8" s="64" t="n">
        <x:f>'Scenario Inputs'!$C$10*(1+'Scenario Inputs'!$C$11)^0</x:f>
        <x:v>15</x:v>
      </x:c>
      <x:c r="F8" s="64" t="n">
        <x:f>'Scenario Inputs'!$C$10*(1+'Scenario Inputs'!$C$11)^0</x:f>
        <x:v>15</x:v>
      </x:c>
      <x:c r="G8" s="64" t="n">
        <x:f>'Scenario Inputs'!$C$10*(1+'Scenario Inputs'!$C$11)^0</x:f>
        <x:v>15</x:v>
      </x:c>
      <x:c r="H8" s="64" t="n">
        <x:f>'Scenario Inputs'!$C$10*(1+'Scenario Inputs'!$C$11)^0</x:f>
        <x:v>15</x:v>
      </x:c>
      <x:c r="I8" s="64" t="n">
        <x:f>'Scenario Inputs'!$C$10*(1+'Scenario Inputs'!$C$11)^0</x:f>
        <x:v>15</x:v>
      </x:c>
      <x:c r="J8" s="64" t="n">
        <x:f>'Scenario Inputs'!$C$10*(1+'Scenario Inputs'!$C$11)^0</x:f>
        <x:v>15</x:v>
      </x:c>
      <x:c r="K8" s="64" t="n">
        <x:f>'Scenario Inputs'!$C$10*(1+'Scenario Inputs'!$C$11)^0</x:f>
        <x:v>15</x:v>
      </x:c>
      <x:c r="L8" s="64" t="n">
        <x:f>'Scenario Inputs'!$C$10*(1+'Scenario Inputs'!$C$11)^0</x:f>
        <x:v>15</x:v>
      </x:c>
      <x:c r="M8" s="64" t="n">
        <x:f>'Scenario Inputs'!$C$10*(1+'Scenario Inputs'!$C$11)^0</x:f>
        <x:v>15</x:v>
      </x:c>
      <x:c r="N8" s="64" t="n">
        <x:f>'Scenario Inputs'!$C$10*(1+'Scenario Inputs'!$C$11)^1</x:f>
        <x:v>16.5</x:v>
      </x:c>
      <x:c r="O8" s="64" t="n">
        <x:f>'Scenario Inputs'!$C$10*(1+'Scenario Inputs'!$C$11)^1</x:f>
        <x:v>16.5</x:v>
      </x:c>
      <x:c r="P8" s="64" t="n">
        <x:f>'Scenario Inputs'!$C$10*(1+'Scenario Inputs'!$C$11)^1</x:f>
        <x:v>16.5</x:v>
      </x:c>
      <x:c r="Q8" s="64" t="n">
        <x:f>'Scenario Inputs'!$C$10*(1+'Scenario Inputs'!$C$11)^1</x:f>
        <x:v>16.5</x:v>
      </x:c>
      <x:c r="R8" s="64" t="n">
        <x:f>'Scenario Inputs'!$C$10*(1+'Scenario Inputs'!$C$11)^1</x:f>
        <x:v>16.5</x:v>
      </x:c>
      <x:c r="S8" s="64" t="n">
        <x:f>'Scenario Inputs'!$C$10*(1+'Scenario Inputs'!$C$11)^1</x:f>
        <x:v>16.5</x:v>
      </x:c>
      <x:c r="T8" s="64" t="n">
        <x:f>'Scenario Inputs'!$C$10*(1+'Scenario Inputs'!$C$11)^1</x:f>
        <x:v>16.5</x:v>
      </x:c>
      <x:c r="U8" s="64" t="n">
        <x:f>'Scenario Inputs'!$C$10*(1+'Scenario Inputs'!$C$11)^1</x:f>
        <x:v>16.5</x:v>
      </x:c>
      <x:c r="V8" s="64" t="n">
        <x:f>'Scenario Inputs'!$C$10*(1+'Scenario Inputs'!$C$11)^1</x:f>
        <x:v>16.5</x:v>
      </x:c>
      <x:c r="W8" s="64" t="n">
        <x:f>'Scenario Inputs'!$C$10*(1+'Scenario Inputs'!$C$11)^1</x:f>
        <x:v>16.5</x:v>
      </x:c>
      <x:c r="X8" s="64" t="n">
        <x:f>'Scenario Inputs'!$C$10*(1+'Scenario Inputs'!$C$11)^1</x:f>
        <x:v>16.5</x:v>
      </x:c>
      <x:c r="Y8" s="64" t="n">
        <x:f>'Scenario Inputs'!$C$10*(1+'Scenario Inputs'!$C$11)^1</x:f>
        <x:v>16.5</x:v>
      </x:c>
      <x:c r="Z8" s="64" t="n">
        <x:f>'Scenario Inputs'!$C$10*(1+'Scenario Inputs'!$C$11)^2</x:f>
        <x:v>18.150000000000002</x:v>
      </x:c>
      <x:c r="AA8" s="64" t="n">
        <x:f>'Scenario Inputs'!$C$10*(1+'Scenario Inputs'!$C$11)^2</x:f>
        <x:v>18.150000000000002</x:v>
      </x:c>
      <x:c r="AB8" s="64" t="n">
        <x:f>'Scenario Inputs'!$C$10*(1+'Scenario Inputs'!$C$11)^2</x:f>
        <x:v>18.150000000000002</x:v>
      </x:c>
      <x:c r="AC8" s="64" t="n">
        <x:f>'Scenario Inputs'!$C$10*(1+'Scenario Inputs'!$C$11)^2</x:f>
        <x:v>18.150000000000002</x:v>
      </x:c>
      <x:c r="AD8" s="64" t="n">
        <x:f>'Scenario Inputs'!$C$10*(1+'Scenario Inputs'!$C$11)^2</x:f>
        <x:v>18.150000000000002</x:v>
      </x:c>
      <x:c r="AE8" s="64" t="n">
        <x:f>'Scenario Inputs'!$C$10*(1+'Scenario Inputs'!$C$11)^2</x:f>
        <x:v>18.150000000000002</x:v>
      </x:c>
      <x:c r="AF8" s="64" t="n">
        <x:f>'Scenario Inputs'!$C$10*(1+'Scenario Inputs'!$C$11)^2</x:f>
        <x:v>18.150000000000002</x:v>
      </x:c>
      <x:c r="AG8" s="64" t="n">
        <x:f>'Scenario Inputs'!$C$10*(1+'Scenario Inputs'!$C$11)^2</x:f>
        <x:v>18.150000000000002</x:v>
      </x:c>
      <x:c r="AH8" s="64" t="n">
        <x:f>'Scenario Inputs'!$C$10*(1+'Scenario Inputs'!$C$11)^2</x:f>
        <x:v>18.150000000000002</x:v>
      </x:c>
      <x:c r="AI8" s="64" t="n">
        <x:f>'Scenario Inputs'!$C$10*(1+'Scenario Inputs'!$C$11)^2</x:f>
        <x:v>18.150000000000002</x:v>
      </x:c>
      <x:c r="AJ8" s="64" t="n">
        <x:f>'Scenario Inputs'!$C$10*(1+'Scenario Inputs'!$C$11)^2</x:f>
        <x:v>18.150000000000002</x:v>
      </x:c>
      <x:c r="AK8" s="64" t="n">
        <x:f>'Scenario Inputs'!$C$10*(1+'Scenario Inputs'!$C$11)^2</x:f>
        <x:v>18.150000000000002</x:v>
      </x:c>
    </x:row>
    <x:row r="9" ht="18" customHeight="1">
      <x:c r="A9" s="4" t="str">
        <x:v>Paid clicks / prospect equivalents</x:v>
      </x:c>
      <x:c r="B9" s="58" t="n">
        <x:f>B7/B8</x:f>
        <x:v>400</x:v>
      </x:c>
      <x:c r="C9" s="58" t="n">
        <x:f>C7/C8</x:f>
        <x:v>400</x:v>
      </x:c>
      <x:c r="D9" s="58" t="n">
        <x:f>D7/D8</x:f>
        <x:v>400</x:v>
      </x:c>
      <x:c r="E9" s="58" t="n">
        <x:f>E7/E8</x:f>
        <x:v>800</x:v>
      </x:c>
      <x:c r="F9" s="58" t="n">
        <x:f>F7/F8</x:f>
        <x:v>800</x:v>
      </x:c>
      <x:c r="G9" s="58" t="n">
        <x:f>G7/G8</x:f>
        <x:v>800</x:v>
      </x:c>
      <x:c r="H9" s="58" t="n">
        <x:f>H7/H8</x:f>
        <x:v>1666.6666666666667</x:v>
      </x:c>
      <x:c r="I9" s="58" t="n">
        <x:f>I7/I8</x:f>
        <x:v>1666.6666666666667</x:v>
      </x:c>
      <x:c r="J9" s="58" t="n">
        <x:f>J7/J8</x:f>
        <x:v>1666.6666666666667</x:v>
      </x:c>
      <x:c r="K9" s="58" t="n">
        <x:f>K7/K8</x:f>
        <x:v>1666.6666666666667</x:v>
      </x:c>
      <x:c r="L9" s="58" t="n">
        <x:f>L7/L8</x:f>
        <x:v>1666.6666666666667</x:v>
      </x:c>
      <x:c r="M9" s="58" t="n">
        <x:f>M7/M8</x:f>
        <x:v>1666.6666666666667</x:v>
      </x:c>
      <x:c r="N9" s="58" t="n">
        <x:f>N7/N8</x:f>
        <x:v>3030.3030303030305</x:v>
      </x:c>
      <x:c r="O9" s="58" t="n">
        <x:f>O7/O8</x:f>
        <x:v>3030.3030303030305</x:v>
      </x:c>
      <x:c r="P9" s="58" t="n">
        <x:f>P7/P8</x:f>
        <x:v>3030.3030303030305</x:v>
      </x:c>
      <x:c r="Q9" s="58" t="n">
        <x:f>Q7/Q8</x:f>
        <x:v>3030.3030303030305</x:v>
      </x:c>
      <x:c r="R9" s="58" t="n">
        <x:f>R7/R8</x:f>
        <x:v>3030.3030303030305</x:v>
      </x:c>
      <x:c r="S9" s="58" t="n">
        <x:f>S7/S8</x:f>
        <x:v>3030.3030303030305</x:v>
      </x:c>
      <x:c r="T9" s="58" t="n">
        <x:f>T7/T8</x:f>
        <x:v>4545.454545454545</x:v>
      </x:c>
      <x:c r="U9" s="58" t="n">
        <x:f>U7/U8</x:f>
        <x:v>4545.454545454545</x:v>
      </x:c>
      <x:c r="V9" s="58" t="n">
        <x:f>V7/V8</x:f>
        <x:v>4545.454545454545</x:v>
      </x:c>
      <x:c r="W9" s="58" t="n">
        <x:f>W7/W8</x:f>
        <x:v>4545.454545454545</x:v>
      </x:c>
      <x:c r="X9" s="58" t="n">
        <x:f>X7/X8</x:f>
        <x:v>4545.454545454545</x:v>
      </x:c>
      <x:c r="Y9" s="58" t="n">
        <x:f>Y7/Y8</x:f>
        <x:v>4545.454545454545</x:v>
      </x:c>
      <x:c r="Z9" s="58" t="n">
        <x:f>Z7/Z8</x:f>
        <x:v>5509.641873278236</x:v>
      </x:c>
      <x:c r="AA9" s="58" t="n">
        <x:f>AA7/AA8</x:f>
        <x:v>5509.641873278236</x:v>
      </x:c>
      <x:c r="AB9" s="58" t="n">
        <x:f>AB7/AB8</x:f>
        <x:v>5509.641873278236</x:v>
      </x:c>
      <x:c r="AC9" s="58" t="n">
        <x:f>AC7/AC8</x:f>
        <x:v>5509.641873278236</x:v>
      </x:c>
      <x:c r="AD9" s="58" t="n">
        <x:f>AD7/AD8</x:f>
        <x:v>5509.641873278236</x:v>
      </x:c>
      <x:c r="AE9" s="58" t="n">
        <x:f>AE7/AE8</x:f>
        <x:v>5509.641873278236</x:v>
      </x:c>
      <x:c r="AF9" s="58" t="n">
        <x:f>AF7/AF8</x:f>
        <x:v>6887.052341597795</x:v>
      </x:c>
      <x:c r="AG9" s="58" t="n">
        <x:f>AG7/AG8</x:f>
        <x:v>6887.052341597795</x:v>
      </x:c>
      <x:c r="AH9" s="58" t="n">
        <x:f>AH7/AH8</x:f>
        <x:v>6887.052341597795</x:v>
      </x:c>
      <x:c r="AI9" s="58" t="n">
        <x:f>AI7/AI8</x:f>
        <x:v>6887.052341597795</x:v>
      </x:c>
      <x:c r="AJ9" s="58" t="n">
        <x:f>AJ7/AJ8</x:f>
        <x:v>6887.052341597795</x:v>
      </x:c>
      <x:c r="AK9" s="58" t="n">
        <x:f>AK7/AK8</x:f>
        <x:v>6887.052341597795</x:v>
      </x:c>
    </x:row>
    <x:row r="10" ht="18" customHeight="1">
      <x:c r="A10" s="4" t="str">
        <x:v>New gross buyers: organic</x:v>
      </x:c>
      <x:c r="B10" s="58" t="n">
        <x:f>B6*'Scenario Inputs'!$C$9</x:f>
        <x:v>15</x:v>
      </x:c>
      <x:c r="C10" s="58" t="n">
        <x:f>C6*'Scenario Inputs'!$C$9</x:f>
        <x:v>16.8</x:v>
      </x:c>
      <x:c r="D10" s="58" t="n">
        <x:f>D6*'Scenario Inputs'!$C$9</x:f>
        <x:v>18.816</x:v>
      </x:c>
      <x:c r="E10" s="58" t="n">
        <x:f>E6*'Scenario Inputs'!$C$9</x:f>
        <x:v>21.073920000000005</x:v>
      </x:c>
      <x:c r="F10" s="58" t="n">
        <x:f>F6*'Scenario Inputs'!$C$9</x:f>
        <x:v>23.602790400000007</x:v>
      </x:c>
      <x:c r="G10" s="58" t="n">
        <x:f>G6*'Scenario Inputs'!$C$9</x:f>
        <x:v>26.43512524800001</x:v>
      </x:c>
      <x:c r="H10" s="58" t="n">
        <x:f>H6*'Scenario Inputs'!$C$9</x:f>
        <x:v>29.607340277760017</x:v>
      </x:c>
      <x:c r="I10" s="58" t="n">
        <x:f>I6*'Scenario Inputs'!$C$9</x:f>
        <x:v>33.16022111109122</x:v>
      </x:c>
      <x:c r="J10" s="58" t="n">
        <x:f>J6*'Scenario Inputs'!$C$9</x:f>
        <x:v>37.13944764442216</x:v>
      </x:c>
      <x:c r="K10" s="58" t="n">
        <x:f>K6*'Scenario Inputs'!$C$9</x:f>
        <x:v>41.596181361752826</x:v>
      </x:c>
      <x:c r="L10" s="58" t="n">
        <x:f>L6*'Scenario Inputs'!$C$9</x:f>
        <x:v>46.58772312516317</x:v>
      </x:c>
      <x:c r="M10" s="58" t="n">
        <x:f>M6*'Scenario Inputs'!$C$9</x:f>
        <x:v>52.17824990018276</x:v>
      </x:c>
      <x:c r="N10" s="58" t="n">
        <x:f>N6*'Scenario Inputs'!$C$9</x:f>
        <x:v>56.35250989219738</x:v>
      </x:c>
      <x:c r="O10" s="58" t="n">
        <x:f>O6*'Scenario Inputs'!$C$9</x:f>
        <x:v>60.86071068357318</x:v>
      </x:c>
      <x:c r="P10" s="58" t="n">
        <x:f>P6*'Scenario Inputs'!$C$9</x:f>
        <x:v>65.72956753825905</x:v>
      </x:c>
      <x:c r="Q10" s="58" t="n">
        <x:f>Q6*'Scenario Inputs'!$C$9</x:f>
        <x:v>70.98793294131977</x:v>
      </x:c>
      <x:c r="R10" s="58" t="n">
        <x:f>R6*'Scenario Inputs'!$C$9</x:f>
        <x:v>76.66696757662535</x:v>
      </x:c>
      <x:c r="S10" s="58" t="n">
        <x:f>S6*'Scenario Inputs'!$C$9</x:f>
        <x:v>82.80032498275538</x:v>
      </x:c>
      <x:c r="T10" s="58" t="n">
        <x:f>T6*'Scenario Inputs'!$C$9</x:f>
        <x:v>89.42435098137582</x:v>
      </x:c>
      <x:c r="U10" s="58" t="n">
        <x:f>U6*'Scenario Inputs'!$C$9</x:f>
        <x:v>96.5782990598859</x:v>
      </x:c>
      <x:c r="V10" s="58" t="n">
        <x:f>V6*'Scenario Inputs'!$C$9</x:f>
        <x:v>104.30456298467676</x:v>
      </x:c>
      <x:c r="W10" s="58" t="n">
        <x:f>W6*'Scenario Inputs'!$C$9</x:f>
        <x:v>112.6489280234509</x:v>
      </x:c>
      <x:c r="X10" s="58" t="n">
        <x:f>X6*'Scenario Inputs'!$C$9</x:f>
        <x:v>121.66084226532699</x:v>
      </x:c>
      <x:c r="Y10" s="58" t="n">
        <x:f>Y6*'Scenario Inputs'!$C$9</x:f>
        <x:v>131.39370964655313</x:v>
      </x:c>
      <x:c r="Z10" s="58" t="n">
        <x:f>Z6*'Scenario Inputs'!$C$9</x:f>
        <x:v>139.27733222534636</x:v>
      </x:c>
      <x:c r="AA10" s="58" t="n">
        <x:f>AA6*'Scenario Inputs'!$C$9</x:f>
        <x:v>147.63397215886715</x:v>
      </x:c>
      <x:c r="AB10" s="58" t="n">
        <x:f>AB6*'Scenario Inputs'!$C$9</x:f>
        <x:v>156.4920104883992</x:v>
      </x:c>
      <x:c r="AC10" s="58" t="n">
        <x:f>AC6*'Scenario Inputs'!$C$9</x:f>
        <x:v>165.88153111770316</x:v>
      </x:c>
      <x:c r="AD10" s="58" t="n">
        <x:f>AD6*'Scenario Inputs'!$C$9</x:f>
        <x:v>175.83442298476535</x:v>
      </x:c>
      <x:c r="AE10" s="58" t="n">
        <x:f>AE6*'Scenario Inputs'!$C$9</x:f>
        <x:v>186.38448836385126</x:v>
      </x:c>
      <x:c r="AF10" s="58" t="n">
        <x:f>AF6*'Scenario Inputs'!$C$9</x:f>
        <x:v>197.56755766568233</x:v>
      </x:c>
      <x:c r="AG10" s="58" t="n">
        <x:f>AG6*'Scenario Inputs'!$C$9</x:f>
        <x:v>209.4216111256233</x:v>
      </x:c>
      <x:c r="AH10" s="58" t="n">
        <x:f>AH6*'Scenario Inputs'!$C$9</x:f>
        <x:v>221.98690779316073</x:v>
      </x:c>
      <x:c r="AI10" s="58" t="n">
        <x:f>AI6*'Scenario Inputs'!$C$9</x:f>
        <x:v>235.30612226075036</x:v>
      </x:c>
      <x:c r="AJ10" s="58" t="n">
        <x:f>AJ6*'Scenario Inputs'!$C$9</x:f>
        <x:v>249.4244895963954</x:v>
      </x:c>
      <x:c r="AK10" s="58" t="n">
        <x:f>AK6*'Scenario Inputs'!$C$9</x:f>
        <x:v>264.38995897217916</x:v>
      </x:c>
    </x:row>
    <x:row r="11" ht="18" customHeight="1">
      <x:c r="A11" s="4" t="str">
        <x:v>New gross buyers: paid</x:v>
      </x:c>
      <x:c r="B11" s="58" t="n">
        <x:f>B9*'Scenario Inputs'!$C$12</x:f>
        <x:v>8</x:v>
      </x:c>
      <x:c r="C11" s="58" t="n">
        <x:f>C9*'Scenario Inputs'!$C$12</x:f>
        <x:v>8</x:v>
      </x:c>
      <x:c r="D11" s="58" t="n">
        <x:f>D9*'Scenario Inputs'!$C$12</x:f>
        <x:v>8</x:v>
      </x:c>
      <x:c r="E11" s="58" t="n">
        <x:f>E9*'Scenario Inputs'!$C$12</x:f>
        <x:v>16</x:v>
      </x:c>
      <x:c r="F11" s="58" t="n">
        <x:f>F9*'Scenario Inputs'!$C$12</x:f>
        <x:v>16</x:v>
      </x:c>
      <x:c r="G11" s="58" t="n">
        <x:f>G9*'Scenario Inputs'!$C$12</x:f>
        <x:v>16</x:v>
      </x:c>
      <x:c r="H11" s="58" t="n">
        <x:f>H9*'Scenario Inputs'!$C$12</x:f>
        <x:v>33.333333333333336</x:v>
      </x:c>
      <x:c r="I11" s="58" t="n">
        <x:f>I9*'Scenario Inputs'!$C$12</x:f>
        <x:v>33.333333333333336</x:v>
      </x:c>
      <x:c r="J11" s="58" t="n">
        <x:f>J9*'Scenario Inputs'!$C$12</x:f>
        <x:v>33.333333333333336</x:v>
      </x:c>
      <x:c r="K11" s="58" t="n">
        <x:f>K9*'Scenario Inputs'!$C$12</x:f>
        <x:v>33.333333333333336</x:v>
      </x:c>
      <x:c r="L11" s="58" t="n">
        <x:f>L9*'Scenario Inputs'!$C$12</x:f>
        <x:v>33.333333333333336</x:v>
      </x:c>
      <x:c r="M11" s="58" t="n">
        <x:f>M9*'Scenario Inputs'!$C$12</x:f>
        <x:v>33.333333333333336</x:v>
      </x:c>
      <x:c r="N11" s="58" t="n">
        <x:f>N9*'Scenario Inputs'!$C$12</x:f>
        <x:v>60.60606060606061</x:v>
      </x:c>
      <x:c r="O11" s="58" t="n">
        <x:f>O9*'Scenario Inputs'!$C$12</x:f>
        <x:v>60.60606060606061</x:v>
      </x:c>
      <x:c r="P11" s="58" t="n">
        <x:f>P9*'Scenario Inputs'!$C$12</x:f>
        <x:v>60.60606060606061</x:v>
      </x:c>
      <x:c r="Q11" s="58" t="n">
        <x:f>Q9*'Scenario Inputs'!$C$12</x:f>
        <x:v>60.60606060606061</x:v>
      </x:c>
      <x:c r="R11" s="58" t="n">
        <x:f>R9*'Scenario Inputs'!$C$12</x:f>
        <x:v>60.60606060606061</x:v>
      </x:c>
      <x:c r="S11" s="58" t="n">
        <x:f>S9*'Scenario Inputs'!$C$12</x:f>
        <x:v>60.60606060606061</x:v>
      </x:c>
      <x:c r="T11" s="58" t="n">
        <x:f>T9*'Scenario Inputs'!$C$12</x:f>
        <x:v>90.9090909090909</x:v>
      </x:c>
      <x:c r="U11" s="58" t="n">
        <x:f>U9*'Scenario Inputs'!$C$12</x:f>
        <x:v>90.9090909090909</x:v>
      </x:c>
      <x:c r="V11" s="58" t="n">
        <x:f>V9*'Scenario Inputs'!$C$12</x:f>
        <x:v>90.9090909090909</x:v>
      </x:c>
      <x:c r="W11" s="58" t="n">
        <x:f>W9*'Scenario Inputs'!$C$12</x:f>
        <x:v>90.9090909090909</x:v>
      </x:c>
      <x:c r="X11" s="58" t="n">
        <x:f>X9*'Scenario Inputs'!$C$12</x:f>
        <x:v>90.9090909090909</x:v>
      </x:c>
      <x:c r="Y11" s="58" t="n">
        <x:f>Y9*'Scenario Inputs'!$C$12</x:f>
        <x:v>90.9090909090909</x:v>
      </x:c>
      <x:c r="Z11" s="58" t="n">
        <x:f>Z9*'Scenario Inputs'!$C$12</x:f>
        <x:v>110.19283746556472</x:v>
      </x:c>
      <x:c r="AA11" s="58" t="n">
        <x:f>AA9*'Scenario Inputs'!$C$12</x:f>
        <x:v>110.19283746556472</x:v>
      </x:c>
      <x:c r="AB11" s="58" t="n">
        <x:f>AB9*'Scenario Inputs'!$C$12</x:f>
        <x:v>110.19283746556472</x:v>
      </x:c>
      <x:c r="AC11" s="58" t="n">
        <x:f>AC9*'Scenario Inputs'!$C$12</x:f>
        <x:v>110.19283746556472</x:v>
      </x:c>
      <x:c r="AD11" s="58" t="n">
        <x:f>AD9*'Scenario Inputs'!$C$12</x:f>
        <x:v>110.19283746556472</x:v>
      </x:c>
      <x:c r="AE11" s="58" t="n">
        <x:f>AE9*'Scenario Inputs'!$C$12</x:f>
        <x:v>110.19283746556472</x:v>
      </x:c>
      <x:c r="AF11" s="58" t="n">
        <x:f>AF9*'Scenario Inputs'!$C$12</x:f>
        <x:v>137.7410468319559</x:v>
      </x:c>
      <x:c r="AG11" s="58" t="n">
        <x:f>AG9*'Scenario Inputs'!$C$12</x:f>
        <x:v>137.7410468319559</x:v>
      </x:c>
      <x:c r="AH11" s="58" t="n">
        <x:f>AH9*'Scenario Inputs'!$C$12</x:f>
        <x:v>137.7410468319559</x:v>
      </x:c>
      <x:c r="AI11" s="58" t="n">
        <x:f>AI9*'Scenario Inputs'!$C$12</x:f>
        <x:v>137.7410468319559</x:v>
      </x:c>
      <x:c r="AJ11" s="58" t="n">
        <x:f>AJ9*'Scenario Inputs'!$C$12</x:f>
        <x:v>137.7410468319559</x:v>
      </x:c>
      <x:c r="AK11" s="58" t="n">
        <x:f>AK9*'Scenario Inputs'!$C$12</x:f>
        <x:v>137.7410468319559</x:v>
      </x:c>
    </x:row>
    <x:row r="12" ht="18" customHeight="1">
      <x:c r="A12" s="4" t="str">
        <x:v>Total new gross buyers</x:v>
      </x:c>
      <x:c r="B12" s="58" t="n">
        <x:f>SUM(B10:B11)</x:f>
        <x:v>23</x:v>
      </x:c>
      <x:c r="C12" s="58" t="n">
        <x:f>SUM(C10:C11)</x:f>
        <x:v>24.8</x:v>
      </x:c>
      <x:c r="D12" s="58" t="n">
        <x:f>SUM(D10:D11)</x:f>
        <x:v>26.816</x:v>
      </x:c>
      <x:c r="E12" s="58" t="n">
        <x:f>SUM(E10:E11)</x:f>
        <x:v>37.07392</x:v>
      </x:c>
      <x:c r="F12" s="58" t="n">
        <x:f>SUM(F10:F11)</x:f>
        <x:v>39.6027904</x:v>
      </x:c>
      <x:c r="G12" s="58" t="n">
        <x:f>SUM(G10:G11)</x:f>
        <x:v>42.435125248000006</x:v>
      </x:c>
      <x:c r="H12" s="58" t="n">
        <x:f>SUM(H10:H11)</x:f>
        <x:v>62.94067361109335</x:v>
      </x:c>
      <x:c r="I12" s="58" t="n">
        <x:f>SUM(I10:I11)</x:f>
        <x:v>66.49355444442455</x:v>
      </x:c>
      <x:c r="J12" s="58" t="n">
        <x:f>SUM(J10:J11)</x:f>
        <x:v>70.47278097775549</x:v>
      </x:c>
      <x:c r="K12" s="58" t="n">
        <x:f>SUM(K10:K11)</x:f>
        <x:v>74.92951469508617</x:v>
      </x:c>
      <x:c r="L12" s="58" t="n">
        <x:f>SUM(L10:L11)</x:f>
        <x:v>79.92105645849651</x:v>
      </x:c>
      <x:c r="M12" s="58" t="n">
        <x:f>SUM(M10:M11)</x:f>
        <x:v>85.51158323351609</x:v>
      </x:c>
      <x:c r="N12" s="58" t="n">
        <x:f>SUM(N10:N11)</x:f>
        <x:v>116.95857049825798</x:v>
      </x:c>
      <x:c r="O12" s="58" t="n">
        <x:f>SUM(O10:O11)</x:f>
        <x:v>121.46677128963378</x:v>
      </x:c>
      <x:c r="P12" s="58" t="n">
        <x:f>SUM(P10:P11)</x:f>
        <x:v>126.33562814431966</x:v>
      </x:c>
      <x:c r="Q12" s="58" t="n">
        <x:f>SUM(Q10:Q11)</x:f>
        <x:v>131.59399354738036</x:v>
      </x:c>
      <x:c r="R12" s="58" t="n">
        <x:f>SUM(R10:R11)</x:f>
        <x:v>137.27302818268595</x:v>
      </x:c>
      <x:c r="S12" s="58" t="n">
        <x:f>SUM(S10:S11)</x:f>
        <x:v>143.406385588816</x:v>
      </x:c>
      <x:c r="T12" s="58" t="n">
        <x:f>SUM(T10:T11)</x:f>
        <x:v>180.33344189046673</x:v>
      </x:c>
      <x:c r="U12" s="58" t="n">
        <x:f>SUM(U10:U11)</x:f>
        <x:v>187.4873899689768</x:v>
      </x:c>
      <x:c r="V12" s="58" t="n">
        <x:f>SUM(V10:V11)</x:f>
        <x:v>195.21365389376768</x:v>
      </x:c>
      <x:c r="W12" s="58" t="n">
        <x:f>SUM(W10:W11)</x:f>
        <x:v>203.5580189325418</x:v>
      </x:c>
      <x:c r="X12" s="58" t="n">
        <x:f>SUM(X10:X11)</x:f>
        <x:v>212.56993317441788</x:v>
      </x:c>
      <x:c r="Y12" s="58" t="n">
        <x:f>SUM(Y10:Y11)</x:f>
        <x:v>222.30280055564404</x:v>
      </x:c>
      <x:c r="Z12" s="58" t="n">
        <x:f>SUM(Z10:Z11)</x:f>
        <x:v>249.47016969091106</x:v>
      </x:c>
      <x:c r="AA12" s="58" t="n">
        <x:f>SUM(AA10:AA11)</x:f>
        <x:v>257.82680962443186</x:v>
      </x:c>
      <x:c r="AB12" s="58" t="n">
        <x:f>SUM(AB10:AB11)</x:f>
        <x:v>266.6848479539639</x:v>
      </x:c>
      <x:c r="AC12" s="58" t="n">
        <x:f>SUM(AC10:AC11)</x:f>
        <x:v>276.07436858326787</x:v>
      </x:c>
      <x:c r="AD12" s="58" t="n">
        <x:f>SUM(AD10:AD11)</x:f>
        <x:v>286.02726045033006</x:v>
      </x:c>
      <x:c r="AE12" s="58" t="n">
        <x:f>SUM(AE10:AE11)</x:f>
        <x:v>296.577325829416</x:v>
      </x:c>
      <x:c r="AF12" s="58" t="n">
        <x:f>SUM(AF10:AF11)</x:f>
        <x:v>335.30860449763827</x:v>
      </x:c>
      <x:c r="AG12" s="58" t="n">
        <x:f>SUM(AG10:AG11)</x:f>
        <x:v>347.1626579575792</x:v>
      </x:c>
      <x:c r="AH12" s="58" t="n">
        <x:f>SUM(AH10:AH11)</x:f>
        <x:v>359.72795462511664</x:v>
      </x:c>
      <x:c r="AI12" s="58" t="n">
        <x:f>SUM(AI10:AI11)</x:f>
        <x:v>373.04716909270627</x:v>
      </x:c>
      <x:c r="AJ12" s="58" t="n">
        <x:f>SUM(AJ10:AJ11)</x:f>
        <x:v>387.1655364283513</x:v>
      </x:c>
      <x:c r="AK12" s="58" t="n">
        <x:f>SUM(AK10:AK11)</x:f>
        <x:v>402.13100580413504</x:v>
      </x:c>
    </x:row>
    <x:row r="13" ht="18" customHeight="1">
      <x:c r="A13" s="4" t="str">
        <x:v>New buyers after refunds</x:v>
      </x:c>
      <x:c r="B13" s="58" t="n">
        <x:f>B12*(1-'Scenario Inputs'!$C$29)</x:f>
        <x:v>22.31</x:v>
      </x:c>
      <x:c r="C13" s="58" t="n">
        <x:f>C12*(1-'Scenario Inputs'!$C$29)</x:f>
        <x:v>24.056</x:v>
      </x:c>
      <x:c r="D13" s="58" t="n">
        <x:f>D12*(1-'Scenario Inputs'!$C$29)</x:f>
        <x:v>26.011519999999997</x:v>
      </x:c>
      <x:c r="E13" s="58" t="n">
        <x:f>E12*(1-'Scenario Inputs'!$C$29)</x:f>
        <x:v>35.9617024</x:v>
      </x:c>
      <x:c r="F13" s="58" t="n">
        <x:f>F12*(1-'Scenario Inputs'!$C$29)</x:f>
        <x:v>38.414706688</x:v>
      </x:c>
      <x:c r="G13" s="58" t="n">
        <x:f>G12*(1-'Scenario Inputs'!$C$29)</x:f>
        <x:v>41.16207149056</x:v>
      </x:c>
      <x:c r="H13" s="58" t="n">
        <x:f>H12*(1-'Scenario Inputs'!$C$29)</x:f>
        <x:v>61.05245340276055</x:v>
      </x:c>
      <x:c r="I13" s="58" t="n">
        <x:f>I12*(1-'Scenario Inputs'!$C$29)</x:f>
        <x:v>64.4987478110918</x:v>
      </x:c>
      <x:c r="J13" s="58" t="n">
        <x:f>J12*(1-'Scenario Inputs'!$C$29)</x:f>
        <x:v>68.35859754842282</x:v>
      </x:c>
      <x:c r="K13" s="58" t="n">
        <x:f>K12*(1-'Scenario Inputs'!$C$29)</x:f>
        <x:v>72.68162925423358</x:v>
      </x:c>
      <x:c r="L13" s="58" t="n">
        <x:f>L12*(1-'Scenario Inputs'!$C$29)</x:f>
        <x:v>77.5234247647416</x:v>
      </x:c>
      <x:c r="M13" s="58" t="n">
        <x:f>M12*(1-'Scenario Inputs'!$C$29)</x:f>
        <x:v>82.9462357365106</x:v>
      </x:c>
      <x:c r="N13" s="58" t="n">
        <x:f>N12*(1-'Scenario Inputs'!$C$29)</x:f>
        <x:v>113.44981338331024</x:v>
      </x:c>
      <x:c r="O13" s="58" t="n">
        <x:f>O12*(1-'Scenario Inputs'!$C$29)</x:f>
        <x:v>117.82276815094477</x:v>
      </x:c>
      <x:c r="P13" s="58" t="n">
        <x:f>P12*(1-'Scenario Inputs'!$C$29)</x:f>
        <x:v>122.54555929999006</x:v>
      </x:c>
      <x:c r="Q13" s="58" t="n">
        <x:f>Q12*(1-'Scenario Inputs'!$C$29)</x:f>
        <x:v>127.64617374095894</x:v>
      </x:c>
      <x:c r="R13" s="58" t="n">
        <x:f>R12*(1-'Scenario Inputs'!$C$29)</x:f>
        <x:v>133.15483733720538</x:v>
      </x:c>
      <x:c r="S13" s="58" t="n">
        <x:f>S12*(1-'Scenario Inputs'!$C$29)</x:f>
        <x:v>139.1041940211515</x:v>
      </x:c>
      <x:c r="T13" s="58" t="n">
        <x:f>T12*(1-'Scenario Inputs'!$C$29)</x:f>
        <x:v>174.9234386337527</x:v>
      </x:c>
      <x:c r="U13" s="58" t="n">
        <x:f>U12*(1-'Scenario Inputs'!$C$29)</x:f>
        <x:v>181.8627682699075</x:v>
      </x:c>
      <x:c r="V13" s="58" t="n">
        <x:f>V12*(1-'Scenario Inputs'!$C$29)</x:f>
        <x:v>189.35724427695465</x:v>
      </x:c>
      <x:c r="W13" s="58" t="n">
        <x:f>W12*(1-'Scenario Inputs'!$C$29)</x:f>
        <x:v>197.45127836456555</x:v>
      </x:c>
      <x:c r="X13" s="58" t="n">
        <x:f>X12*(1-'Scenario Inputs'!$C$29)</x:f>
        <x:v>206.19283517918535</x:v>
      </x:c>
      <x:c r="Y13" s="58" t="n">
        <x:f>Y12*(1-'Scenario Inputs'!$C$29)</x:f>
        <x:v>215.6337165389747</x:v>
      </x:c>
      <x:c r="Z13" s="58" t="n">
        <x:f>Z12*(1-'Scenario Inputs'!$C$29)</x:f>
        <x:v>241.98606460018374</x:v>
      </x:c>
      <x:c r="AA13" s="58" t="n">
        <x:f>AA12*(1-'Scenario Inputs'!$C$29)</x:f>
        <x:v>250.0920053356989</x:v>
      </x:c>
      <x:c r="AB13" s="58" t="n">
        <x:f>AB12*(1-'Scenario Inputs'!$C$29)</x:f>
        <x:v>258.684302515345</x:v>
      </x:c>
      <x:c r="AC13" s="58" t="n">
        <x:f>AC12*(1-'Scenario Inputs'!$C$29)</x:f>
        <x:v>267.7921375257698</x:v>
      </x:c>
      <x:c r="AD13" s="58" t="n">
        <x:f>AD12*(1-'Scenario Inputs'!$C$29)</x:f>
        <x:v>277.44644263682017</x:v>
      </x:c>
      <x:c r="AE13" s="58" t="n">
        <x:f>AE12*(1-'Scenario Inputs'!$C$29)</x:f>
        <x:v>287.6800060545335</x:v>
      </x:c>
      <x:c r="AF13" s="58" t="n">
        <x:f>AF12*(1-'Scenario Inputs'!$C$29)</x:f>
        <x:v>325.2493463627091</x:v>
      </x:c>
      <x:c r="AG13" s="58" t="n">
        <x:f>AG12*(1-'Scenario Inputs'!$C$29)</x:f>
        <x:v>336.7477782188518</x:v>
      </x:c>
      <x:c r="AH13" s="58" t="n">
        <x:f>AH12*(1-'Scenario Inputs'!$C$29)</x:f>
        <x:v>348.9361159863631</x:v>
      </x:c>
      <x:c r="AI13" s="58" t="n">
        <x:f>AI12*(1-'Scenario Inputs'!$C$29)</x:f>
        <x:v>361.8557540199251</x:v>
      </x:c>
      <x:c r="AJ13" s="58" t="n">
        <x:f>AJ12*(1-'Scenario Inputs'!$C$29)</x:f>
        <x:v>375.55057033550077</x:v>
      </x:c>
      <x:c r="AK13" s="58" t="n">
        <x:f>AK12*(1-'Scenario Inputs'!$C$29)</x:f>
        <x:v>390.067075630011</x:v>
      </x:c>
    </x:row>
    <x:row r="14" ht="18" customHeight="1">
      <x:c r="A14" s="4" t="str">
        <x:v>Paid creative allowance (INR)</x:v>
      </x:c>
      <x:c r="B14" s="58" t="n">
        <x:f>B7*'Scenario Inputs'!$C$13</x:f>
        <x:v>1500</x:v>
      </x:c>
      <x:c r="C14" s="58" t="n">
        <x:f>C7*'Scenario Inputs'!$C$13</x:f>
        <x:v>1500</x:v>
      </x:c>
      <x:c r="D14" s="58" t="n">
        <x:f>D7*'Scenario Inputs'!$C$13</x:f>
        <x:v>1500</x:v>
      </x:c>
      <x:c r="E14" s="58" t="n">
        <x:f>E7*'Scenario Inputs'!$C$13</x:f>
        <x:v>3000</x:v>
      </x:c>
      <x:c r="F14" s="58" t="n">
        <x:f>F7*'Scenario Inputs'!$C$13</x:f>
        <x:v>3000</x:v>
      </x:c>
      <x:c r="G14" s="58" t="n">
        <x:f>G7*'Scenario Inputs'!$C$13</x:f>
        <x:v>3000</x:v>
      </x:c>
      <x:c r="H14" s="58" t="n">
        <x:f>H7*'Scenario Inputs'!$C$13</x:f>
        <x:v>6250</x:v>
      </x:c>
      <x:c r="I14" s="58" t="n">
        <x:f>I7*'Scenario Inputs'!$C$13</x:f>
        <x:v>6250</x:v>
      </x:c>
      <x:c r="J14" s="58" t="n">
        <x:f>J7*'Scenario Inputs'!$C$13</x:f>
        <x:v>6250</x:v>
      </x:c>
      <x:c r="K14" s="58" t="n">
        <x:f>K7*'Scenario Inputs'!$C$13</x:f>
        <x:v>6250</x:v>
      </x:c>
      <x:c r="L14" s="58" t="n">
        <x:f>L7*'Scenario Inputs'!$C$13</x:f>
        <x:v>6250</x:v>
      </x:c>
      <x:c r="M14" s="58" t="n">
        <x:f>M7*'Scenario Inputs'!$C$13</x:f>
        <x:v>6250</x:v>
      </x:c>
      <x:c r="N14" s="58" t="n">
        <x:f>N7*'Scenario Inputs'!$C$13</x:f>
        <x:v>12500</x:v>
      </x:c>
      <x:c r="O14" s="58" t="n">
        <x:f>O7*'Scenario Inputs'!$C$13</x:f>
        <x:v>12500</x:v>
      </x:c>
      <x:c r="P14" s="58" t="n">
        <x:f>P7*'Scenario Inputs'!$C$13</x:f>
        <x:v>12500</x:v>
      </x:c>
      <x:c r="Q14" s="58" t="n">
        <x:f>Q7*'Scenario Inputs'!$C$13</x:f>
        <x:v>12500</x:v>
      </x:c>
      <x:c r="R14" s="58" t="n">
        <x:f>R7*'Scenario Inputs'!$C$13</x:f>
        <x:v>12500</x:v>
      </x:c>
      <x:c r="S14" s="58" t="n">
        <x:f>S7*'Scenario Inputs'!$C$13</x:f>
        <x:v>12500</x:v>
      </x:c>
      <x:c r="T14" s="58" t="n">
        <x:f>T7*'Scenario Inputs'!$C$13</x:f>
        <x:v>18750</x:v>
      </x:c>
      <x:c r="U14" s="58" t="n">
        <x:f>U7*'Scenario Inputs'!$C$13</x:f>
        <x:v>18750</x:v>
      </x:c>
      <x:c r="V14" s="58" t="n">
        <x:f>V7*'Scenario Inputs'!$C$13</x:f>
        <x:v>18750</x:v>
      </x:c>
      <x:c r="W14" s="58" t="n">
        <x:f>W7*'Scenario Inputs'!$C$13</x:f>
        <x:v>18750</x:v>
      </x:c>
      <x:c r="X14" s="58" t="n">
        <x:f>X7*'Scenario Inputs'!$C$13</x:f>
        <x:v>18750</x:v>
      </x:c>
      <x:c r="Y14" s="58" t="n">
        <x:f>Y7*'Scenario Inputs'!$C$13</x:f>
        <x:v>18750</x:v>
      </x:c>
      <x:c r="Z14" s="58" t="n">
        <x:f>Z7*'Scenario Inputs'!$C$13</x:f>
        <x:v>25000</x:v>
      </x:c>
      <x:c r="AA14" s="58" t="n">
        <x:f>AA7*'Scenario Inputs'!$C$13</x:f>
        <x:v>25000</x:v>
      </x:c>
      <x:c r="AB14" s="58" t="n">
        <x:f>AB7*'Scenario Inputs'!$C$13</x:f>
        <x:v>25000</x:v>
      </x:c>
      <x:c r="AC14" s="58" t="n">
        <x:f>AC7*'Scenario Inputs'!$C$13</x:f>
        <x:v>25000</x:v>
      </x:c>
      <x:c r="AD14" s="58" t="n">
        <x:f>AD7*'Scenario Inputs'!$C$13</x:f>
        <x:v>25000</x:v>
      </x:c>
      <x:c r="AE14" s="58" t="n">
        <x:f>AE7*'Scenario Inputs'!$C$13</x:f>
        <x:v>25000</x:v>
      </x:c>
      <x:c r="AF14" s="58" t="n">
        <x:f>AF7*'Scenario Inputs'!$C$13</x:f>
        <x:v>31250</x:v>
      </x:c>
      <x:c r="AG14" s="58" t="n">
        <x:f>AG7*'Scenario Inputs'!$C$13</x:f>
        <x:v>31250</x:v>
      </x:c>
      <x:c r="AH14" s="58" t="n">
        <x:f>AH7*'Scenario Inputs'!$C$13</x:f>
        <x:v>31250</x:v>
      </x:c>
      <x:c r="AI14" s="58" t="n">
        <x:f>AI7*'Scenario Inputs'!$C$13</x:f>
        <x:v>31250</x:v>
      </x:c>
      <x:c r="AJ14" s="58" t="n">
        <x:f>AJ7*'Scenario Inputs'!$C$13</x:f>
        <x:v>31250</x:v>
      </x:c>
      <x:c r="AK14" s="58" t="n">
        <x:f>AK7*'Scenario Inputs'!$C$13</x:f>
        <x:v>31250</x:v>
      </x:c>
    </x:row>
    <x:row r="15" ht="18" customHeight="1">
      <x:c r="A15" s="4" t="str">
        <x:v>Organic / partner content cash (INR)</x:v>
      </x:c>
      <x:c r="B15" s="60" t="n">
        <x:f>'Scenario Inputs'!$C$21</x:f>
        <x:v>5000</x:v>
      </x:c>
      <x:c r="C15" s="60" t="n">
        <x:f>'Scenario Inputs'!$C$21</x:f>
        <x:v>5000</x:v>
      </x:c>
      <x:c r="D15" s="60" t="n">
        <x:f>'Scenario Inputs'!$C$21</x:f>
        <x:v>5000</x:v>
      </x:c>
      <x:c r="E15" s="60" t="n">
        <x:f>'Scenario Inputs'!$C$21</x:f>
        <x:v>5000</x:v>
      </x:c>
      <x:c r="F15" s="60" t="n">
        <x:f>'Scenario Inputs'!$C$21</x:f>
        <x:v>5000</x:v>
      </x:c>
      <x:c r="G15" s="60" t="n">
        <x:f>'Scenario Inputs'!$C$21</x:f>
        <x:v>5000</x:v>
      </x:c>
      <x:c r="H15" s="60" t="n">
        <x:f>'Scenario Inputs'!$C$21</x:f>
        <x:v>5000</x:v>
      </x:c>
      <x:c r="I15" s="60" t="n">
        <x:f>'Scenario Inputs'!$C$21</x:f>
        <x:v>5000</x:v>
      </x:c>
      <x:c r="J15" s="60" t="n">
        <x:f>'Scenario Inputs'!$C$21</x:f>
        <x:v>5000</x:v>
      </x:c>
      <x:c r="K15" s="60" t="n">
        <x:f>'Scenario Inputs'!$C$21</x:f>
        <x:v>5000</x:v>
      </x:c>
      <x:c r="L15" s="60" t="n">
        <x:f>'Scenario Inputs'!$C$21</x:f>
        <x:v>5000</x:v>
      </x:c>
      <x:c r="M15" s="60" t="n">
        <x:f>'Scenario Inputs'!$C$21</x:f>
        <x:v>5000</x:v>
      </x:c>
      <x:c r="N15" s="60" t="n">
        <x:f>'Scenario Inputs'!$C$22</x:f>
        <x:v>10000</x:v>
      </x:c>
      <x:c r="O15" s="60" t="n">
        <x:f>'Scenario Inputs'!$C$22</x:f>
        <x:v>10000</x:v>
      </x:c>
      <x:c r="P15" s="60" t="n">
        <x:f>'Scenario Inputs'!$C$22</x:f>
        <x:v>10000</x:v>
      </x:c>
      <x:c r="Q15" s="60" t="n">
        <x:f>'Scenario Inputs'!$C$22</x:f>
        <x:v>10000</x:v>
      </x:c>
      <x:c r="R15" s="60" t="n">
        <x:f>'Scenario Inputs'!$C$22</x:f>
        <x:v>10000</x:v>
      </x:c>
      <x:c r="S15" s="60" t="n">
        <x:f>'Scenario Inputs'!$C$22</x:f>
        <x:v>10000</x:v>
      </x:c>
      <x:c r="T15" s="60" t="n">
        <x:f>'Scenario Inputs'!$C$22</x:f>
        <x:v>10000</x:v>
      </x:c>
      <x:c r="U15" s="60" t="n">
        <x:f>'Scenario Inputs'!$C$22</x:f>
        <x:v>10000</x:v>
      </x:c>
      <x:c r="V15" s="60" t="n">
        <x:f>'Scenario Inputs'!$C$22</x:f>
        <x:v>10000</x:v>
      </x:c>
      <x:c r="W15" s="60" t="n">
        <x:f>'Scenario Inputs'!$C$22</x:f>
        <x:v>10000</x:v>
      </x:c>
      <x:c r="X15" s="60" t="n">
        <x:f>'Scenario Inputs'!$C$22</x:f>
        <x:v>10000</x:v>
      </x:c>
      <x:c r="Y15" s="60" t="n">
        <x:f>'Scenario Inputs'!$C$22</x:f>
        <x:v>10000</x:v>
      </x:c>
      <x:c r="Z15" s="60" t="n">
        <x:f>'Scenario Inputs'!$C$23</x:f>
        <x:v>15000</x:v>
      </x:c>
      <x:c r="AA15" s="60" t="n">
        <x:f>'Scenario Inputs'!$C$23</x:f>
        <x:v>15000</x:v>
      </x:c>
      <x:c r="AB15" s="60" t="n">
        <x:f>'Scenario Inputs'!$C$23</x:f>
        <x:v>15000</x:v>
      </x:c>
      <x:c r="AC15" s="60" t="n">
        <x:f>'Scenario Inputs'!$C$23</x:f>
        <x:v>15000</x:v>
      </x:c>
      <x:c r="AD15" s="60" t="n">
        <x:f>'Scenario Inputs'!$C$23</x:f>
        <x:v>15000</x:v>
      </x:c>
      <x:c r="AE15" s="60" t="n">
        <x:f>'Scenario Inputs'!$C$23</x:f>
        <x:v>15000</x:v>
      </x:c>
      <x:c r="AF15" s="60" t="n">
        <x:f>'Scenario Inputs'!$C$23</x:f>
        <x:v>15000</x:v>
      </x:c>
      <x:c r="AG15" s="60" t="n">
        <x:f>'Scenario Inputs'!$C$23</x:f>
        <x:v>15000</x:v>
      </x:c>
      <x:c r="AH15" s="60" t="n">
        <x:f>'Scenario Inputs'!$C$23</x:f>
        <x:v>15000</x:v>
      </x:c>
      <x:c r="AI15" s="60" t="n">
        <x:f>'Scenario Inputs'!$C$23</x:f>
        <x:v>15000</x:v>
      </x:c>
      <x:c r="AJ15" s="60" t="n">
        <x:f>'Scenario Inputs'!$C$23</x:f>
        <x:v>15000</x:v>
      </x:c>
      <x:c r="AK15" s="60" t="n">
        <x:f>'Scenario Inputs'!$C$23</x:f>
        <x:v>15000</x:v>
      </x:c>
    </x:row>
    <x:row r="16" ht="18" customHeight="1">
      <x:c r="A16" s="74" t="str">
        <x:v>TOTAL ACQUISITION SPEND (INR)</x:v>
      </x:c>
      <x:c r="B16" s="75" t="n">
        <x:f>B7+SUM(B14:B15)</x:f>
        <x:v>12500</x:v>
      </x:c>
      <x:c r="C16" s="75" t="n">
        <x:f>C7+SUM(C14:C15)</x:f>
        <x:v>12500</x:v>
      </x:c>
      <x:c r="D16" s="75" t="n">
        <x:f>D7+SUM(D14:D15)</x:f>
        <x:v>12500</x:v>
      </x:c>
      <x:c r="E16" s="75" t="n">
        <x:f>E7+SUM(E14:E15)</x:f>
        <x:v>20000</x:v>
      </x:c>
      <x:c r="F16" s="75" t="n">
        <x:f>F7+SUM(F14:F15)</x:f>
        <x:v>20000</x:v>
      </x:c>
      <x:c r="G16" s="75" t="n">
        <x:f>G7+SUM(G14:G15)</x:f>
        <x:v>20000</x:v>
      </x:c>
      <x:c r="H16" s="75" t="n">
        <x:f>H7+SUM(H14:H15)</x:f>
        <x:v>36250</x:v>
      </x:c>
      <x:c r="I16" s="75" t="n">
        <x:f>I7+SUM(I14:I15)</x:f>
        <x:v>36250</x:v>
      </x:c>
      <x:c r="J16" s="75" t="n">
        <x:f>J7+SUM(J14:J15)</x:f>
        <x:v>36250</x:v>
      </x:c>
      <x:c r="K16" s="75" t="n">
        <x:f>K7+SUM(K14:K15)</x:f>
        <x:v>36250</x:v>
      </x:c>
      <x:c r="L16" s="75" t="n">
        <x:f>L7+SUM(L14:L15)</x:f>
        <x:v>36250</x:v>
      </x:c>
      <x:c r="M16" s="75" t="n">
        <x:f>M7+SUM(M14:M15)</x:f>
        <x:v>36250</x:v>
      </x:c>
      <x:c r="N16" s="75" t="n">
        <x:f>N7+SUM(N14:N15)</x:f>
        <x:v>72500</x:v>
      </x:c>
      <x:c r="O16" s="75" t="n">
        <x:f>O7+SUM(O14:O15)</x:f>
        <x:v>72500</x:v>
      </x:c>
      <x:c r="P16" s="75" t="n">
        <x:f>P7+SUM(P14:P15)</x:f>
        <x:v>72500</x:v>
      </x:c>
      <x:c r="Q16" s="75" t="n">
        <x:f>Q7+SUM(Q14:Q15)</x:f>
        <x:v>72500</x:v>
      </x:c>
      <x:c r="R16" s="75" t="n">
        <x:f>R7+SUM(R14:R15)</x:f>
        <x:v>72500</x:v>
      </x:c>
      <x:c r="S16" s="75" t="n">
        <x:f>S7+SUM(S14:S15)</x:f>
        <x:v>72500</x:v>
      </x:c>
      <x:c r="T16" s="75" t="n">
        <x:f>T7+SUM(T14:T15)</x:f>
        <x:v>103750</x:v>
      </x:c>
      <x:c r="U16" s="75" t="n">
        <x:f>U7+SUM(U14:U15)</x:f>
        <x:v>103750</x:v>
      </x:c>
      <x:c r="V16" s="75" t="n">
        <x:f>V7+SUM(V14:V15)</x:f>
        <x:v>103750</x:v>
      </x:c>
      <x:c r="W16" s="75" t="n">
        <x:f>W7+SUM(W14:W15)</x:f>
        <x:v>103750</x:v>
      </x:c>
      <x:c r="X16" s="75" t="n">
        <x:f>X7+SUM(X14:X15)</x:f>
        <x:v>103750</x:v>
      </x:c>
      <x:c r="Y16" s="75" t="n">
        <x:f>Y7+SUM(Y14:Y15)</x:f>
        <x:v>103750</x:v>
      </x:c>
      <x:c r="Z16" s="75" t="n">
        <x:f>Z7+SUM(Z14:Z15)</x:f>
        <x:v>140000</x:v>
      </x:c>
      <x:c r="AA16" s="75" t="n">
        <x:f>AA7+SUM(AA14:AA15)</x:f>
        <x:v>140000</x:v>
      </x:c>
      <x:c r="AB16" s="75" t="n">
        <x:f>AB7+SUM(AB14:AB15)</x:f>
        <x:v>140000</x:v>
      </x:c>
      <x:c r="AC16" s="75" t="n">
        <x:f>AC7+SUM(AC14:AC15)</x:f>
        <x:v>140000</x:v>
      </x:c>
      <x:c r="AD16" s="75" t="n">
        <x:f>AD7+SUM(AD14:AD15)</x:f>
        <x:v>140000</x:v>
      </x:c>
      <x:c r="AE16" s="75" t="n">
        <x:f>AE7+SUM(AE14:AE15)</x:f>
        <x:v>140000</x:v>
      </x:c>
      <x:c r="AF16" s="75" t="n">
        <x:f>AF7+SUM(AF14:AF15)</x:f>
        <x:v>171250</x:v>
      </x:c>
      <x:c r="AG16" s="75" t="n">
        <x:f>AG7+SUM(AG14:AG15)</x:f>
        <x:v>171250</x:v>
      </x:c>
      <x:c r="AH16" s="75" t="n">
        <x:f>AH7+SUM(AH14:AH15)</x:f>
        <x:v>171250</x:v>
      </x:c>
      <x:c r="AI16" s="75" t="n">
        <x:f>AI7+SUM(AI14:AI15)</x:f>
        <x:v>171250</x:v>
      </x:c>
      <x:c r="AJ16" s="75" t="n">
        <x:f>AJ7+SUM(AJ14:AJ15)</x:f>
        <x:v>171250</x:v>
      </x:c>
      <x:c r="AK16" s="75" t="n">
        <x:f>AK7+SUM(AK14:AK15)</x:f>
        <x:v>171250</x:v>
      </x:c>
    </x:row>
    <x:row r="17" ht="18" customHeight="1">
      <x:c r="A17" s="4" t="str">
        <x:v>Blended cash CAC (INR / gross buyer)</x:v>
      </x:c>
      <x:c r="B17" s="64" t="n">
        <x:f>IFERROR(B16/B12,0)</x:f>
        <x:v>543.4782608695652</x:v>
      </x:c>
      <x:c r="C17" s="64" t="n">
        <x:f>IFERROR(C16/C12,0)</x:f>
        <x:v>504.0322580645161</x:v>
      </x:c>
      <x:c r="D17" s="64" t="n">
        <x:f>IFERROR(D16/D12,0)</x:f>
        <x:v>466.13961813842485</x:v>
      </x:c>
      <x:c r="E17" s="64" t="n">
        <x:f>IFERROR(E16/E12,0)</x:f>
        <x:v>539.4627813837867</x:v>
      </x:c>
      <x:c r="F17" s="64" t="n">
        <x:f>IFERROR(F16/F12,0)</x:f>
        <x:v>505.01491935275345</x:v>
      </x:c>
      <x:c r="G17" s="64" t="n">
        <x:f>IFERROR(G16/G12,0)</x:f>
        <x:v>471.3076698399191</x:v>
      </x:c>
      <x:c r="H17" s="64" t="n">
        <x:f>IFERROR(H16/H12,0)</x:f>
        <x:v>575.9391808226676</x:v>
      </x:c>
      <x:c r="I17" s="64" t="n">
        <x:f>IFERROR(I16/I12,0)</x:f>
        <x:v>545.1656224859784</x:v>
      </x:c>
      <x:c r="J17" s="64" t="n">
        <x:f>IFERROR(J16/J12,0)</x:f>
        <x:v>514.3829929379713</x:v>
      </x:c>
      <x:c r="K17" s="64" t="n">
        <x:f>IFERROR(K16/K12,0)</x:f>
        <x:v>483.78799926188833</x:v>
      </x:c>
      <x:c r="L17" s="64" t="n">
        <x:f>IFERROR(L16/L12,0)</x:f>
        <x:v>453.57258282521383</x:v>
      </x:c>
      <x:c r="M17" s="64" t="n">
        <x:f>IFERROR(M16/M12,0)</x:f>
        <x:v>423.9191771365997</x:v>
      </x:c>
      <x:c r="N17" s="64" t="n">
        <x:f>IFERROR(N16/N12,0)</x:f>
        <x:v>619.8776172720052</x:v>
      </x:c>
      <x:c r="O17" s="64" t="n">
        <x:f>IFERROR(O16/O12,0)</x:f>
        <x:v>596.8710556002676</x:v>
      </x:c>
      <x:c r="P17" s="64" t="n">
        <x:f>IFERROR(P16/P12,0)</x:f>
        <x:v>573.8682038069225</x:v>
      </x:c>
      <x:c r="Q17" s="64" t="n">
        <x:f>IFERROR(Q16/Q12,0)</x:f>
        <x:v>550.9369998251204</x:v>
      </x:c>
      <x:c r="R17" s="64" t="n">
        <x:f>IFERROR(R16/R12,0)</x:f>
        <x:v>528.144537640092</x:v>
      </x:c>
      <x:c r="S17" s="64" t="n">
        <x:f>IFERROR(S16/S12,0)</x:f>
        <x:v>505.5562881828474</x:v>
      </x:c>
      <x:c r="T17" s="64" t="n">
        <x:f>IFERROR(T16/T12,0)</x:f>
        <x:v>575.3231287129595</x:v>
      </x:c>
      <x:c r="U17" s="64" t="n">
        <x:f>IFERROR(U16/U12,0)</x:f>
        <x:v>553.3705494389106</x:v>
      </x:c>
      <x:c r="V17" s="64" t="n">
        <x:f>IFERROR(V16/V12,0)</x:f>
        <x:v>531.4689722290592</x:v>
      </x:c>
      <x:c r="W17" s="64" t="n">
        <x:f>IFERROR(W16/W12,0)</x:f>
        <x:v>509.6826965798988</x:v>
      </x:c>
      <x:c r="X17" s="64" t="n">
        <x:f>IFERROR(X16/X12,0)</x:f>
        <x:v>488.0746700657381</x:v>
      </x:c>
      <x:c r="Y17" s="64" t="n">
        <x:f>IFERROR(Y16/Y12,0)</x:f>
        <x:v>466.70577132036897</x:v>
      </x:c>
      <x:c r="Z17" s="64" t="n">
        <x:f>IFERROR(Z16/Z12,0)</x:f>
        <x:v>561.1893404869104</x:v>
      </x:c>
      <x:c r="AA17" s="64" t="n">
        <x:f>IFERROR(AA16/AA12,0)</x:f>
        <x:v>543.0001643503775</x:v>
      </x:c>
      <x:c r="AB17" s="64" t="n">
        <x:f>IFERROR(AB16/AB12,0)</x:f>
        <x:v>524.9642080309238</x:v>
      </x:c>
      <x:c r="AC17" s="64" t="n">
        <x:f>IFERROR(AC16/AC12,0)</x:f>
        <x:v>507.1097353891948</x:v>
      </x:c>
      <x:c r="AD17" s="64" t="n">
        <x:f>IFERROR(AD16/AD12,0)</x:f>
        <x:v>489.4638356483215</x:v>
      </x:c>
      <x:c r="AE17" s="64" t="n">
        <x:f>IFERROR(AE16/AE12,0)</x:f>
        <x:v>472.0522703766119</x:v>
      </x:c>
      <x:c r="AF17" s="64" t="n">
        <x:f>IFERROR(AF16/AF12,0)</x:f>
        <x:v>510.72354751100994</x:v>
      </x:c>
      <x:c r="AG17" s="64" t="n">
        <x:f>IFERROR(AG16/AG12,0)</x:f>
        <x:v>493.28462055076653</x:v>
      </x:c>
      <x:c r="AH17" s="64" t="n">
        <x:f>IFERROR(AH16/AH12,0)</x:f>
        <x:v>476.05418983482895</x:v>
      </x:c>
      <x:c r="AI17" s="64" t="n">
        <x:f>IFERROR(AI16/AI12,0)</x:f>
        <x:v>459.05722972379</x:v>
      </x:c>
      <x:c r="AJ17" s="64" t="n">
        <x:f>IFERROR(AJ16/AJ12,0)</x:f>
        <x:v>442.31726196448653</x:v>
      </x:c>
      <x:c r="AK17" s="64" t="n">
        <x:f>IFERROR(AK16/AK12,0)</x:f>
        <x:v>425.8562446771645</x:v>
      </x:c>
    </x:row>
    <x:row r="18" ht="18" customHeight="1">
      <x:c r="A18" s="4" t="str">
        <x:v>Loaded paid-channel CAC (INR)</x:v>
      </x:c>
      <x:c r="B18" s="64" t="n">
        <x:f>IFERROR((B7+B14)/B11,0)</x:f>
        <x:v>937.5</x:v>
      </x:c>
      <x:c r="C18" s="64" t="n">
        <x:f>IFERROR((C7+C14)/C11,0)</x:f>
        <x:v>937.5</x:v>
      </x:c>
      <x:c r="D18" s="64" t="n">
        <x:f>IFERROR((D7+D14)/D11,0)</x:f>
        <x:v>937.5</x:v>
      </x:c>
      <x:c r="E18" s="64" t="n">
        <x:f>IFERROR((E7+E14)/E11,0)</x:f>
        <x:v>937.5</x:v>
      </x:c>
      <x:c r="F18" s="64" t="n">
        <x:f>IFERROR((F7+F14)/F11,0)</x:f>
        <x:v>937.5</x:v>
      </x:c>
      <x:c r="G18" s="64" t="n">
        <x:f>IFERROR((G7+G14)/G11,0)</x:f>
        <x:v>937.5</x:v>
      </x:c>
      <x:c r="H18" s="64" t="n">
        <x:f>IFERROR((H7+H14)/H11,0)</x:f>
        <x:v>937.4999999999999</x:v>
      </x:c>
      <x:c r="I18" s="64" t="n">
        <x:f>IFERROR((I7+I14)/I11,0)</x:f>
        <x:v>937.4999999999999</x:v>
      </x:c>
      <x:c r="J18" s="64" t="n">
        <x:f>IFERROR((J7+J14)/J11,0)</x:f>
        <x:v>937.4999999999999</x:v>
      </x:c>
      <x:c r="K18" s="64" t="n">
        <x:f>IFERROR((K7+K14)/K11,0)</x:f>
        <x:v>937.4999999999999</x:v>
      </x:c>
      <x:c r="L18" s="64" t="n">
        <x:f>IFERROR((L7+L14)/L11,0)</x:f>
        <x:v>937.4999999999999</x:v>
      </x:c>
      <x:c r="M18" s="64" t="n">
        <x:f>IFERROR((M7+M14)/M11,0)</x:f>
        <x:v>937.4999999999999</x:v>
      </x:c>
      <x:c r="N18" s="64" t="n">
        <x:f>IFERROR((N7+N14)/N11,0)</x:f>
        <x:v>1031.25</x:v>
      </x:c>
      <x:c r="O18" s="64" t="n">
        <x:f>IFERROR((O7+O14)/O11,0)</x:f>
        <x:v>1031.25</x:v>
      </x:c>
      <x:c r="P18" s="64" t="n">
        <x:f>IFERROR((P7+P14)/P11,0)</x:f>
        <x:v>1031.25</x:v>
      </x:c>
      <x:c r="Q18" s="64" t="n">
        <x:f>IFERROR((Q7+Q14)/Q11,0)</x:f>
        <x:v>1031.25</x:v>
      </x:c>
      <x:c r="R18" s="64" t="n">
        <x:f>IFERROR((R7+R14)/R11,0)</x:f>
        <x:v>1031.25</x:v>
      </x:c>
      <x:c r="S18" s="64" t="n">
        <x:f>IFERROR((S7+S14)/S11,0)</x:f>
        <x:v>1031.25</x:v>
      </x:c>
      <x:c r="T18" s="64" t="n">
        <x:f>IFERROR((T7+T14)/T11,0)</x:f>
        <x:v>1031.25</x:v>
      </x:c>
      <x:c r="U18" s="64" t="n">
        <x:f>IFERROR((U7+U14)/U11,0)</x:f>
        <x:v>1031.25</x:v>
      </x:c>
      <x:c r="V18" s="64" t="n">
        <x:f>IFERROR((V7+V14)/V11,0)</x:f>
        <x:v>1031.25</x:v>
      </x:c>
      <x:c r="W18" s="64" t="n">
        <x:f>IFERROR((W7+W14)/W11,0)</x:f>
        <x:v>1031.25</x:v>
      </x:c>
      <x:c r="X18" s="64" t="n">
        <x:f>IFERROR((X7+X14)/X11,0)</x:f>
        <x:v>1031.25</x:v>
      </x:c>
      <x:c r="Y18" s="64" t="n">
        <x:f>IFERROR((Y7+Y14)/Y11,0)</x:f>
        <x:v>1031.25</x:v>
      </x:c>
      <x:c r="Z18" s="64" t="n">
        <x:f>IFERROR((Z7+Z14)/Z11,0)</x:f>
        <x:v>1134.3750000000002</x:v>
      </x:c>
      <x:c r="AA18" s="64" t="n">
        <x:f>IFERROR((AA7+AA14)/AA11,0)</x:f>
        <x:v>1134.3750000000002</x:v>
      </x:c>
      <x:c r="AB18" s="64" t="n">
        <x:f>IFERROR((AB7+AB14)/AB11,0)</x:f>
        <x:v>1134.3750000000002</x:v>
      </x:c>
      <x:c r="AC18" s="64" t="n">
        <x:f>IFERROR((AC7+AC14)/AC11,0)</x:f>
        <x:v>1134.3750000000002</x:v>
      </x:c>
      <x:c r="AD18" s="64" t="n">
        <x:f>IFERROR((AD7+AD14)/AD11,0)</x:f>
        <x:v>1134.3750000000002</x:v>
      </x:c>
      <x:c r="AE18" s="64" t="n">
        <x:f>IFERROR((AE7+AE14)/AE11,0)</x:f>
        <x:v>1134.3750000000002</x:v>
      </x:c>
      <x:c r="AF18" s="64" t="n">
        <x:f>IFERROR((AF7+AF14)/AF11,0)</x:f>
        <x:v>1134.375</x:v>
      </x:c>
      <x:c r="AG18" s="64" t="n">
        <x:f>IFERROR((AG7+AG14)/AG11,0)</x:f>
        <x:v>1134.375</x:v>
      </x:c>
      <x:c r="AH18" s="64" t="n">
        <x:f>IFERROR((AH7+AH14)/AH11,0)</x:f>
        <x:v>1134.375</x:v>
      </x:c>
      <x:c r="AI18" s="64" t="n">
        <x:f>IFERROR((AI7+AI14)/AI11,0)</x:f>
        <x:v>1134.375</x:v>
      </x:c>
      <x:c r="AJ18" s="64" t="n">
        <x:f>IFERROR((AJ7+AJ14)/AJ11,0)</x:f>
        <x:v>1134.375</x:v>
      </x:c>
      <x:c r="AK18" s="64" t="n">
        <x:f>IFERROR((AK7+AK14)/AK11,0)</x:f>
        <x:v>1134.375</x:v>
      </x:c>
    </x:row>
    <x:row r="19" ht="18" customHeight="1">
      <x:c r="A19" s="4" t="str"/>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row>
    <x:row r="20" ht="18" customHeight="1">
      <x:c r="A20" s="4" t="str">
        <x:v>New annual payers after refunds</x:v>
      </x:c>
      <x:c r="B20" s="58" t="n">
        <x:f>B12*'Scenario Inputs'!$C$27*(1-'Scenario Inputs'!$C$29)</x:f>
        <x:v>16.732499999999998</x:v>
      </x:c>
      <x:c r="C20" s="58" t="n">
        <x:f>C12*'Scenario Inputs'!$C$27*(1-'Scenario Inputs'!$C$29)</x:f>
        <x:v>18.042</x:v>
      </x:c>
      <x:c r="D20" s="58" t="n">
        <x:f>D12*'Scenario Inputs'!$C$27*(1-'Scenario Inputs'!$C$29)</x:f>
        <x:v>19.508639999999996</x:v>
      </x:c>
      <x:c r="E20" s="58" t="n">
        <x:f>E12*'Scenario Inputs'!$C$27*(1-'Scenario Inputs'!$C$29)</x:f>
        <x:v>26.971276800000002</x:v>
      </x:c>
      <x:c r="F20" s="58" t="n">
        <x:f>F12*'Scenario Inputs'!$C$27*(1-'Scenario Inputs'!$C$29)</x:f>
        <x:v>28.811030016</x:v>
      </x:c>
      <x:c r="G20" s="58" t="n">
        <x:f>G12*'Scenario Inputs'!$C$27*(1-'Scenario Inputs'!$C$29)</x:f>
        <x:v>30.871553617920004</x:v>
      </x:c>
      <x:c r="H20" s="58" t="n">
        <x:f>H12*'Scenario Inputs'!$C$27*(1-'Scenario Inputs'!$C$29)</x:f>
        <x:v>45.78934005207041</x:v>
      </x:c>
      <x:c r="I20" s="58" t="n">
        <x:f>I12*'Scenario Inputs'!$C$27*(1-'Scenario Inputs'!$C$29)</x:f>
        <x:v>48.374060858318856</x:v>
      </x:c>
      <x:c r="J20" s="58" t="n">
        <x:f>J12*'Scenario Inputs'!$C$27*(1-'Scenario Inputs'!$C$29)</x:f>
        <x:v>51.26894816131712</x:v>
      </x:c>
      <x:c r="K20" s="58" t="n">
        <x:f>K12*'Scenario Inputs'!$C$27*(1-'Scenario Inputs'!$C$29)</x:f>
        <x:v>54.511221940675185</x:v>
      </x:c>
      <x:c r="L20" s="58" t="n">
        <x:f>L12*'Scenario Inputs'!$C$27*(1-'Scenario Inputs'!$C$29)</x:f>
        <x:v>58.14256857355621</x:v>
      </x:c>
      <x:c r="M20" s="58" t="n">
        <x:f>M12*'Scenario Inputs'!$C$27*(1-'Scenario Inputs'!$C$29)</x:f>
        <x:v>62.20967680238296</x:v>
      </x:c>
      <x:c r="N20" s="58" t="n">
        <x:f>N12*'Scenario Inputs'!$C$27*(1-'Scenario Inputs'!$C$29)</x:f>
        <x:v>85.08736003748268</x:v>
      </x:c>
      <x:c r="O20" s="58" t="n">
        <x:f>O12*'Scenario Inputs'!$C$27*(1-'Scenario Inputs'!$C$29)</x:f>
        <x:v>88.36707611320857</x:v>
      </x:c>
      <x:c r="P20" s="58" t="n">
        <x:f>P12*'Scenario Inputs'!$C$27*(1-'Scenario Inputs'!$C$29)</x:f>
        <x:v>91.90916947499254</x:v>
      </x:c>
      <x:c r="Q20" s="58" t="n">
        <x:f>Q12*'Scenario Inputs'!$C$27*(1-'Scenario Inputs'!$C$29)</x:f>
        <x:v>95.73463030571921</x:v>
      </x:c>
      <x:c r="R20" s="58" t="n">
        <x:f>R12*'Scenario Inputs'!$C$27*(1-'Scenario Inputs'!$C$29)</x:f>
        <x:v>99.86612800290402</x:v>
      </x:c>
      <x:c r="S20" s="58" t="n">
        <x:f>S12*'Scenario Inputs'!$C$27*(1-'Scenario Inputs'!$C$29)</x:f>
        <x:v>104.32814551586364</x:v>
      </x:c>
      <x:c r="T20" s="58" t="n">
        <x:f>T12*'Scenario Inputs'!$C$27*(1-'Scenario Inputs'!$C$29)</x:f>
        <x:v>131.19257897531455</x:v>
      </x:c>
      <x:c r="U20" s="58" t="n">
        <x:f>U12*'Scenario Inputs'!$C$27*(1-'Scenario Inputs'!$C$29)</x:f>
        <x:v>136.3970762024306</x:v>
      </x:c>
      <x:c r="V20" s="58" t="n">
        <x:f>V12*'Scenario Inputs'!$C$27*(1-'Scenario Inputs'!$C$29)</x:f>
        <x:v>142.01793320771597</x:v>
      </x:c>
      <x:c r="W20" s="58" t="n">
        <x:f>W12*'Scenario Inputs'!$C$27*(1-'Scenario Inputs'!$C$29)</x:f>
        <x:v>148.08845877342418</x:v>
      </x:c>
      <x:c r="X20" s="58" t="n">
        <x:f>X12*'Scenario Inputs'!$C$27*(1-'Scenario Inputs'!$C$29)</x:f>
        <x:v>154.644626384389</x:v>
      </x:c>
      <x:c r="Y20" s="58" t="n">
        <x:f>Y12*'Scenario Inputs'!$C$27*(1-'Scenario Inputs'!$C$29)</x:f>
        <x:v>161.72528740423104</x:v>
      </x:c>
      <x:c r="Z20" s="58" t="n">
        <x:f>Z12*'Scenario Inputs'!$C$27*(1-'Scenario Inputs'!$C$29)</x:f>
        <x:v>181.48954845013782</x:v>
      </x:c>
      <x:c r="AA20" s="58" t="n">
        <x:f>AA12*'Scenario Inputs'!$C$27*(1-'Scenario Inputs'!$C$29)</x:f>
        <x:v>187.56900400177415</x:v>
      </x:c>
      <x:c r="AB20" s="58" t="n">
        <x:f>AB12*'Scenario Inputs'!$C$27*(1-'Scenario Inputs'!$C$29)</x:f>
        <x:v>194.01322688650873</x:v>
      </x:c>
      <x:c r="AC20" s="58" t="n">
        <x:f>AC12*'Scenario Inputs'!$C$27*(1-'Scenario Inputs'!$C$29)</x:f>
        <x:v>200.84410314432736</x:v>
      </x:c>
      <x:c r="AD20" s="58" t="n">
        <x:f>AD12*'Scenario Inputs'!$C$27*(1-'Scenario Inputs'!$C$29)</x:f>
        <x:v>208.08483197761512</x:v>
      </x:c>
      <x:c r="AE20" s="58" t="n">
        <x:f>AE12*'Scenario Inputs'!$C$27*(1-'Scenario Inputs'!$C$29)</x:f>
        <x:v>215.76000454090016</x:v>
      </x:c>
      <x:c r="AF20" s="58" t="n">
        <x:f>AF12*'Scenario Inputs'!$C$27*(1-'Scenario Inputs'!$C$29)</x:f>
        <x:v>243.93700977203184</x:v>
      </x:c>
      <x:c r="AG20" s="58" t="n">
        <x:f>AG12*'Scenario Inputs'!$C$27*(1-'Scenario Inputs'!$C$29)</x:f>
        <x:v>252.5608336641389</x:v>
      </x:c>
      <x:c r="AH20" s="58" t="n">
        <x:f>AH12*'Scenario Inputs'!$C$27*(1-'Scenario Inputs'!$C$29)</x:f>
        <x:v>261.70208698977234</x:v>
      </x:c>
      <x:c r="AI20" s="58" t="n">
        <x:f>AI12*'Scenario Inputs'!$C$27*(1-'Scenario Inputs'!$C$29)</x:f>
        <x:v>271.3918155149438</x:v>
      </x:c>
      <x:c r="AJ20" s="58" t="n">
        <x:f>AJ12*'Scenario Inputs'!$C$27*(1-'Scenario Inputs'!$C$29)</x:f>
        <x:v>281.66292775162555</x:v>
      </x:c>
      <x:c r="AK20" s="58" t="n">
        <x:f>AK12*'Scenario Inputs'!$C$27*(1-'Scenario Inputs'!$C$29)</x:f>
        <x:v>292.55030672250825</x:v>
      </x:c>
    </x:row>
    <x:row r="21" ht="18" customHeight="1">
      <x:c r="A21" s="4" t="str">
        <x:v>First annual renewals after refunds</x:v>
      </x:c>
      <x:c r="B21" s="58" t="n">
        <x:f>0*'Scenario Inputs'!$C$30*(1-'Scenario Inputs'!$C$29)</x:f>
        <x:v>0</x:v>
      </x:c>
      <x:c r="C21" s="58" t="n">
        <x:f>0*'Scenario Inputs'!$C$30*(1-'Scenario Inputs'!$C$29)</x:f>
        <x:v>0</x:v>
      </x:c>
      <x:c r="D21" s="58" t="n">
        <x:f>0*'Scenario Inputs'!$C$30*(1-'Scenario Inputs'!$C$29)</x:f>
        <x:v>0</x:v>
      </x:c>
      <x:c r="E21" s="58" t="n">
        <x:f>0*'Scenario Inputs'!$C$30*(1-'Scenario Inputs'!$C$29)</x:f>
        <x:v>0</x:v>
      </x:c>
      <x:c r="F21" s="58" t="n">
        <x:f>0*'Scenario Inputs'!$C$30*(1-'Scenario Inputs'!$C$29)</x:f>
        <x:v>0</x:v>
      </x:c>
      <x:c r="G21" s="58" t="n">
        <x:f>0*'Scenario Inputs'!$C$30*(1-'Scenario Inputs'!$C$29)</x:f>
        <x:v>0</x:v>
      </x:c>
      <x:c r="H21" s="58" t="n">
        <x:f>0*'Scenario Inputs'!$C$30*(1-'Scenario Inputs'!$C$29)</x:f>
        <x:v>0</x:v>
      </x:c>
      <x:c r="I21" s="58" t="n">
        <x:f>0*'Scenario Inputs'!$C$30*(1-'Scenario Inputs'!$C$29)</x:f>
        <x:v>0</x:v>
      </x:c>
      <x:c r="J21" s="58" t="n">
        <x:f>0*'Scenario Inputs'!$C$30*(1-'Scenario Inputs'!$C$29)</x:f>
        <x:v>0</x:v>
      </x:c>
      <x:c r="K21" s="58" t="n">
        <x:f>0*'Scenario Inputs'!$C$30*(1-'Scenario Inputs'!$C$29)</x:f>
        <x:v>0</x:v>
      </x:c>
      <x:c r="L21" s="58" t="n">
        <x:f>0*'Scenario Inputs'!$C$30*(1-'Scenario Inputs'!$C$29)</x:f>
        <x:v>0</x:v>
      </x:c>
      <x:c r="M21" s="58" t="n">
        <x:f>0*'Scenario Inputs'!$C$30*(1-'Scenario Inputs'!$C$29)</x:f>
        <x:v>0</x:v>
      </x:c>
      <x:c r="N21" s="58" t="n">
        <x:f>B20*'Scenario Inputs'!$C$30*(1-'Scenario Inputs'!$C$29)</x:f>
        <x:v>4.869157499999999</x:v>
      </x:c>
      <x:c r="O21" s="58" t="n">
        <x:f>C20*'Scenario Inputs'!$C$30*(1-'Scenario Inputs'!$C$29)</x:f>
        <x:v>5.250222</x:v>
      </x:c>
      <x:c r="P21" s="58" t="n">
        <x:f>D20*'Scenario Inputs'!$C$30*(1-'Scenario Inputs'!$C$29)</x:f>
        <x:v>5.677014239999998</x:v>
      </x:c>
      <x:c r="Q21" s="58" t="n">
        <x:f>E20*'Scenario Inputs'!$C$30*(1-'Scenario Inputs'!$C$29)</x:f>
        <x:v>7.8486415488</x:v>
      </x:c>
      <x:c r="R21" s="58" t="n">
        <x:f>F20*'Scenario Inputs'!$C$30*(1-'Scenario Inputs'!$C$29)</x:f>
        <x:v>8.384009734655999</x:v>
      </x:c>
      <x:c r="S21" s="58" t="n">
        <x:f>G20*'Scenario Inputs'!$C$30*(1-'Scenario Inputs'!$C$29)</x:f>
        <x:v>8.983622102814719</x:v>
      </x:c>
      <x:c r="T21" s="58" t="n">
        <x:f>H20*'Scenario Inputs'!$C$30*(1-'Scenario Inputs'!$C$29)</x:f>
        <x:v>13.324697955152487</x:v>
      </x:c>
      <x:c r="U21" s="58" t="n">
        <x:f>I20*'Scenario Inputs'!$C$30*(1-'Scenario Inputs'!$C$29)</x:f>
        <x:v>14.076851709770786</x:v>
      </x:c>
      <x:c r="V21" s="58" t="n">
        <x:f>J20*'Scenario Inputs'!$C$30*(1-'Scenario Inputs'!$C$29)</x:f>
        <x:v>14.919263914943281</x:v>
      </x:c>
      <x:c r="W21" s="58" t="n">
        <x:f>K20*'Scenario Inputs'!$C$30*(1-'Scenario Inputs'!$C$29)</x:f>
        <x:v>15.862765584736477</x:v>
      </x:c>
      <x:c r="X21" s="58" t="n">
        <x:f>L20*'Scenario Inputs'!$C$30*(1-'Scenario Inputs'!$C$29)</x:f>
        <x:v>16.919487454904857</x:v>
      </x:c>
      <x:c r="Y21" s="58" t="n">
        <x:f>M20*'Scenario Inputs'!$C$30*(1-'Scenario Inputs'!$C$29)</x:f>
        <x:v>18.10301594949344</x:v>
      </x:c>
      <x:c r="Z21" s="58" t="n">
        <x:f>N20*'Scenario Inputs'!$C$30*(1-'Scenario Inputs'!$C$29)</x:f>
        <x:v>24.76042177090746</x:v>
      </x:c>
      <x:c r="AA21" s="58" t="n">
        <x:f>O20*'Scenario Inputs'!$C$30*(1-'Scenario Inputs'!$C$29)</x:f>
        <x:v>25.71481914894369</x:v>
      </x:c>
      <x:c r="AB21" s="58" t="n">
        <x:f>P20*'Scenario Inputs'!$C$30*(1-'Scenario Inputs'!$C$29)</x:f>
        <x:v>26.745568317222826</x:v>
      </x:c>
      <x:c r="AC21" s="58" t="n">
        <x:f>Q20*'Scenario Inputs'!$C$30*(1-'Scenario Inputs'!$C$29)</x:f>
        <x:v>27.85877741896429</x:v>
      </x:c>
      <x:c r="AD21" s="58" t="n">
        <x:f>R20*'Scenario Inputs'!$C$30*(1-'Scenario Inputs'!$C$29)</x:f>
        <x:v>29.06104324884507</x:v>
      </x:c>
      <x:c r="AE21" s="58" t="n">
        <x:f>S20*'Scenario Inputs'!$C$30*(1-'Scenario Inputs'!$C$29)</x:f>
        <x:v>30.359490345116317</x:v>
      </x:c>
      <x:c r="AF21" s="58" t="n">
        <x:f>T20*'Scenario Inputs'!$C$30*(1-'Scenario Inputs'!$C$29)</x:f>
        <x:v>38.17704048181653</x:v>
      </x:c>
      <x:c r="AG21" s="58" t="n">
        <x:f>U20*'Scenario Inputs'!$C$30*(1-'Scenario Inputs'!$C$29)</x:f>
        <x:v>39.69154917490731</x:v>
      </x:c>
      <x:c r="AH21" s="58" t="n">
        <x:f>V20*'Scenario Inputs'!$C$30*(1-'Scenario Inputs'!$C$29)</x:f>
        <x:v>41.32721856344535</x:v>
      </x:c>
      <x:c r="AI21" s="58" t="n">
        <x:f>W20*'Scenario Inputs'!$C$30*(1-'Scenario Inputs'!$C$29)</x:f>
        <x:v>43.09374150306644</x:v>
      </x:c>
      <x:c r="AJ21" s="58" t="n">
        <x:f>X20*'Scenario Inputs'!$C$30*(1-'Scenario Inputs'!$C$29)</x:f>
        <x:v>45.0015862778572</x:v>
      </x:c>
      <x:c r="AK21" s="58" t="n">
        <x:f>Y20*'Scenario Inputs'!$C$30*(1-'Scenario Inputs'!$C$29)</x:f>
        <x:v>47.06205863463123</x:v>
      </x:c>
    </x:row>
    <x:row r="22" ht="18" customHeight="1">
      <x:c r="A22" s="4" t="str">
        <x:v>Second annual renewals after refunds</x:v>
      </x:c>
      <x:c r="B22" s="58" t="n">
        <x:f>0*'Scenario Inputs'!$C$31*(1-'Scenario Inputs'!$C$29)</x:f>
        <x:v>0</x:v>
      </x:c>
      <x:c r="C22" s="58" t="n">
        <x:f>0*'Scenario Inputs'!$C$31*(1-'Scenario Inputs'!$C$29)</x:f>
        <x:v>0</x:v>
      </x:c>
      <x:c r="D22" s="58" t="n">
        <x:f>0*'Scenario Inputs'!$C$31*(1-'Scenario Inputs'!$C$29)</x:f>
        <x:v>0</x:v>
      </x:c>
      <x:c r="E22" s="58" t="n">
        <x:f>0*'Scenario Inputs'!$C$31*(1-'Scenario Inputs'!$C$29)</x:f>
        <x:v>0</x:v>
      </x:c>
      <x:c r="F22" s="58" t="n">
        <x:f>0*'Scenario Inputs'!$C$31*(1-'Scenario Inputs'!$C$29)</x:f>
        <x:v>0</x:v>
      </x:c>
      <x:c r="G22" s="58" t="n">
        <x:f>0*'Scenario Inputs'!$C$31*(1-'Scenario Inputs'!$C$29)</x:f>
        <x:v>0</x:v>
      </x:c>
      <x:c r="H22" s="58" t="n">
        <x:f>0*'Scenario Inputs'!$C$31*(1-'Scenario Inputs'!$C$29)</x:f>
        <x:v>0</x:v>
      </x:c>
      <x:c r="I22" s="58" t="n">
        <x:f>0*'Scenario Inputs'!$C$31*(1-'Scenario Inputs'!$C$29)</x:f>
        <x:v>0</x:v>
      </x:c>
      <x:c r="J22" s="58" t="n">
        <x:f>0*'Scenario Inputs'!$C$31*(1-'Scenario Inputs'!$C$29)</x:f>
        <x:v>0</x:v>
      </x:c>
      <x:c r="K22" s="58" t="n">
        <x:f>0*'Scenario Inputs'!$C$31*(1-'Scenario Inputs'!$C$29)</x:f>
        <x:v>0</x:v>
      </x:c>
      <x:c r="L22" s="58" t="n">
        <x:f>0*'Scenario Inputs'!$C$31*(1-'Scenario Inputs'!$C$29)</x:f>
        <x:v>0</x:v>
      </x:c>
      <x:c r="M22" s="58" t="n">
        <x:f>0*'Scenario Inputs'!$C$31*(1-'Scenario Inputs'!$C$29)</x:f>
        <x:v>0</x:v>
      </x:c>
      <x:c r="N22" s="58" t="n">
        <x:f>B21*'Scenario Inputs'!$C$31*(1-'Scenario Inputs'!$C$29)</x:f>
        <x:v>0</x:v>
      </x:c>
      <x:c r="O22" s="58" t="n">
        <x:f>C21*'Scenario Inputs'!$C$31*(1-'Scenario Inputs'!$C$29)</x:f>
        <x:v>0</x:v>
      </x:c>
      <x:c r="P22" s="58" t="n">
        <x:f>D21*'Scenario Inputs'!$C$31*(1-'Scenario Inputs'!$C$29)</x:f>
        <x:v>0</x:v>
      </x:c>
      <x:c r="Q22" s="58" t="n">
        <x:f>E21*'Scenario Inputs'!$C$31*(1-'Scenario Inputs'!$C$29)</x:f>
        <x:v>0</x:v>
      </x:c>
      <x:c r="R22" s="58" t="n">
        <x:f>F21*'Scenario Inputs'!$C$31*(1-'Scenario Inputs'!$C$29)</x:f>
        <x:v>0</x:v>
      </x:c>
      <x:c r="S22" s="58" t="n">
        <x:f>G21*'Scenario Inputs'!$C$31*(1-'Scenario Inputs'!$C$29)</x:f>
        <x:v>0</x:v>
      </x:c>
      <x:c r="T22" s="58" t="n">
        <x:f>H21*'Scenario Inputs'!$C$31*(1-'Scenario Inputs'!$C$29)</x:f>
        <x:v>0</x:v>
      </x:c>
      <x:c r="U22" s="58" t="n">
        <x:f>I21*'Scenario Inputs'!$C$31*(1-'Scenario Inputs'!$C$29)</x:f>
        <x:v>0</x:v>
      </x:c>
      <x:c r="V22" s="58" t="n">
        <x:f>J21*'Scenario Inputs'!$C$31*(1-'Scenario Inputs'!$C$29)</x:f>
        <x:v>0</x:v>
      </x:c>
      <x:c r="W22" s="58" t="n">
        <x:f>K21*'Scenario Inputs'!$C$31*(1-'Scenario Inputs'!$C$29)</x:f>
        <x:v>0</x:v>
      </x:c>
      <x:c r="X22" s="58" t="n">
        <x:f>L21*'Scenario Inputs'!$C$31*(1-'Scenario Inputs'!$C$29)</x:f>
        <x:v>0</x:v>
      </x:c>
      <x:c r="Y22" s="58" t="n">
        <x:f>M21*'Scenario Inputs'!$C$31*(1-'Scenario Inputs'!$C$29)</x:f>
        <x:v>0</x:v>
      </x:c>
      <x:c r="Z22" s="58" t="n">
        <x:f>N21*'Scenario Inputs'!$C$31*(1-'Scenario Inputs'!$C$29)</x:f>
        <x:v>2.59769552625</x:v>
      </x:c>
      <x:c r="AA22" s="58" t="n">
        <x:f>O21*'Scenario Inputs'!$C$31*(1-'Scenario Inputs'!$C$29)</x:f>
        <x:v>2.8009934370000003</x:v>
      </x:c>
      <x:c r="AB22" s="58" t="n">
        <x:f>P21*'Scenario Inputs'!$C$31*(1-'Scenario Inputs'!$C$29)</x:f>
        <x:v>3.0286870970399993</x:v>
      </x:c>
      <x:c r="AC22" s="58" t="n">
        <x:f>Q21*'Scenario Inputs'!$C$31*(1-'Scenario Inputs'!$C$29)</x:f>
        <x:v>4.1872502662848</x:v>
      </x:c>
      <x:c r="AD22" s="58" t="n">
        <x:f>R21*'Scenario Inputs'!$C$31*(1-'Scenario Inputs'!$C$29)</x:f>
        <x:v>4.472869193438976</x:v>
      </x:c>
      <x:c r="AE22" s="58" t="n">
        <x:f>S21*'Scenario Inputs'!$C$31*(1-'Scenario Inputs'!$C$29)</x:f>
        <x:v>4.792762391851653</x:v>
      </x:c>
      <x:c r="AF22" s="58" t="n">
        <x:f>T21*'Scenario Inputs'!$C$31*(1-'Scenario Inputs'!$C$29)</x:f>
        <x:v>7.108726359073852</x:v>
      </x:c>
      <x:c r="AG22" s="58" t="n">
        <x:f>U21*'Scenario Inputs'!$C$31*(1-'Scenario Inputs'!$C$29)</x:f>
        <x:v>7.510000387162715</x:v>
      </x:c>
      <x:c r="AH22" s="58" t="n">
        <x:f>V21*'Scenario Inputs'!$C$31*(1-'Scenario Inputs'!$C$29)</x:f>
        <x:v>7.959427298622241</x:v>
      </x:c>
      <x:c r="AI22" s="58" t="n">
        <x:f>W21*'Scenario Inputs'!$C$31*(1-'Scenario Inputs'!$C$29)</x:f>
        <x:v>8.46278543945691</x:v>
      </x:c>
      <x:c r="AJ22" s="58" t="n">
        <x:f>X21*'Scenario Inputs'!$C$31*(1-'Scenario Inputs'!$C$29)</x:f>
        <x:v>9.026546557191743</x:v>
      </x:c>
      <x:c r="AK22" s="58" t="n">
        <x:f>Y21*'Scenario Inputs'!$C$31*(1-'Scenario Inputs'!$C$29)</x:f>
        <x:v>9.65795900905475</x:v>
      </x:c>
    </x:row>
    <x:row r="23" ht="18" customHeight="1">
      <x:c r="A23" s="4" t="str">
        <x:v>Annual terms ending this month</x:v>
      </x:c>
      <x:c r="B23" s="58" t="n">
        <x:f>0+0+0</x:f>
        <x:v>0</x:v>
      </x:c>
      <x:c r="C23" s="58" t="n">
        <x:f>0+0+0</x:f>
        <x:v>0</x:v>
      </x:c>
      <x:c r="D23" s="58" t="n">
        <x:f>0+0+0</x:f>
        <x:v>0</x:v>
      </x:c>
      <x:c r="E23" s="58" t="n">
        <x:f>0+0+0</x:f>
        <x:v>0</x:v>
      </x:c>
      <x:c r="F23" s="58" t="n">
        <x:f>0+0+0</x:f>
        <x:v>0</x:v>
      </x:c>
      <x:c r="G23" s="58" t="n">
        <x:f>0+0+0</x:f>
        <x:v>0</x:v>
      </x:c>
      <x:c r="H23" s="58" t="n">
        <x:f>0+0+0</x:f>
        <x:v>0</x:v>
      </x:c>
      <x:c r="I23" s="58" t="n">
        <x:f>0+0+0</x:f>
        <x:v>0</x:v>
      </x:c>
      <x:c r="J23" s="58" t="n">
        <x:f>0+0+0</x:f>
        <x:v>0</x:v>
      </x:c>
      <x:c r="K23" s="58" t="n">
        <x:f>0+0+0</x:f>
        <x:v>0</x:v>
      </x:c>
      <x:c r="L23" s="58" t="n">
        <x:f>0+0+0</x:f>
        <x:v>0</x:v>
      </x:c>
      <x:c r="M23" s="58" t="n">
        <x:f>0+0+0</x:f>
        <x:v>0</x:v>
      </x:c>
      <x:c r="N23" s="58" t="n">
        <x:f>B20+B21+B22</x:f>
        <x:v>16.732499999999998</x:v>
      </x:c>
      <x:c r="O23" s="58" t="n">
        <x:f>C20+C21+C22</x:f>
        <x:v>18.042</x:v>
      </x:c>
      <x:c r="P23" s="58" t="n">
        <x:f>D20+D21+D22</x:f>
        <x:v>19.508639999999996</x:v>
      </x:c>
      <x:c r="Q23" s="58" t="n">
        <x:f>E20+E21+E22</x:f>
        <x:v>26.971276800000002</x:v>
      </x:c>
      <x:c r="R23" s="58" t="n">
        <x:f>F20+F21+F22</x:f>
        <x:v>28.811030016</x:v>
      </x:c>
      <x:c r="S23" s="58" t="n">
        <x:f>G20+G21+G22</x:f>
        <x:v>30.871553617920004</x:v>
      </x:c>
      <x:c r="T23" s="58" t="n">
        <x:f>H20+H21+H22</x:f>
        <x:v>45.78934005207041</x:v>
      </x:c>
      <x:c r="U23" s="58" t="n">
        <x:f>I20+I21+I22</x:f>
        <x:v>48.374060858318856</x:v>
      </x:c>
      <x:c r="V23" s="58" t="n">
        <x:f>J20+J21+J22</x:f>
        <x:v>51.26894816131712</x:v>
      </x:c>
      <x:c r="W23" s="58" t="n">
        <x:f>K20+K21+K22</x:f>
        <x:v>54.511221940675185</x:v>
      </x:c>
      <x:c r="X23" s="58" t="n">
        <x:f>L20+L21+L22</x:f>
        <x:v>58.14256857355621</x:v>
      </x:c>
      <x:c r="Y23" s="58" t="n">
        <x:f>M20+M21+M22</x:f>
        <x:v>62.20967680238296</x:v>
      </x:c>
      <x:c r="Z23" s="58" t="n">
        <x:f>N20+N21+N22</x:f>
        <x:v>89.95651753748268</x:v>
      </x:c>
      <x:c r="AA23" s="58" t="n">
        <x:f>O20+O21+O22</x:f>
        <x:v>93.61729811320856</x:v>
      </x:c>
      <x:c r="AB23" s="58" t="n">
        <x:f>P20+P21+P22</x:f>
        <x:v>97.58618371499253</x:v>
      </x:c>
      <x:c r="AC23" s="58" t="n">
        <x:f>Q20+Q21+Q22</x:f>
        <x:v>103.58327185451921</x:v>
      </x:c>
      <x:c r="AD23" s="58" t="n">
        <x:f>R20+R21+R22</x:f>
        <x:v>108.25013773756002</x:v>
      </x:c>
      <x:c r="AE23" s="58" t="n">
        <x:f>S20+S21+S22</x:f>
        <x:v>113.31176761867836</x:v>
      </x:c>
      <x:c r="AF23" s="58" t="n">
        <x:f>T20+T21+T22</x:f>
        <x:v>144.51727693046703</x:v>
      </x:c>
      <x:c r="AG23" s="58" t="n">
        <x:f>U20+U21+U22</x:f>
        <x:v>150.4739279122014</x:v>
      </x:c>
      <x:c r="AH23" s="58" t="n">
        <x:f>V20+V21+V22</x:f>
        <x:v>156.93719712265926</x:v>
      </x:c>
      <x:c r="AI23" s="58" t="n">
        <x:f>W20+W21+W22</x:f>
        <x:v>163.95122435816066</x:v>
      </x:c>
      <x:c r="AJ23" s="58" t="n">
        <x:f>X20+X21+X22</x:f>
        <x:v>171.56411383929387</x:v>
      </x:c>
      <x:c r="AK23" s="58" t="n">
        <x:f>Y20+Y21+Y22</x:f>
        <x:v>179.8283033537245</x:v>
      </x:c>
    </x:row>
    <x:row r="24" ht="18" customHeight="1">
      <x:c r="A24" s="74" t="str">
        <x:v>ACTIVE ANNUAL SUBSCRIBERS</x:v>
      </x:c>
      <x:c r="B24" s="75" t="n">
        <x:f>0+SUM(B20:B22)-B23</x:f>
        <x:v>16.732499999999998</x:v>
      </x:c>
      <x:c r="C24" s="75" t="n">
        <x:f>B24+SUM(C20:C22)-C23</x:f>
        <x:v>34.7745</x:v>
      </x:c>
      <x:c r="D24" s="75" t="n">
        <x:f>C24+SUM(D20:D22)-D23</x:f>
        <x:v>54.28314</x:v>
      </x:c>
      <x:c r="E24" s="75" t="n">
        <x:f>D24+SUM(E20:E22)-E23</x:f>
        <x:v>81.2544168</x:v>
      </x:c>
      <x:c r="F24" s="75" t="n">
        <x:f>E24+SUM(F20:F22)-F23</x:f>
        <x:v>110.065446816</x:v>
      </x:c>
      <x:c r="G24" s="75" t="n">
        <x:f>F24+SUM(G20:G22)-G23</x:f>
        <x:v>140.93700043392002</x:v>
      </x:c>
      <x:c r="H24" s="75" t="n">
        <x:f>G24+SUM(H20:H22)-H23</x:f>
        <x:v>186.72634048599042</x:v>
      </x:c>
      <x:c r="I24" s="75" t="n">
        <x:f>H24+SUM(I20:I22)-I23</x:f>
        <x:v>235.10040134430926</x:v>
      </x:c>
      <x:c r="J24" s="75" t="n">
        <x:f>I24+SUM(J20:J22)-J23</x:f>
        <x:v>286.36934950562636</x:v>
      </x:c>
      <x:c r="K24" s="75" t="n">
        <x:f>J24+SUM(K20:K22)-K23</x:f>
        <x:v>340.88057144630153</x:v>
      </x:c>
      <x:c r="L24" s="75" t="n">
        <x:f>K24+SUM(L20:L22)-L23</x:f>
        <x:v>399.02314001985775</x:v>
      </x:c>
      <x:c r="M24" s="75" t="n">
        <x:f>L24+SUM(M20:M22)-M23</x:f>
        <x:v>461.2328168222407</x:v>
      </x:c>
      <x:c r="N24" s="75" t="n">
        <x:f>M24+SUM(N20:N22)-N23</x:f>
        <x:v>534.4568343597234</x:v>
      </x:c>
      <x:c r="O24" s="75" t="n">
        <x:f>N24+SUM(O20:O22)-O23</x:f>
        <x:v>610.032132472932</x:v>
      </x:c>
      <x:c r="P24" s="75" t="n">
        <x:f>O24+SUM(P20:P22)-P23</x:f>
        <x:v>688.1096761879245</x:v>
      </x:c>
      <x:c r="Q24" s="75" t="n">
        <x:f>P24+SUM(Q20:Q22)-Q23</x:f>
        <x:v>764.7216712424437</x:v>
      </x:c>
      <x:c r="R24" s="75" t="n">
        <x:f>Q24+SUM(R20:R22)-R23</x:f>
        <x:v>844.1607789640037</x:v>
      </x:c>
      <x:c r="S24" s="75" t="n">
        <x:f>R24+SUM(S20:S22)-S23</x:f>
        <x:v>926.6009929647621</x:v>
      </x:c>
      <x:c r="T24" s="75" t="n">
        <x:f>S24+SUM(T20:T22)-T23</x:f>
        <x:v>1025.3289298431587</x:v>
      </x:c>
      <x:c r="U24" s="75" t="n">
        <x:f>T24+SUM(U20:U22)-U23</x:f>
        <x:v>1127.4287968970411</x:v>
      </x:c>
      <x:c r="V24" s="75" t="n">
        <x:f>U24+SUM(V20:V22)-V23</x:f>
        <x:v>1233.0970458583831</x:v>
      </x:c>
      <x:c r="W24" s="75" t="n">
        <x:f>V24+SUM(W20:W22)-W23</x:f>
        <x:v>1342.5370482758688</x:v>
      </x:c>
      <x:c r="X24" s="75" t="n">
        <x:f>W24+SUM(X20:X22)-X23</x:f>
        <x:v>1455.9585935416064</x:v>
      </x:c>
      <x:c r="Y24" s="75" t="n">
        <x:f>X24+SUM(Y20:Y22)-Y23</x:f>
        <x:v>1573.577220092948</x:v>
      </x:c>
      <x:c r="Z24" s="75" t="n">
        <x:f>Y24+SUM(Z20:Z22)-Z23</x:f>
        <x:v>1692.4683683027606</x:v>
      </x:c>
      <x:c r="AA24" s="75" t="n">
        <x:f>Z24+SUM(AA20:AA22)-AA23</x:f>
        <x:v>1814.9358867772698</x:v>
      </x:c>
      <x:c r="AB24" s="75" t="n">
        <x:f>AA24+SUM(AB20:AB22)-AB23</x:f>
        <x:v>1941.1371853630487</x:v>
      </x:c>
      <x:c r="AC24" s="75" t="n">
        <x:f>AB24+SUM(AC20:AC22)-AC23</x:f>
        <x:v>2070.444044338106</x:v>
      </x:c>
      <x:c r="AD24" s="75" t="n">
        <x:f>AC24+SUM(AD20:AD22)-AD23</x:f>
        <x:v>2203.8126510204447</x:v>
      </x:c>
      <x:c r="AE24" s="75" t="n">
        <x:f>AD24+SUM(AE20:AE22)-AE23</x:f>
        <x:v>2341.4131406796346</x:v>
      </x:c>
      <x:c r="AF24" s="75" t="n">
        <x:f>AE24+SUM(AF20:AF22)-AF23</x:f>
        <x:v>2486.1186403620895</x:v>
      </x:c>
      <x:c r="AG24" s="75" t="n">
        <x:f>AF24+SUM(AG20:AG22)-AG23</x:f>
        <x:v>2635.407095676097</x:v>
      </x:c>
      <x:c r="AH24" s="75" t="n">
        <x:f>AG24+SUM(AH20:AH22)-AH23</x:f>
        <x:v>2789.4586314052776</x:v>
      </x:c>
      <x:c r="AI24" s="75" t="n">
        <x:f>AH24+SUM(AI20:AI22)-AI23</x:f>
        <x:v>2948.455749504584</x:v>
      </x:c>
      <x:c r="AJ24" s="75" t="n">
        <x:f>AI24+SUM(AJ20:AJ22)-AJ23</x:f>
        <x:v>3112.582696251965</x:v>
      </x:c>
      <x:c r="AK24" s="75" t="n">
        <x:f>AJ24+SUM(AK20:AK22)-AK23</x:f>
        <x:v>3282.024717264435</x:v>
      </x:c>
    </x:row>
    <x:row r="25" ht="18" customHeight="1">
      <x:c r="A25" s="4" t="str">
        <x:v>Annual charge events before refunds</x:v>
      </x:c>
      <x:c r="B25" s="58" t="n">
        <x:f>SUM(B20:B22)/(1-'Scenario Inputs'!$C$29)</x:f>
        <x:v>17.25</x:v>
      </x:c>
      <x:c r="C25" s="58" t="n">
        <x:f>SUM(C20:C22)/(1-'Scenario Inputs'!$C$29)</x:f>
        <x:v>18.6</x:v>
      </x:c>
      <x:c r="D25" s="58" t="n">
        <x:f>SUM(D20:D22)/(1-'Scenario Inputs'!$C$29)</x:f>
        <x:v>20.112</x:v>
      </x:c>
      <x:c r="E25" s="58" t="n">
        <x:f>SUM(E20:E22)/(1-'Scenario Inputs'!$C$29)</x:f>
        <x:v>27.805440000000004</x:v>
      </x:c>
      <x:c r="F25" s="58" t="n">
        <x:f>SUM(F20:F22)/(1-'Scenario Inputs'!$C$29)</x:f>
        <x:v>29.702092800000003</x:v>
      </x:c>
      <x:c r="G25" s="58" t="n">
        <x:f>SUM(G20:G22)/(1-'Scenario Inputs'!$C$29)</x:f>
        <x:v>31.826343936000004</x:v>
      </x:c>
      <x:c r="H25" s="58" t="n">
        <x:f>SUM(H20:H22)/(1-'Scenario Inputs'!$C$29)</x:f>
        <x:v>47.20550520832001</x:v>
      </x:c>
      <x:c r="I25" s="58" t="n">
        <x:f>SUM(I20:I22)/(1-'Scenario Inputs'!$C$29)</x:f>
        <x:v>49.87016583331841</x:v>
      </x:c>
      <x:c r="J25" s="58" t="n">
        <x:f>SUM(J20:J22)/(1-'Scenario Inputs'!$C$29)</x:f>
        <x:v>52.85458573331662</x:v>
      </x:c>
      <x:c r="K25" s="58" t="n">
        <x:f>SUM(K20:K22)/(1-'Scenario Inputs'!$C$29)</x:f>
        <x:v>56.19713602131463</x:v>
      </x:c>
      <x:c r="L25" s="58" t="n">
        <x:f>SUM(L20:L22)/(1-'Scenario Inputs'!$C$29)</x:f>
        <x:v>59.94079234387238</x:v>
      </x:c>
      <x:c r="M25" s="58" t="n">
        <x:f>SUM(M20:M22)/(1-'Scenario Inputs'!$C$29)</x:f>
        <x:v>64.13368742513707</x:v>
      </x:c>
      <x:c r="N25" s="58" t="n">
        <x:f>SUM(N20:N22)/(1-'Scenario Inputs'!$C$29)</x:f>
        <x:v>92.73867787369349</x:v>
      </x:c>
      <x:c r="O25" s="58" t="n">
        <x:f>SUM(O20:O22)/(1-'Scenario Inputs'!$C$29)</x:f>
        <x:v>96.51267846722533</x:v>
      </x:c>
      <x:c r="P25" s="58" t="n">
        <x:f>SUM(P20:P22)/(1-'Scenario Inputs'!$C$29)</x:f>
        <x:v>100.60431310823972</x:v>
      </x:c>
      <x:c r="Q25" s="58" t="n">
        <x:f>SUM(Q20:Q22)/(1-'Scenario Inputs'!$C$29)</x:f>
        <x:v>106.78687820053527</x:v>
      </x:c>
      <x:c r="R25" s="58" t="n">
        <x:f>SUM(R20:R22)/(1-'Scenario Inputs'!$C$29)</x:f>
        <x:v>111.59808014181446</x:v>
      </x:c>
      <x:c r="S25" s="58" t="n">
        <x:f>SUM(S20:S22)/(1-'Scenario Inputs'!$C$29)</x:f>
        <x:v>116.816255276988</x:v>
      </x:c>
      <x:c r="T25" s="58" t="n">
        <x:f>SUM(T20:T22)/(1-'Scenario Inputs'!$C$29)</x:f>
        <x:v>148.98688343347118</x:v>
      </x:c>
      <x:c r="U25" s="58" t="n">
        <x:f>SUM(U20:U22)/(1-'Scenario Inputs'!$C$29)</x:f>
        <x:v>155.12776073422825</x:v>
      </x:c>
      <x:c r="V25" s="58" t="n">
        <x:f>SUM(V20:V22)/(1-'Scenario Inputs'!$C$29)</x:f>
        <x:v>161.79092486872088</x:v>
      </x:c>
      <x:c r="W25" s="58" t="n">
        <x:f>SUM(W20:W22)/(1-'Scenario Inputs'!$C$29)</x:f>
        <x:v>169.02188078160893</x:v>
      </x:c>
      <x:c r="X25" s="58" t="n">
        <x:f>SUM(X20:X22)/(1-'Scenario Inputs'!$C$29)</x:f>
        <x:v>176.8702204528803</x:v>
      </x:c>
      <x:c r="Y25" s="58" t="n">
        <x:f>SUM(Y20:Y22)/(1-'Scenario Inputs'!$C$29)</x:f>
        <x:v>185.39000345744793</x:v>
      </x:c>
      <x:c r="Z25" s="58" t="n">
        <x:f>SUM(Z20:Z22)/(1-'Scenario Inputs'!$C$29)</x:f>
        <x:v>215.30687190442814</x:v>
      </x:c>
      <x:c r="AA25" s="58" t="n">
        <x:f>SUM(AA20:AA22)/(1-'Scenario Inputs'!$C$29)</x:f>
        <x:v>222.76785215228642</x:v>
      </x:c>
      <x:c r="AB25" s="58" t="n">
        <x:f>SUM(AB20:AB22)/(1-'Scenario Inputs'!$C$29)</x:f>
        <x:v>230.7087446399707</x:v>
      </x:c>
      <x:c r="AC25" s="58" t="n">
        <x:f>SUM(AC20:AC22)/(1-'Scenario Inputs'!$C$29)</x:f>
        <x:v>240.09291838100665</x:v>
      </x:c>
      <x:c r="AD25" s="58" t="n">
        <x:f>SUM(AD20:AD22)/(1-'Scenario Inputs'!$C$29)</x:f>
        <x:v>249.09148909267955</x:v>
      </x:c>
      <x:c r="AE25" s="58" t="n">
        <x:f>SUM(AE20:AE22)/(1-'Scenario Inputs'!$C$29)</x:f>
        <x:v>258.6724301833692</x:v>
      </x:c>
      <x:c r="AF25" s="58" t="n">
        <x:f>SUM(AF20:AF22)/(1-'Scenario Inputs'!$C$29)</x:f>
        <x:v>298.167810941157</x:v>
      </x:c>
      <x:c r="AG25" s="58" t="n">
        <x:f>SUM(AG20:AG22)/(1-'Scenario Inputs'!$C$29)</x:f>
        <x:v>309.0333847692876</x:v>
      </x:c>
      <x:c r="AH25" s="58" t="n">
        <x:f>SUM(AH20:AH22)/(1-'Scenario Inputs'!$C$29)</x:f>
        <x:v>320.60694108437104</x:v>
      </x:c>
      <x:c r="AI25" s="58" t="n">
        <x:f>SUM(AI20:AI22)/(1-'Scenario Inputs'!$C$29)</x:f>
        <x:v>332.93643552316206</x:v>
      </x:c>
      <x:c r="AJ25" s="58" t="n">
        <x:f>SUM(AJ20:AJ22)/(1-'Scenario Inputs'!$C$29)</x:f>
        <x:v>346.0732583367778</x:v>
      </x:c>
      <x:c r="AK25" s="58" t="n">
        <x:f>SUM(AK20:AK22)/(1-'Scenario Inputs'!$C$29)</x:f>
        <x:v>360.072499346592</x:v>
      </x:c>
    </x:row>
    <x:row r="26" ht="18" customHeight="1">
      <x:c r="A26" s="4" t="str"/>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row>
    <x:row r="27" ht="18" customHeight="1">
      <x:c r="A27" s="4" t="str">
        <x:v>New monthly payers after refunds</x:v>
      </x:c>
      <x:c r="B27" s="58" t="n">
        <x:f>B12*(1-'Scenario Inputs'!$C$27)*(1-'Scenario Inputs'!$C$29)</x:f>
        <x:v>5.5775</x:v>
      </x:c>
      <x:c r="C27" s="58" t="n">
        <x:f>C12*(1-'Scenario Inputs'!$C$27)*(1-'Scenario Inputs'!$C$29)</x:f>
        <x:v>6.014</x:v>
      </x:c>
      <x:c r="D27" s="58" t="n">
        <x:f>D12*(1-'Scenario Inputs'!$C$27)*(1-'Scenario Inputs'!$C$29)</x:f>
        <x:v>6.502879999999999</x:v>
      </x:c>
      <x:c r="E27" s="58" t="n">
        <x:f>E12*(1-'Scenario Inputs'!$C$27)*(1-'Scenario Inputs'!$C$29)</x:f>
        <x:v>8.9904256</x:v>
      </x:c>
      <x:c r="F27" s="58" t="n">
        <x:f>F12*(1-'Scenario Inputs'!$C$27)*(1-'Scenario Inputs'!$C$29)</x:f>
        <x:v>9.603676672</x:v>
      </x:c>
      <x:c r="G27" s="58" t="n">
        <x:f>G12*(1-'Scenario Inputs'!$C$27)*(1-'Scenario Inputs'!$C$29)</x:f>
        <x:v>10.29051787264</x:v>
      </x:c>
      <x:c r="H27" s="58" t="n">
        <x:f>H12*(1-'Scenario Inputs'!$C$27)*(1-'Scenario Inputs'!$C$29)</x:f>
        <x:v>15.263113350690137</x:v>
      </x:c>
      <x:c r="I27" s="58" t="n">
        <x:f>I12*(1-'Scenario Inputs'!$C$27)*(1-'Scenario Inputs'!$C$29)</x:f>
        <x:v>16.12468695277295</x:v>
      </x:c>
      <x:c r="J27" s="58" t="n">
        <x:f>J12*(1-'Scenario Inputs'!$C$27)*(1-'Scenario Inputs'!$C$29)</x:f>
        <x:v>17.089649387105705</x:v>
      </x:c>
      <x:c r="K27" s="58" t="n">
        <x:f>K12*(1-'Scenario Inputs'!$C$27)*(1-'Scenario Inputs'!$C$29)</x:f>
        <x:v>18.170407313558396</x:v>
      </x:c>
      <x:c r="L27" s="58" t="n">
        <x:f>L12*(1-'Scenario Inputs'!$C$27)*(1-'Scenario Inputs'!$C$29)</x:f>
        <x:v>19.3808561911854</x:v>
      </x:c>
      <x:c r="M27" s="58" t="n">
        <x:f>M12*(1-'Scenario Inputs'!$C$27)*(1-'Scenario Inputs'!$C$29)</x:f>
        <x:v>20.73655893412765</x:v>
      </x:c>
      <x:c r="N27" s="58" t="n">
        <x:f>N12*(1-'Scenario Inputs'!$C$27)*(1-'Scenario Inputs'!$C$29)</x:f>
        <x:v>28.36245334582756</x:v>
      </x:c>
      <x:c r="O27" s="58" t="n">
        <x:f>O12*(1-'Scenario Inputs'!$C$27)*(1-'Scenario Inputs'!$C$29)</x:f>
        <x:v>29.455692037736192</x:v>
      </x:c>
      <x:c r="P27" s="58" t="n">
        <x:f>P12*(1-'Scenario Inputs'!$C$27)*(1-'Scenario Inputs'!$C$29)</x:f>
        <x:v>30.636389824997515</x:v>
      </x:c>
      <x:c r="Q27" s="58" t="n">
        <x:f>Q12*(1-'Scenario Inputs'!$C$27)*(1-'Scenario Inputs'!$C$29)</x:f>
        <x:v>31.911543435239736</x:v>
      </x:c>
      <x:c r="R27" s="58" t="n">
        <x:f>R12*(1-'Scenario Inputs'!$C$27)*(1-'Scenario Inputs'!$C$29)</x:f>
        <x:v>33.288709334301345</x:v>
      </x:c>
      <x:c r="S27" s="58" t="n">
        <x:f>S12*(1-'Scenario Inputs'!$C$27)*(1-'Scenario Inputs'!$C$29)</x:f>
        <x:v>34.776048505287875</x:v>
      </x:c>
      <x:c r="T27" s="58" t="n">
        <x:f>T12*(1-'Scenario Inputs'!$C$27)*(1-'Scenario Inputs'!$C$29)</x:f>
        <x:v>43.73085965843818</x:v>
      </x:c>
      <x:c r="U27" s="58" t="n">
        <x:f>U12*(1-'Scenario Inputs'!$C$27)*(1-'Scenario Inputs'!$C$29)</x:f>
        <x:v>45.46569206747687</x:v>
      </x:c>
      <x:c r="V27" s="58" t="n">
        <x:f>V12*(1-'Scenario Inputs'!$C$27)*(1-'Scenario Inputs'!$C$29)</x:f>
        <x:v>47.33931106923866</x:v>
      </x:c>
      <x:c r="W27" s="58" t="n">
        <x:f>W12*(1-'Scenario Inputs'!$C$27)*(1-'Scenario Inputs'!$C$29)</x:f>
        <x:v>49.36281959114139</x:v>
      </x:c>
      <x:c r="X27" s="58" t="n">
        <x:f>X12*(1-'Scenario Inputs'!$C$27)*(1-'Scenario Inputs'!$C$29)</x:f>
        <x:v>51.54820879479634</x:v>
      </x:c>
      <x:c r="Y27" s="58" t="n">
        <x:f>Y12*(1-'Scenario Inputs'!$C$27)*(1-'Scenario Inputs'!$C$29)</x:f>
        <x:v>53.90842913474368</x:v>
      </x:c>
      <x:c r="Z27" s="58" t="n">
        <x:f>Z12*(1-'Scenario Inputs'!$C$27)*(1-'Scenario Inputs'!$C$29)</x:f>
        <x:v>60.496516150045935</x:v>
      </x:c>
      <x:c r="AA27" s="58" t="n">
        <x:f>AA12*(1-'Scenario Inputs'!$C$27)*(1-'Scenario Inputs'!$C$29)</x:f>
        <x:v>62.523001333924725</x:v>
      </x:c>
      <x:c r="AB27" s="58" t="n">
        <x:f>AB12*(1-'Scenario Inputs'!$C$27)*(1-'Scenario Inputs'!$C$29)</x:f>
        <x:v>64.67107562883625</x:v>
      </x:c>
      <x:c r="AC27" s="58" t="n">
        <x:f>AC12*(1-'Scenario Inputs'!$C$27)*(1-'Scenario Inputs'!$C$29)</x:f>
        <x:v>66.94803438144245</x:v>
      </x:c>
      <x:c r="AD27" s="58" t="n">
        <x:f>AD12*(1-'Scenario Inputs'!$C$27)*(1-'Scenario Inputs'!$C$29)</x:f>
        <x:v>69.36161065920504</x:v>
      </x:c>
      <x:c r="AE27" s="58" t="n">
        <x:f>AE12*(1-'Scenario Inputs'!$C$27)*(1-'Scenario Inputs'!$C$29)</x:f>
        <x:v>71.92000151363338</x:v>
      </x:c>
      <x:c r="AF27" s="58" t="n">
        <x:f>AF12*(1-'Scenario Inputs'!$C$27)*(1-'Scenario Inputs'!$C$29)</x:f>
        <x:v>81.31233659067728</x:v>
      </x:c>
      <x:c r="AG27" s="58" t="n">
        <x:f>AG12*(1-'Scenario Inputs'!$C$27)*(1-'Scenario Inputs'!$C$29)</x:f>
        <x:v>84.18694455471295</x:v>
      </x:c>
      <x:c r="AH27" s="58" t="n">
        <x:f>AH12*(1-'Scenario Inputs'!$C$27)*(1-'Scenario Inputs'!$C$29)</x:f>
        <x:v>87.23402899659078</x:v>
      </x:c>
      <x:c r="AI27" s="58" t="n">
        <x:f>AI12*(1-'Scenario Inputs'!$C$27)*(1-'Scenario Inputs'!$C$29)</x:f>
        <x:v>90.46393850498127</x:v>
      </x:c>
      <x:c r="AJ27" s="58" t="n">
        <x:f>AJ12*(1-'Scenario Inputs'!$C$27)*(1-'Scenario Inputs'!$C$29)</x:f>
        <x:v>93.88764258387519</x:v>
      </x:c>
      <x:c r="AK27" s="58" t="n">
        <x:f>AK12*(1-'Scenario Inputs'!$C$27)*(1-'Scenario Inputs'!$C$29)</x:f>
        <x:v>97.51676890750275</x:v>
      </x:c>
    </x:row>
    <x:row r="28" ht="18" customHeight="1">
      <x:c r="A28" s="4" t="str">
        <x:v>First monthly renewals after refunds</x:v>
      </x:c>
      <x:c r="B28" s="58" t="n">
        <x:f>0*'Scenario Inputs'!$C$32*(1-'Scenario Inputs'!$C$29)</x:f>
        <x:v>0</x:v>
      </x:c>
      <x:c r="C28" s="58" t="n">
        <x:f>B27*'Scenario Inputs'!$C$32*(1-'Scenario Inputs'!$C$29)</x:f>
        <x:v>3.2461049999999996</x:v>
      </x:c>
      <x:c r="D28" s="58" t="n">
        <x:f>C27*'Scenario Inputs'!$C$32*(1-'Scenario Inputs'!$C$29)</x:f>
        <x:v>3.500148</x:v>
      </x:c>
      <x:c r="E28" s="58" t="n">
        <x:f>D27*'Scenario Inputs'!$C$32*(1-'Scenario Inputs'!$C$29)</x:f>
        <x:v>3.784676159999999</x:v>
      </x:c>
      <x:c r="F28" s="58" t="n">
        <x:f>E27*'Scenario Inputs'!$C$32*(1-'Scenario Inputs'!$C$29)</x:f>
        <x:v>5.2324276992</x:v>
      </x:c>
      <x:c r="G28" s="58" t="n">
        <x:f>F27*'Scenario Inputs'!$C$32*(1-'Scenario Inputs'!$C$29)</x:f>
        <x:v>5.589339823104</x:v>
      </x:c>
      <x:c r="H28" s="58" t="n">
        <x:f>G27*'Scenario Inputs'!$C$32*(1-'Scenario Inputs'!$C$29)</x:f>
        <x:v>5.98908140187648</x:v>
      </x:c>
      <x:c r="I28" s="58" t="n">
        <x:f>H27*'Scenario Inputs'!$C$32*(1-'Scenario Inputs'!$C$29)</x:f>
        <x:v>8.88313197010166</x:v>
      </x:c>
      <x:c r="J28" s="58" t="n">
        <x:f>I27*'Scenario Inputs'!$C$32*(1-'Scenario Inputs'!$C$29)</x:f>
        <x:v>9.384567806513857</x:v>
      </x:c>
      <x:c r="K28" s="58" t="n">
        <x:f>J27*'Scenario Inputs'!$C$32*(1-'Scenario Inputs'!$C$29)</x:f>
        <x:v>9.94617594329552</x:v>
      </x:c>
      <x:c r="L28" s="58" t="n">
        <x:f>K27*'Scenario Inputs'!$C$32*(1-'Scenario Inputs'!$C$29)</x:f>
        <x:v>10.575177056490984</x:v>
      </x:c>
      <x:c r="M28" s="58" t="n">
        <x:f>L27*'Scenario Inputs'!$C$32*(1-'Scenario Inputs'!$C$29)</x:f>
        <x:v>11.279658303269903</x:v>
      </x:c>
      <x:c r="N28" s="58" t="n">
        <x:f>M27*'Scenario Inputs'!$C$32*(1-'Scenario Inputs'!$C$29)</x:f>
        <x:v>12.068677299662292</x:v>
      </x:c>
      <x:c r="O28" s="58" t="n">
        <x:f>N27*'Scenario Inputs'!$C$32*(1-'Scenario Inputs'!$C$29)</x:f>
        <x:v>16.50694784727164</x:v>
      </x:c>
      <x:c r="P28" s="58" t="n">
        <x:f>O27*'Scenario Inputs'!$C$32*(1-'Scenario Inputs'!$C$29)</x:f>
        <x:v>17.143212765962463</x:v>
      </x:c>
      <x:c r="Q28" s="58" t="n">
        <x:f>P27*'Scenario Inputs'!$C$32*(1-'Scenario Inputs'!$C$29)</x:f>
        <x:v>17.83037887814855</x:v>
      </x:c>
      <x:c r="R28" s="58" t="n">
        <x:f>Q27*'Scenario Inputs'!$C$32*(1-'Scenario Inputs'!$C$29)</x:f>
        <x:v>18.572518279309524</x:v>
      </x:c>
      <x:c r="S28" s="58" t="n">
        <x:f>R27*'Scenario Inputs'!$C$32*(1-'Scenario Inputs'!$C$29)</x:f>
        <x:v>19.374028832563383</x:v>
      </x:c>
      <x:c r="T28" s="58" t="n">
        <x:f>S27*'Scenario Inputs'!$C$32*(1-'Scenario Inputs'!$C$29)</x:f>
        <x:v>20.239660230077543</x:v>
      </x:c>
      <x:c r="U28" s="58" t="n">
        <x:f>T27*'Scenario Inputs'!$C$32*(1-'Scenario Inputs'!$C$29)</x:f>
        <x:v>25.451360321211016</x:v>
      </x:c>
      <x:c r="V28" s="58" t="n">
        <x:f>U27*'Scenario Inputs'!$C$32*(1-'Scenario Inputs'!$C$29)</x:f>
        <x:v>26.461032783271538</x:v>
      </x:c>
      <x:c r="W28" s="58" t="n">
        <x:f>V27*'Scenario Inputs'!$C$32*(1-'Scenario Inputs'!$C$29)</x:f>
        <x:v>27.5514790422969</x:v>
      </x:c>
      <x:c r="X28" s="58" t="n">
        <x:f>W27*'Scenario Inputs'!$C$32*(1-'Scenario Inputs'!$C$29)</x:f>
        <x:v>28.729161002044286</x:v>
      </x:c>
      <x:c r="Y28" s="58" t="n">
        <x:f>X27*'Scenario Inputs'!$C$32*(1-'Scenario Inputs'!$C$29)</x:f>
        <x:v>30.001057518571468</x:v>
      </x:c>
      <x:c r="Z28" s="58" t="n">
        <x:f>Y27*'Scenario Inputs'!$C$32*(1-'Scenario Inputs'!$C$29)</x:f>
        <x:v>31.37470575642082</x:v>
      </x:c>
      <x:c r="AA28" s="58" t="n">
        <x:f>Z27*'Scenario Inputs'!$C$32*(1-'Scenario Inputs'!$C$29)</x:f>
        <x:v>35.20897239932673</x:v>
      </x:c>
      <x:c r="AB28" s="58" t="n">
        <x:f>AA27*'Scenario Inputs'!$C$32*(1-'Scenario Inputs'!$C$29)</x:f>
        <x:v>36.38838677634419</x:v>
      </x:c>
      <x:c r="AC28" s="58" t="n">
        <x:f>AB27*'Scenario Inputs'!$C$32*(1-'Scenario Inputs'!$C$29)</x:f>
        <x:v>37.6385660159827</x:v>
      </x:c>
      <x:c r="AD28" s="58" t="n">
        <x:f>AC27*'Scenario Inputs'!$C$32*(1-'Scenario Inputs'!$C$29)</x:f>
        <x:v>38.9637560099995</x:v>
      </x:c>
      <x:c r="AE28" s="58" t="n">
        <x:f>AD27*'Scenario Inputs'!$C$32*(1-'Scenario Inputs'!$C$29)</x:f>
        <x:v>40.36845740365733</x:v>
      </x:c>
      <x:c r="AF28" s="58" t="n">
        <x:f>AE27*'Scenario Inputs'!$C$32*(1-'Scenario Inputs'!$C$29)</x:f>
        <x:v>41.857440880934625</x:v>
      </x:c>
      <x:c r="AG28" s="58" t="n">
        <x:f>AF27*'Scenario Inputs'!$C$32*(1-'Scenario Inputs'!$C$29)</x:f>
        <x:v>47.32377989577417</x:v>
      </x:c>
      <x:c r="AH28" s="58" t="n">
        <x:f>AG27*'Scenario Inputs'!$C$32*(1-'Scenario Inputs'!$C$29)</x:f>
        <x:v>48.99680173084294</x:v>
      </x:c>
      <x:c r="AI28" s="58" t="n">
        <x:f>AH27*'Scenario Inputs'!$C$32*(1-'Scenario Inputs'!$C$29)</x:f>
        <x:v>50.77020487601583</x:v>
      </x:c>
      <x:c r="AJ28" s="58" t="n">
        <x:f>AI27*'Scenario Inputs'!$C$32*(1-'Scenario Inputs'!$C$29)</x:f>
        <x:v>52.650012209899096</x:v>
      </x:c>
      <x:c r="AK28" s="58" t="n">
        <x:f>AJ27*'Scenario Inputs'!$C$32*(1-'Scenario Inputs'!$C$29)</x:f>
        <x:v>54.64260798381536</x:v>
      </x:c>
    </x:row>
    <x:row r="29" ht="18" customHeight="1">
      <x:c r="A29" s="4" t="str">
        <x:v>Second monthly renewals after refunds</x:v>
      </x:c>
      <x:c r="B29" s="58" t="n">
        <x:f>0*'Scenario Inputs'!$C$33*(1-'Scenario Inputs'!$C$29)</x:f>
        <x:v>0</x:v>
      </x:c>
      <x:c r="C29" s="58" t="n">
        <x:f>B28*'Scenario Inputs'!$C$33*(1-'Scenario Inputs'!$C$29)</x:f>
        <x:v>0</x:v>
      </x:c>
      <x:c r="D29" s="58" t="n">
        <x:f>C28*'Scenario Inputs'!$C$33*(1-'Scenario Inputs'!$C$29)</x:f>
        <x:v>2.3615413874999995</x:v>
      </x:c>
      <x:c r="E29" s="58" t="n">
        <x:f>D28*'Scenario Inputs'!$C$33*(1-'Scenario Inputs'!$C$29)</x:f>
        <x:v>2.54635767</x:v>
      </x:c>
      <x:c r="F29" s="58" t="n">
        <x:f>E28*'Scenario Inputs'!$C$33*(1-'Scenario Inputs'!$C$29)</x:f>
        <x:v>2.753351906399999</x:v>
      </x:c>
      <x:c r="G29" s="58" t="n">
        <x:f>F28*'Scenario Inputs'!$C$33*(1-'Scenario Inputs'!$C$29)</x:f>
        <x:v>3.806591151168</x:v>
      </x:c>
      <x:c r="H29" s="58" t="n">
        <x:f>G28*'Scenario Inputs'!$C$33*(1-'Scenario Inputs'!$C$29)</x:f>
        <x:v>4.06624472130816</x:v>
      </x:c>
      <x:c r="I29" s="58" t="n">
        <x:f>H28*'Scenario Inputs'!$C$33*(1-'Scenario Inputs'!$C$29)</x:f>
        <x:v>4.357056719865139</x:v>
      </x:c>
      <x:c r="J29" s="58" t="n">
        <x:f>I28*'Scenario Inputs'!$C$33*(1-'Scenario Inputs'!$C$29)</x:f>
        <x:v>6.4624785082489575</x:v>
      </x:c>
      <x:c r="K29" s="58" t="n">
        <x:f>J28*'Scenario Inputs'!$C$33*(1-'Scenario Inputs'!$C$29)</x:f>
        <x:v>6.8272730792388305</x:v>
      </x:c>
      <x:c r="L29" s="58" t="n">
        <x:f>K28*'Scenario Inputs'!$C$33*(1-'Scenario Inputs'!$C$29)</x:f>
        <x:v>7.23584299874749</x:v>
      </x:c>
      <x:c r="M29" s="58" t="n">
        <x:f>L28*'Scenario Inputs'!$C$33*(1-'Scenario Inputs'!$C$29)</x:f>
        <x:v>7.69344130859719</x:v>
      </x:c>
      <x:c r="N29" s="58" t="n">
        <x:f>M28*'Scenario Inputs'!$C$33*(1-'Scenario Inputs'!$C$29)</x:f>
        <x:v>8.205951415628853</x:v>
      </x:c>
      <x:c r="O29" s="58" t="n">
        <x:f>N28*'Scenario Inputs'!$C$33*(1-'Scenario Inputs'!$C$29)</x:f>
        <x:v>8.779962735504318</x:v>
      </x:c>
      <x:c r="P29" s="58" t="n">
        <x:f>O28*'Scenario Inputs'!$C$33*(1-'Scenario Inputs'!$C$29)</x:f>
        <x:v>12.008804558890118</x:v>
      </x:c>
      <x:c r="Q29" s="58" t="n">
        <x:f>P28*'Scenario Inputs'!$C$33*(1-'Scenario Inputs'!$C$29)</x:f>
        <x:v>12.471687287237692</x:v>
      </x:c>
      <x:c r="R29" s="58" t="n">
        <x:f>Q28*'Scenario Inputs'!$C$33*(1-'Scenario Inputs'!$C$29)</x:f>
        <x:v>12.97160063385307</x:v>
      </x:c>
      <x:c r="S29" s="58" t="n">
        <x:f>R28*'Scenario Inputs'!$C$33*(1-'Scenario Inputs'!$C$29)</x:f>
        <x:v>13.511507048197679</x:v>
      </x:c>
      <x:c r="T29" s="58" t="n">
        <x:f>S28*'Scenario Inputs'!$C$33*(1-'Scenario Inputs'!$C$29)</x:f>
        <x:v>14.094605975689861</x:v>
      </x:c>
      <x:c r="U29" s="58" t="n">
        <x:f>T28*'Scenario Inputs'!$C$33*(1-'Scenario Inputs'!$C$29)</x:f>
        <x:v>14.724352817381412</x:v>
      </x:c>
      <x:c r="V29" s="58" t="n">
        <x:f>U28*'Scenario Inputs'!$C$33*(1-'Scenario Inputs'!$C$29)</x:f>
        <x:v>18.515864633681016</x:v>
      </x:c>
      <x:c r="W29" s="58" t="n">
        <x:f>V28*'Scenario Inputs'!$C$33*(1-'Scenario Inputs'!$C$29)</x:f>
        <x:v>19.250401349830042</x:v>
      </x:c>
      <x:c r="X29" s="58" t="n">
        <x:f>W28*'Scenario Inputs'!$C$33*(1-'Scenario Inputs'!$C$29)</x:f>
        <x:v>20.043701003270993</x:v>
      </x:c>
      <x:c r="Y29" s="58" t="n">
        <x:f>X28*'Scenario Inputs'!$C$33*(1-'Scenario Inputs'!$C$29)</x:f>
        <x:v>20.900464628987216</x:v>
      </x:c>
      <x:c r="Z29" s="58" t="n">
        <x:f>Y28*'Scenario Inputs'!$C$33*(1-'Scenario Inputs'!$C$29)</x:f>
        <x:v>21.82576934476074</x:v>
      </x:c>
      <x:c r="AA29" s="58" t="n">
        <x:f>Z28*'Scenario Inputs'!$C$33*(1-'Scenario Inputs'!$C$29)</x:f>
        <x:v>22.825098437796147</x:v>
      </x:c>
      <x:c r="AB29" s="58" t="n">
        <x:f>AA28*'Scenario Inputs'!$C$33*(1-'Scenario Inputs'!$C$29)</x:f>
        <x:v>25.614527420510196</x:v>
      </x:c>
      <x:c r="AC29" s="58" t="n">
        <x:f>AB28*'Scenario Inputs'!$C$33*(1-'Scenario Inputs'!$C$29)</x:f>
        <x:v>26.4725513797904</x:v>
      </x:c>
      <x:c r="AD29" s="58" t="n">
        <x:f>AC28*'Scenario Inputs'!$C$33*(1-'Scenario Inputs'!$C$29)</x:f>
        <x:v>27.38205677662741</x:v>
      </x:c>
      <x:c r="AE29" s="58" t="n">
        <x:f>AD28*'Scenario Inputs'!$C$33*(1-'Scenario Inputs'!$C$29)</x:f>
        <x:v>28.346132497274635</x:v>
      </x:c>
      <x:c r="AF29" s="58" t="n">
        <x:f>AE28*'Scenario Inputs'!$C$33*(1-'Scenario Inputs'!$C$29)</x:f>
        <x:v>29.36805276116071</x:v>
      </x:c>
      <x:c r="AG29" s="58" t="n">
        <x:f>AF28*'Scenario Inputs'!$C$33*(1-'Scenario Inputs'!$C$29)</x:f>
        <x:v>30.451288240879936</x:v>
      </x:c>
      <x:c r="AH29" s="58" t="n">
        <x:f>AG28*'Scenario Inputs'!$C$33*(1-'Scenario Inputs'!$C$29)</x:f>
        <x:v>34.428049874175706</x:v>
      </x:c>
      <x:c r="AI29" s="58" t="n">
        <x:f>AH28*'Scenario Inputs'!$C$33*(1-'Scenario Inputs'!$C$29)</x:f>
        <x:v>35.64517325918823</x:v>
      </x:c>
      <x:c r="AJ29" s="58" t="n">
        <x:f>AI28*'Scenario Inputs'!$C$33*(1-'Scenario Inputs'!$C$29)</x:f>
        <x:v>36.93532404730151</x:v>
      </x:c>
      <x:c r="AK29" s="58" t="n">
        <x:f>AJ28*'Scenario Inputs'!$C$33*(1-'Scenario Inputs'!$C$29)</x:f>
        <x:v>38.302883882701586</x:v>
      </x:c>
    </x:row>
    <x:row r="30" ht="18" customHeight="1">
      <x:c r="A30" s="4" t="str">
        <x:v>Later monthly renewals after refunds</x:v>
      </x:c>
      <x:c r="B30" s="58" t="n">
        <x:f>(0+0)*'Scenario Inputs'!$C$34*(1-'Scenario Inputs'!$C$29)</x:f>
        <x:v>0</x:v>
      </x:c>
      <x:c r="C30" s="58" t="n">
        <x:f>(B29+B30)*'Scenario Inputs'!$C$34*(1-'Scenario Inputs'!$C$29)</x:f>
        <x:v>0</x:v>
      </x:c>
      <x:c r="D30" s="58" t="n">
        <x:f>(C29+C30)*'Scenario Inputs'!$C$34*(1-'Scenario Inputs'!$C$29)</x:f>
        <x:v>0</x:v>
      </x:c>
      <x:c r="E30" s="58" t="n">
        <x:f>(D29+D30)*'Scenario Inputs'!$C$34*(1-'Scenario Inputs'!$C$29)</x:f>
        <x:v>2.0158117283699997</x:v>
      </x:c>
      <x:c r="F30" s="58" t="n">
        <x:f>(E29+E30)*'Scenario Inputs'!$C$34*(1-'Scenario Inputs'!$C$29)</x:f>
        <x:v>3.8942677984486314</x:v>
      </x:c>
      <x:c r="G30" s="58" t="n">
        <x:f>(F29+F30)*'Scenario Inputs'!$C$34*(1-'Scenario Inputs'!$C$29)</x:f>
        <x:v>5.67440818005879</x:v>
      </x:c>
      <x:c r="H30" s="58" t="n">
        <x:f>(G29+G30)*'Scenario Inputs'!$C$34*(1-'Scenario Inputs'!$C$29)</x:f>
        <x:v>8.092981029135188</x:v>
      </x:c>
      <x:c r="I30" s="58" t="n">
        <x:f>(H29+H30)*'Scenario Inputs'!$C$34*(1-'Scenario Inputs'!$C$29)</x:f>
        <x:v>10.379115100578442</x:v>
      </x:c>
      <x:c r="J30" s="58" t="n">
        <x:f>(I29+I30)*'Scenario Inputs'!$C$34*(1-'Scenario Inputs'!$C$29)</x:f>
        <x:v>12.57879626593064</x:v>
      </x:c>
      <x:c r="K30" s="58" t="n">
        <x:f>(J29+J30)*'Scenario Inputs'!$C$34*(1-'Scenario Inputs'!$C$29)</x:f>
        <x:v>16.253632147239706</x:v>
      </x:c>
      <x:c r="L30" s="58" t="n">
        <x:f>(K29+K30)*'Scenario Inputs'!$C$34*(1-'Scenario Inputs'!$C$29)</x:f>
        <x:v>19.70186070132208</x:v>
      </x:c>
      <x:c r="M30" s="58" t="n">
        <x:f>(L29+L30)*'Scenario Inputs'!$C$34*(1-'Scenario Inputs'!$C$29)</x:f>
        <x:v>22.994023878379384</x:v>
      </x:c>
      <x:c r="N30" s="58" t="n">
        <x:f>(M29+M30)*'Scenario Inputs'!$C$34*(1-'Scenario Inputs'!$C$29)</x:f>
        <x:v>26.194820283603203</x:v>
      </x:c>
      <x:c r="O30" s="58" t="n">
        <x:f>(N29+N30)*'Scenario Inputs'!$C$34*(1-'Scenario Inputs'!$C$29)</x:f>
        <x:v>29.36449872246448</x:v>
      </x:c>
      <x:c r="P30" s="58" t="n">
        <x:f>(O29+O30)*'Scenario Inputs'!$C$34*(1-'Scenario Inputs'!$C$29)</x:f>
        <x:v>32.560112300522164</x:v>
      </x:c>
      <x:c r="Q30" s="58" t="n">
        <x:f>(P29+P30)*'Scenario Inputs'!$C$34*(1-'Scenario Inputs'!$C$29)</x:f>
        <x:v>38.04402743119432</x:v>
      </x:c>
      <x:c r="R30" s="58" t="n">
        <x:f>(Q29+Q30)*'Scenario Inputs'!$C$34*(1-'Scenario Inputs'!$C$29)</x:f>
        <x:v>43.120214083653565</x:v>
      </x:c>
      <x:c r="S30" s="58" t="n">
        <x:f>(R29+R30)*'Scenario Inputs'!$C$34*(1-'Scenario Inputs'!$C$29)</x:f>
        <x:v>47.87997304286366</x:v>
      </x:c>
      <x:c r="T30" s="58" t="n">
        <x:f>(S29+S30)*'Scenario Inputs'!$C$34*(1-'Scenario Inputs'!$C$29)</x:f>
        <x:v>52.40376740572996</x:v>
      </x:c>
      <x:c r="U30" s="58" t="n">
        <x:f>(T29+T30)*'Scenario Inputs'!$C$34*(1-'Scenario Inputs'!$C$29)</x:f>
        <x:v>56.76301151837996</x:v>
      </x:c>
      <x:c r="V30" s="58" t="n">
        <x:f>(U29+U30)*'Scenario Inputs'!$C$34*(1-'Scenario Inputs'!$C$29)</x:f>
        <x:v>61.0216141970059</x:v>
      </x:c>
      <x:c r="W30" s="58" t="n">
        <x:f>(V29+V30)*'Scenario Inputs'!$C$34*(1-'Scenario Inputs'!$C$29)</x:f>
        <x:v>67.89319192987435</x:v>
      </x:c>
      <x:c r="X30" s="58" t="n">
        <x:f>(W29+W30)*'Scenario Inputs'!$C$34*(1-'Scenario Inputs'!$C$29)</x:f>
        <x:v>74.38577122355566</x:v>
      </x:c>
      <x:c r="Y30" s="58" t="n">
        <x:f>(X29+X30)*'Scenario Inputs'!$C$34*(1-'Scenario Inputs'!$C$29)</x:f>
        <x:v>80.60499749281924</x:v>
      </x:c>
      <x:c r="Z30" s="58" t="n">
        <x:f>(Y29+Y30)*'Scenario Inputs'!$C$34*(1-'Scenario Inputs'!$C$29)</x:f>
        <x:v>86.645062467174</x:v>
      </x:c>
      <x:c r="AA30" s="58" t="n">
        <x:f>(Z29+Z30)*'Scenario Inputs'!$C$34*(1-'Scenario Inputs'!$C$29)</x:f>
        <x:v>92.5907020346675</x:v>
      </x:c>
      <x:c r="AB30" s="58" t="n">
        <x:f>(AA29+AA30)*'Scenario Inputs'!$C$34*(1-'Scenario Inputs'!$C$29)</x:f>
        <x:v>98.51892728329496</x:v>
      </x:c>
      <x:c r="AC30" s="58" t="n">
        <x:f>(AB29+AB30)*'Scenario Inputs'!$C$34*(1-'Scenario Inputs'!$C$29)</x:f>
        <x:v>105.96031693516808</x:v>
      </x:c>
      <x:c r="AD30" s="58" t="n">
        <x:f>(AC29+AC30)*'Scenario Inputs'!$C$34*(1-'Scenario Inputs'!$C$29)</x:f>
        <x:v>113.04469639364856</x:v>
      </x:c>
      <x:c r="AE30" s="58" t="n">
        <x:f>(AD29+AD30)*'Scenario Inputs'!$C$34*(1-'Scenario Inputs'!$C$29)</x:f>
        <x:v>119.86827650614758</x:v>
      </x:c>
      <x:c r="AF30" s="58" t="n">
        <x:f>(AE29+AE30)*'Scenario Inputs'!$C$34*(1-'Scenario Inputs'!$C$29)</x:f>
        <x:v>126.51581952532119</x:v>
      </x:c>
      <x:c r="AG30" s="58" t="n">
        <x:f>(AF29+AF30)*'Scenario Inputs'!$C$34*(1-'Scenario Inputs'!$C$29)</x:f>
        <x:v>133.06247338374095</x:v>
      </x:c>
      <x:c r="AH30" s="58" t="n">
        <x:f>(AG29+AG30)*'Scenario Inputs'!$C$34*(1-'Scenario Inputs'!$C$29)</x:f>
        <x:v>139.5753469227764</x:v>
      </x:c>
      <x:c r="AI30" s="58" t="n">
        <x:f>(AH29+AH30)*'Scenario Inputs'!$C$34*(1-'Scenario Inputs'!$C$29)</x:f>
        <x:v>148.5292995058783</x:v>
      </x:c>
      <x:c r="AJ30" s="58" t="n">
        <x:f>(AI29+AI30)*'Scenario Inputs'!$C$34*(1-'Scenario Inputs'!$C$29)</x:f>
        <x:v>157.21132995226077</x:v>
      </x:c>
      <x:c r="AK30" s="58" t="n">
        <x:f>(AJ29+AJ30)*'Scenario Inputs'!$C$34*(1-'Scenario Inputs'!$C$29)</x:f>
        <x:v>165.72358385402637</x:v>
      </x:c>
    </x:row>
    <x:row r="31" ht="18" customHeight="1">
      <x:c r="A31" s="74" t="str">
        <x:v>ACTIVE MONTHLY SUBSCRIBERS</x:v>
      </x:c>
      <x:c r="B31" s="75" t="n">
        <x:f>SUM(B27:B30)</x:f>
        <x:v>5.5775</x:v>
      </x:c>
      <x:c r="C31" s="75" t="n">
        <x:f>SUM(C27:C30)</x:f>
        <x:v>9.260105</x:v>
      </x:c>
      <x:c r="D31" s="75" t="n">
        <x:f>SUM(D27:D30)</x:f>
        <x:v>12.364569387499998</x:v>
      </x:c>
      <x:c r="E31" s="75" t="n">
        <x:f>SUM(E27:E30)</x:f>
        <x:v>17.337271158369997</x:v>
      </x:c>
      <x:c r="F31" s="75" t="n">
        <x:f>SUM(F27:F30)</x:f>
        <x:v>21.48372407604863</x:v>
      </x:c>
      <x:c r="G31" s="75" t="n">
        <x:f>SUM(G27:G30)</x:f>
        <x:v>25.36085702697079</x:v>
      </x:c>
      <x:c r="H31" s="75" t="n">
        <x:f>SUM(H27:H30)</x:f>
        <x:v>33.411420503009964</x:v>
      </x:c>
      <x:c r="I31" s="75" t="n">
        <x:f>SUM(I27:I30)</x:f>
        <x:v>39.74399074331819</x:v>
      </x:c>
      <x:c r="J31" s="75" t="n">
        <x:f>SUM(J27:J30)</x:f>
        <x:v>45.515491967799164</x:v>
      </x:c>
      <x:c r="K31" s="75" t="n">
        <x:f>SUM(K27:K30)</x:f>
        <x:v>51.19748848333245</x:v>
      </x:c>
      <x:c r="L31" s="75" t="n">
        <x:f>SUM(L27:L30)</x:f>
        <x:v>56.89373694774595</x:v>
      </x:c>
      <x:c r="M31" s="75" t="n">
        <x:f>SUM(M27:M30)</x:f>
        <x:v>62.70368242437412</x:v>
      </x:c>
      <x:c r="N31" s="75" t="n">
        <x:f>SUM(N27:N30)</x:f>
        <x:v>74.83190234472191</x:v>
      </x:c>
      <x:c r="O31" s="75" t="n">
        <x:f>SUM(O27:O30)</x:f>
        <x:v>84.10710134297663</x:v>
      </x:c>
      <x:c r="P31" s="75" t="n">
        <x:f>SUM(P27:P30)</x:f>
        <x:v>92.34851945037227</x:v>
      </x:c>
      <x:c r="Q31" s="75" t="n">
        <x:f>SUM(Q27:Q30)</x:f>
        <x:v>100.25763703182031</x:v>
      </x:c>
      <x:c r="R31" s="75" t="n">
        <x:f>SUM(R27:R30)</x:f>
        <x:v>107.9530423311175</x:v>
      </x:c>
      <x:c r="S31" s="75" t="n">
        <x:f>SUM(S27:S30)</x:f>
        <x:v>115.5415574289126</x:v>
      </x:c>
      <x:c r="T31" s="75" t="n">
        <x:f>SUM(T27:T30)</x:f>
        <x:v>130.46889326993553</x:v>
      </x:c>
      <x:c r="U31" s="75" t="n">
        <x:f>SUM(U27:U30)</x:f>
        <x:v>142.40441672444928</x:v>
      </x:c>
      <x:c r="V31" s="75" t="n">
        <x:f>SUM(V27:V30)</x:f>
        <x:v>153.33782268319712</x:v>
      </x:c>
      <x:c r="W31" s="75" t="n">
        <x:f>SUM(W27:W30)</x:f>
        <x:v>164.05789191314267</x:v>
      </x:c>
      <x:c r="X31" s="75" t="n">
        <x:f>SUM(X27:X30)</x:f>
        <x:v>174.70684202366726</x:v>
      </x:c>
      <x:c r="Y31" s="75" t="n">
        <x:f>SUM(Y27:Y30)</x:f>
        <x:v>185.41494877512162</x:v>
      </x:c>
      <x:c r="Z31" s="75" t="n">
        <x:f>SUM(Z27:Z30)</x:f>
        <x:v>200.3420537184015</x:v>
      </x:c>
      <x:c r="AA31" s="75" t="n">
        <x:f>SUM(AA27:AA30)</x:f>
        <x:v>213.1477742057151</x:v>
      </x:c>
      <x:c r="AB31" s="75" t="n">
        <x:f>SUM(AB27:AB30)</x:f>
        <x:v>225.1929171089856</x:v>
      </x:c>
      <x:c r="AC31" s="75" t="n">
        <x:f>SUM(AC27:AC30)</x:f>
        <x:v>237.01946871238363</x:v>
      </x:c>
      <x:c r="AD31" s="75" t="n">
        <x:f>SUM(AD27:AD30)</x:f>
        <x:v>248.7521198394805</x:v>
      </x:c>
      <x:c r="AE31" s="75" t="n">
        <x:f>SUM(AE27:AE30)</x:f>
        <x:v>260.5028679207129</x:v>
      </x:c>
      <x:c r="AF31" s="75" t="n">
        <x:f>SUM(AF27:AF30)</x:f>
        <x:v>279.0536497580938</x:v>
      </x:c>
      <x:c r="AG31" s="75" t="n">
        <x:f>SUM(AG27:AG30)</x:f>
        <x:v>295.02448607510803</x:v>
      </x:c>
      <x:c r="AH31" s="75" t="n">
        <x:f>SUM(AH27:AH30)</x:f>
        <x:v>310.2342275243858</x:v>
      </x:c>
      <x:c r="AI31" s="75" t="n">
        <x:f>SUM(AI27:AI30)</x:f>
        <x:v>325.40861614606365</x:v>
      </x:c>
      <x:c r="AJ31" s="75" t="n">
        <x:f>SUM(AJ27:AJ30)</x:f>
        <x:v>340.6843087933366</x:v>
      </x:c>
      <x:c r="AK31" s="75" t="n">
        <x:f>SUM(AK27:AK30)</x:f>
        <x:v>356.1858446280461</x:v>
      </x:c>
    </x:row>
    <x:row r="32" ht="18" customHeight="1">
      <x:c r="A32" s="4" t="str">
        <x:v>Monthly charge events before refunds</x:v>
      </x:c>
      <x:c r="B32" s="58" t="n">
        <x:f>B31/(1-'Scenario Inputs'!$C$29)</x:f>
        <x:v>5.75</x:v>
      </x:c>
      <x:c r="C32" s="58" t="n">
        <x:f>C31/(1-'Scenario Inputs'!$C$29)</x:f>
        <x:v>9.5465</x:v>
      </x:c>
      <x:c r="D32" s="58" t="n">
        <x:f>D31/(1-'Scenario Inputs'!$C$29)</x:f>
        <x:v>12.746978749999998</x:v>
      </x:c>
      <x:c r="E32" s="58" t="n">
        <x:f>E31/(1-'Scenario Inputs'!$C$29)</x:f>
        <x:v>17.873475421</x:v>
      </x:c>
      <x:c r="F32" s="58" t="n">
        <x:f>F31/(1-'Scenario Inputs'!$C$29)</x:f>
        <x:v>22.1481691505656</x:v>
      </x:c>
      <x:c r="G32" s="58" t="n">
        <x:f>G31/(1-'Scenario Inputs'!$C$29)</x:f>
        <x:v>26.145213429866796</x:v>
      </x:c>
      <x:c r="H32" s="58" t="n">
        <x:f>H31/(1-'Scenario Inputs'!$C$29)</x:f>
        <x:v>34.44476340516491</x:v>
      </x:c>
      <x:c r="I32" s="58" t="n">
        <x:f>I31/(1-'Scenario Inputs'!$C$29)</x:f>
        <x:v>40.97318633331773</x:v>
      </x:c>
      <x:c r="J32" s="58" t="n">
        <x:f>J31/(1-'Scenario Inputs'!$C$29)</x:f>
        <x:v>46.92318759566924</x:v>
      </x:c>
      <x:c r="K32" s="58" t="n">
        <x:f>K31/(1-'Scenario Inputs'!$C$29)</x:f>
        <x:v>52.78091596219841</x:v>
      </x:c>
      <x:c r="L32" s="58" t="n">
        <x:f>L31/(1-'Scenario Inputs'!$C$29)</x:f>
        <x:v>58.65333705953191</x:v>
      </x:c>
      <x:c r="M32" s="58" t="n">
        <x:f>M31/(1-'Scenario Inputs'!$C$29)</x:f>
        <x:v>64.64297157151971</x:v>
      </x:c>
      <x:c r="N32" s="58" t="n">
        <x:f>N31/(1-'Scenario Inputs'!$C$29)</x:f>
        <x:v>77.1462910770329</x:v>
      </x:c>
      <x:c r="O32" s="58" t="n">
        <x:f>O31/(1-'Scenario Inputs'!$C$29)</x:f>
        <x:v>86.70835189997591</x:v>
      </x:c>
      <x:c r="P32" s="58" t="n">
        <x:f>P31/(1-'Scenario Inputs'!$C$29)</x:f>
        <x:v>95.2046592271879</x:v>
      </x:c>
      <x:c r="Q32" s="58" t="n">
        <x:f>Q31/(1-'Scenario Inputs'!$C$29)</x:f>
        <x:v>103.35838869259825</x:v>
      </x:c>
      <x:c r="R32" s="58" t="n">
        <x:f>R31/(1-'Scenario Inputs'!$C$29)</x:f>
        <x:v>111.2917962176469</x:v>
      </x:c>
      <x:c r="S32" s="58" t="n">
        <x:f>S31/(1-'Scenario Inputs'!$C$29)</x:f>
        <x:v>119.11500765867278</x:v>
      </x:c>
      <x:c r="T32" s="58" t="n">
        <x:f>T31/(1-'Scenario Inputs'!$C$29)</x:f>
        <x:v>134.5040136803459</x:v>
      </x:c>
      <x:c r="U32" s="58" t="n">
        <x:f>U31/(1-'Scenario Inputs'!$C$29)</x:f>
        <x:v>146.80867703551473</x:v>
      </x:c>
      <x:c r="V32" s="58" t="n">
        <x:f>V31/(1-'Scenario Inputs'!$C$29)</x:f>
        <x:v>158.0802295703063</x:v>
      </x:c>
      <x:c r="W32" s="58" t="n">
        <x:f>W31/(1-'Scenario Inputs'!$C$29)</x:f>
        <x:v>169.1318473331368</x:v>
      </x:c>
      <x:c r="X32" s="58" t="n">
        <x:f>X31/(1-'Scenario Inputs'!$C$29)</x:f>
        <x:v>180.11014641615182</x:v>
      </x:c>
      <x:c r="Y32" s="58" t="n">
        <x:f>Y31/(1-'Scenario Inputs'!$C$29)</x:f>
        <x:v>191.1494317269295</x:v>
      </x:c>
      <x:c r="Z32" s="58" t="n">
        <x:f>Z31/(1-'Scenario Inputs'!$C$29)</x:f>
        <x:v>206.53819970969226</x:v>
      </x:c>
      <x:c r="AA32" s="58" t="n">
        <x:f>AA31/(1-'Scenario Inputs'!$C$29)</x:f>
        <x:v>219.73997340795373</x:v>
      </x:c>
      <x:c r="AB32" s="58" t="n">
        <x:f>AB31/(1-'Scenario Inputs'!$C$29)</x:f>
        <x:v>232.15764650410887</x:v>
      </x:c>
      <x:c r="AC32" s="58" t="n">
        <x:f>AC31/(1-'Scenario Inputs'!$C$29)</x:f>
        <x:v>244.3499677447254</x:v>
      </x:c>
      <x:c r="AD32" s="58" t="n">
        <x:f>AD31/(1-'Scenario Inputs'!$C$29)</x:f>
        <x:v>256.4454843705985</x:v>
      </x:c>
      <x:c r="AE32" s="58" t="n">
        <x:f>AE31/(1-'Scenario Inputs'!$C$29)</x:f>
        <x:v>268.5596576502195</x:v>
      </x:c>
      <x:c r="AF32" s="58" t="n">
        <x:f>AF31/(1-'Scenario Inputs'!$C$29)</x:f>
        <x:v>287.68417500834414</x:v>
      </x:c>
      <x:c r="AG32" s="58" t="n">
        <x:f>AG31/(1-'Scenario Inputs'!$C$29)</x:f>
        <x:v>304.1489547166062</x:v>
      </x:c>
      <x:c r="AH32" s="58" t="n">
        <x:f>AH31/(1-'Scenario Inputs'!$C$29)</x:f>
        <x:v>319.8291005406039</x:v>
      </x:c>
      <x:c r="AI32" s="58" t="n">
        <x:f>AI31/(1-'Scenario Inputs'!$C$29)</x:f>
        <x:v>335.47280015058107</x:v>
      </x:c>
      <x:c r="AJ32" s="58" t="n">
        <x:f>AJ31/(1-'Scenario Inputs'!$C$29)</x:f>
        <x:v>351.220936900347</x:v>
      </x:c>
      <x:c r="AK32" s="58" t="n">
        <x:f>AK31/(1-'Scenario Inputs'!$C$29)</x:f>
        <x:v>367.20190167839803</x:v>
      </x:c>
    </x:row>
    <x:row r="33" ht="18" customHeight="1">
      <x:c r="A33" s="4" t="str"/>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row>
    <x:row r="34" ht="18" customHeight="1">
      <x:c r="A34" s="74" t="str">
        <x:v>TOTAL ACTIVE PAID SUBSCRIBERS</x:v>
      </x:c>
      <x:c r="B34" s="75" t="n">
        <x:f>B24+B31</x:f>
        <x:v>22.31</x:v>
      </x:c>
      <x:c r="C34" s="75" t="n">
        <x:f>C24+C31</x:f>
        <x:v>44.034605</x:v>
      </x:c>
      <x:c r="D34" s="75" t="n">
        <x:f>D24+D31</x:f>
        <x:v>66.6477093875</x:v>
      </x:c>
      <x:c r="E34" s="75" t="n">
        <x:f>E24+E31</x:f>
        <x:v>98.59168795837</x:v>
      </x:c>
      <x:c r="F34" s="75" t="n">
        <x:f>F24+F31</x:f>
        <x:v>131.54917089204864</x:v>
      </x:c>
      <x:c r="G34" s="75" t="n">
        <x:f>G24+G31</x:f>
        <x:v>166.2978574608908</x:v>
      </x:c>
      <x:c r="H34" s="75" t="n">
        <x:f>H24+H31</x:f>
        <x:v>220.13776098900038</x:v>
      </x:c>
      <x:c r="I34" s="75" t="n">
        <x:f>I24+I31</x:f>
        <x:v>274.84439208762745</x:v>
      </x:c>
      <x:c r="J34" s="75" t="n">
        <x:f>J24+J31</x:f>
        <x:v>331.8848414734255</x:v>
      </x:c>
      <x:c r="K34" s="75" t="n">
        <x:f>K24+K31</x:f>
        <x:v>392.078059929634</x:v>
      </x:c>
      <x:c r="L34" s="75" t="n">
        <x:f>L24+L31</x:f>
        <x:v>455.9168769676037</x:v>
      </x:c>
      <x:c r="M34" s="75" t="n">
        <x:f>M24+M31</x:f>
        <x:v>523.9364992466149</x:v>
      </x:c>
      <x:c r="N34" s="75" t="n">
        <x:f>N24+N31</x:f>
        <x:v>609.2887367044453</x:v>
      </x:c>
      <x:c r="O34" s="75" t="n">
        <x:f>O24+O31</x:f>
        <x:v>694.1392338159086</x:v>
      </x:c>
      <x:c r="P34" s="75" t="n">
        <x:f>P24+P31</x:f>
        <x:v>780.4581956382967</x:v>
      </x:c>
      <x:c r="Q34" s="75" t="n">
        <x:f>Q24+Q31</x:f>
        <x:v>864.979308274264</x:v>
      </x:c>
      <x:c r="R34" s="75" t="n">
        <x:f>R24+R31</x:f>
        <x:v>952.1138212951212</x:v>
      </x:c>
      <x:c r="S34" s="75" t="n">
        <x:f>S24+S31</x:f>
        <x:v>1042.1425503936748</x:v>
      </x:c>
      <x:c r="T34" s="75" t="n">
        <x:f>T24+T31</x:f>
        <x:v>1155.7978231130942</x:v>
      </x:c>
      <x:c r="U34" s="75" t="n">
        <x:f>U24+U31</x:f>
        <x:v>1269.8332136214904</x:v>
      </x:c>
      <x:c r="V34" s="75" t="n">
        <x:f>V24+V31</x:f>
        <x:v>1386.4348685415803</x:v>
      </x:c>
      <x:c r="W34" s="75" t="n">
        <x:f>W24+W31</x:f>
        <x:v>1506.5949401890114</x:v>
      </x:c>
      <x:c r="X34" s="75" t="n">
        <x:f>X24+X31</x:f>
        <x:v>1630.6654355652736</x:v>
      </x:c>
      <x:c r="Y34" s="75" t="n">
        <x:f>Y24+Y31</x:f>
        <x:v>1758.9921688680697</x:v>
      </x:c>
      <x:c r="Z34" s="75" t="n">
        <x:f>Z24+Z31</x:f>
        <x:v>1892.8104220211621</x:v>
      </x:c>
      <x:c r="AA34" s="75" t="n">
        <x:f>AA24+AA31</x:f>
        <x:v>2028.0836609829848</x:v>
      </x:c>
      <x:c r="AB34" s="75" t="n">
        <x:f>AB24+AB31</x:f>
        <x:v>2166.3301024720345</x:v>
      </x:c>
      <x:c r="AC34" s="75" t="n">
        <x:f>AC24+AC31</x:f>
        <x:v>2307.4635130504894</x:v>
      </x:c>
      <x:c r="AD34" s="75" t="n">
        <x:f>AD24+AD31</x:f>
        <x:v>2452.5647708599254</x:v>
      </x:c>
      <x:c r="AE34" s="75" t="n">
        <x:f>AE24+AE31</x:f>
        <x:v>2601.9160086003476</x:v>
      </x:c>
      <x:c r="AF34" s="75" t="n">
        <x:f>AF24+AF31</x:f>
        <x:v>2765.1722901201833</x:v>
      </x:c>
      <x:c r="AG34" s="75" t="n">
        <x:f>AG24+AG31</x:f>
        <x:v>2930.431581751205</x:v>
      </x:c>
      <x:c r="AH34" s="75" t="n">
        <x:f>AH24+AH31</x:f>
        <x:v>3099.6928589296635</x:v>
      </x:c>
      <x:c r="AI34" s="75" t="n">
        <x:f>AI24+AI31</x:f>
        <x:v>3273.864365650648</x:v>
      </x:c>
      <x:c r="AJ34" s="75" t="n">
        <x:f>AJ24+AJ31</x:f>
        <x:v>3453.2670050453016</x:v>
      </x:c>
      <x:c r="AK34" s="75" t="n">
        <x:f>AK24+AK31</x:f>
        <x:v>3638.210561892481</x:v>
      </x:c>
    </x:row>
    <x:row r="35" ht="18" customHeight="1">
      <x:c r="A35" s="4" t="str">
        <x:v>Estimated active free users</x:v>
      </x:c>
      <x:c r="B35" s="58" t="n">
        <x:f>MAX('Commercial Inputs'!$B$27,B34*'Commercial Inputs'!$B$26)</x:f>
        <x:v>500</x:v>
      </x:c>
      <x:c r="C35" s="58" t="n">
        <x:f>MAX('Commercial Inputs'!$B$27,C34*'Commercial Inputs'!$B$26)</x:f>
        <x:v>880.6921</x:v>
      </x:c>
      <x:c r="D35" s="58" t="n">
        <x:f>MAX('Commercial Inputs'!$B$27,D34*'Commercial Inputs'!$B$26)</x:f>
        <x:v>1332.95418775</x:v>
      </x:c>
      <x:c r="E35" s="58" t="n">
        <x:f>MAX('Commercial Inputs'!$B$27,E34*'Commercial Inputs'!$B$26)</x:f>
        <x:v>1971.8337591674</x:v>
      </x:c>
      <x:c r="F35" s="58" t="n">
        <x:f>MAX('Commercial Inputs'!$B$27,F34*'Commercial Inputs'!$B$26)</x:f>
        <x:v>2630.983417840973</x:v>
      </x:c>
      <x:c r="G35" s="58" t="n">
        <x:f>MAX('Commercial Inputs'!$B$27,G34*'Commercial Inputs'!$B$26)</x:f>
        <x:v>3325.957149217816</x:v>
      </x:c>
      <x:c r="H35" s="58" t="n">
        <x:f>MAX('Commercial Inputs'!$B$27,H34*'Commercial Inputs'!$B$26)</x:f>
        <x:v>4402.755219780008</x:v>
      </x:c>
      <x:c r="I35" s="58" t="n">
        <x:f>MAX('Commercial Inputs'!$B$27,I34*'Commercial Inputs'!$B$26)</x:f>
        <x:v>5496.887841752549</x:v>
      </x:c>
      <x:c r="J35" s="58" t="n">
        <x:f>MAX('Commercial Inputs'!$B$27,J34*'Commercial Inputs'!$B$26)</x:f>
        <x:v>6637.69682946851</x:v>
      </x:c>
      <x:c r="K35" s="58" t="n">
        <x:f>MAX('Commercial Inputs'!$B$27,K34*'Commercial Inputs'!$B$26)</x:f>
        <x:v>7841.56119859268</x:v>
      </x:c>
      <x:c r="L35" s="58" t="n">
        <x:f>MAX('Commercial Inputs'!$B$27,L34*'Commercial Inputs'!$B$26)</x:f>
        <x:v>9118.337539352073</x:v>
      </x:c>
      <x:c r="M35" s="58" t="n">
        <x:f>MAX('Commercial Inputs'!$B$27,M34*'Commercial Inputs'!$B$26)</x:f>
        <x:v>10478.729984932297</x:v>
      </x:c>
      <x:c r="N35" s="58" t="n">
        <x:f>MAX('Commercial Inputs'!$B$27,N34*'Commercial Inputs'!$B$26)</x:f>
        <x:v>12185.774734088907</x:v>
      </x:c>
      <x:c r="O35" s="58" t="n">
        <x:f>MAX('Commercial Inputs'!$B$27,O34*'Commercial Inputs'!$B$26)</x:f>
        <x:v>13882.784676318171</x:v>
      </x:c>
      <x:c r="P35" s="58" t="n">
        <x:f>MAX('Commercial Inputs'!$B$27,P34*'Commercial Inputs'!$B$26)</x:f>
        <x:v>15609.163912765935</x:v>
      </x:c>
      <x:c r="Q35" s="58" t="n">
        <x:f>MAX('Commercial Inputs'!$B$27,Q34*'Commercial Inputs'!$B$26)</x:f>
        <x:v>17299.586165485278</x:v>
      </x:c>
      <x:c r="R35" s="58" t="n">
        <x:f>MAX('Commercial Inputs'!$B$27,R34*'Commercial Inputs'!$B$26)</x:f>
        <x:v>19042.276425902422</x:v>
      </x:c>
      <x:c r="S35" s="58" t="n">
        <x:f>MAX('Commercial Inputs'!$B$27,S34*'Commercial Inputs'!$B$26)</x:f>
        <x:v>20842.851007873498</x:v>
      </x:c>
      <x:c r="T35" s="58" t="n">
        <x:f>MAX('Commercial Inputs'!$B$27,T34*'Commercial Inputs'!$B$26)</x:f>
        <x:v>23115.956462261885</x:v>
      </x:c>
      <x:c r="U35" s="58" t="n">
        <x:f>MAX('Commercial Inputs'!$B$27,U34*'Commercial Inputs'!$B$26)</x:f>
        <x:v>25396.664272429807</x:v>
      </x:c>
      <x:c r="V35" s="58" t="n">
        <x:f>MAX('Commercial Inputs'!$B$27,V34*'Commercial Inputs'!$B$26)</x:f>
        <x:v>27728.697370831607</x:v>
      </x:c>
      <x:c r="W35" s="58" t="n">
        <x:f>MAX('Commercial Inputs'!$B$27,W34*'Commercial Inputs'!$B$26)</x:f>
        <x:v>30131.898803780226</x:v>
      </x:c>
      <x:c r="X35" s="58" t="n">
        <x:f>MAX('Commercial Inputs'!$B$27,X34*'Commercial Inputs'!$B$26)</x:f>
        <x:v>32613.30871130547</x:v>
      </x:c>
      <x:c r="Y35" s="58" t="n">
        <x:f>MAX('Commercial Inputs'!$B$27,Y34*'Commercial Inputs'!$B$26)</x:f>
        <x:v>35179.843377361394</x:v>
      </x:c>
      <x:c r="Z35" s="58" t="n">
        <x:f>MAX('Commercial Inputs'!$B$27,Z34*'Commercial Inputs'!$B$26)</x:f>
        <x:v>37856.208440423245</x:v>
      </x:c>
      <x:c r="AA35" s="58" t="n">
        <x:f>MAX('Commercial Inputs'!$B$27,AA34*'Commercial Inputs'!$B$26)</x:f>
        <x:v>40561.6732196597</x:v>
      </x:c>
      <x:c r="AB35" s="58" t="n">
        <x:f>MAX('Commercial Inputs'!$B$27,AB34*'Commercial Inputs'!$B$26)</x:f>
        <x:v>43326.60204944069</x:v>
      </x:c>
      <x:c r="AC35" s="58" t="n">
        <x:f>MAX('Commercial Inputs'!$B$27,AC34*'Commercial Inputs'!$B$26)</x:f>
        <x:v>46149.27026100979</x:v>
      </x:c>
      <x:c r="AD35" s="58" t="n">
        <x:f>MAX('Commercial Inputs'!$B$27,AD34*'Commercial Inputs'!$B$26)</x:f>
        <x:v>49051.295417198504</x:v>
      </x:c>
      <x:c r="AE35" s="58" t="n">
        <x:f>MAX('Commercial Inputs'!$B$27,AE34*'Commercial Inputs'!$B$26)</x:f>
        <x:v>52038.32017200695</x:v>
      </x:c>
      <x:c r="AF35" s="58" t="n">
        <x:f>MAX('Commercial Inputs'!$B$27,AF34*'Commercial Inputs'!$B$26)</x:f>
        <x:v>55303.445802403665</x:v>
      </x:c>
      <x:c r="AG35" s="58" t="n">
        <x:f>MAX('Commercial Inputs'!$B$27,AG34*'Commercial Inputs'!$B$26)</x:f>
        <x:v>58608.6316350241</x:v>
      </x:c>
      <x:c r="AH35" s="58" t="n">
        <x:f>MAX('Commercial Inputs'!$B$27,AH34*'Commercial Inputs'!$B$26)</x:f>
        <x:v>61993.85717859327</x:v>
      </x:c>
      <x:c r="AI35" s="58" t="n">
        <x:f>MAX('Commercial Inputs'!$B$27,AI34*'Commercial Inputs'!$B$26)</x:f>
        <x:v>65477.28731301296</x:v>
      </x:c>
      <x:c r="AJ35" s="58" t="n">
        <x:f>MAX('Commercial Inputs'!$B$27,AJ34*'Commercial Inputs'!$B$26)</x:f>
        <x:v>69065.34010090603</x:v>
      </x:c>
      <x:c r="AK35" s="58" t="n">
        <x:f>MAX('Commercial Inputs'!$B$27,AK34*'Commercial Inputs'!$B$26)</x:f>
        <x:v>72764.21123784962</x:v>
      </x:c>
    </x:row>
    <x:row r="36" ht="18" customHeight="1">
      <x:c r="A36" s="4" t="str">
        <x:v>Earned annual-plan revenue (INR)</x:v>
      </x:c>
      <x:c r="B36" s="58" t="n">
        <x:f>B24*$B$84/'Commercial Inputs'!$B$46</x:f>
        <x:v>3955.9633510593217</x:v>
      </x:c>
      <x:c r="C36" s="58" t="n">
        <x:f>C24*$B$84/'Commercial Inputs'!$B$46</x:f>
        <x:v>8221.52383394068</x:v>
      </x:c>
      <x:c r="D36" s="58" t="n">
        <x:f>D24*$B$84/'Commercial Inputs'!$B$46</x:f>
        <x:v>12833.833104462714</x:v>
      </x:c>
      <x:c r="E36" s="58" t="n">
        <x:f>E24*$B$84/'Commercial Inputs'!$B$46</x:f>
        <x:v>19210.48826968468</x:v>
      </x:c>
      <x:c r="F36" s="58" t="n">
        <x:f>F24*$B$84/'Commercial Inputs'!$B$46</x:f>
        <x:v>26022.105114123115</x:v>
      </x:c>
      <x:c r="G36" s="58" t="n">
        <x:f>G24*$B$84/'Commercial Inputs'!$B$46</x:f>
        <x:v>33320.879039283995</x:v>
      </x:c>
      <x:c r="H36" s="58" t="n">
        <x:f>H24*$B$84/'Commercial Inputs'!$B$46</x:f>
        <x:v>44146.57460869581</x:v>
      </x:c>
      <x:c r="I36" s="58" t="n">
        <x:f>I24*$B$84/'Commercial Inputs'!$B$46</x:f>
        <x:v>55583.36002016586</x:v>
      </x:c>
      <x:c r="J36" s="58" t="n">
        <x:f>J24*$B$84/'Commercial Inputs'!$B$46</x:f>
        <x:v>67704.56605474114</x:v>
      </x:c>
      <x:c r="K36" s="58" t="n">
        <x:f>K24*$B$84/'Commercial Inputs'!$B$46</x:f>
        <x:v>80592.32318719426</x:v>
      </x:c>
      <x:c r="L36" s="58" t="n">
        <x:f>L24*$B$84/'Commercial Inputs'!$B$46</x:f>
        <x:v>94338.61754927057</x:v>
      </x:c>
      <x:c r="M36" s="58" t="n">
        <x:f>M24*$B$84/'Commercial Inputs'!$B$46</x:f>
        <x:v>109046.47360852484</x:v>
      </x:c>
      <x:c r="N36" s="58" t="n">
        <x:f>N24*$B$84/'Commercial Inputs'!$B$46</x:f>
        <x:v>126358.38335277147</x:v>
      </x:c>
      <x:c r="O36" s="58" t="n">
        <x:f>O24*$B$84/'Commercial Inputs'!$B$46</x:f>
        <x:v>144226.1920831606</x:v>
      </x:c>
      <x:c r="P36" s="58" t="n">
        <x:f>P24*$B$84/'Commercial Inputs'!$B$46</x:f>
        <x:v>162685.5915439251</x:v>
      </x:c>
      <x:c r="Q36" s="58" t="n">
        <x:f>Q24*$B$84/'Commercial Inputs'!$B$46</x:f>
        <x:v>180798.50023582508</x:v>
      </x:c>
      <x:c r="R36" s="58" t="n">
        <x:f>R24*$B$84/'Commercial Inputs'!$B$46</x:f>
        <x:v>199579.80600527648</x:v>
      </x:c>
      <x:c r="S36" s="58" t="n">
        <x:f>S24*$B$84/'Commercial Inputs'!$B$46</x:f>
        <x:v>219070.64510526077</x:v>
      </x:c>
      <x:c r="T36" s="58" t="n">
        <x:f>T24*$B$84/'Commercial Inputs'!$B$46</x:f>
        <x:v>242412.29160259443</x:v>
      </x:c>
      <x:c r="U36" s="58" t="n">
        <x:f>U24*$B$84/'Commercial Inputs'!$B$46</x:f>
        <x:v>266551.1430720812</x:v>
      </x:c>
      <x:c r="V36" s="58" t="n">
        <x:f>V24*$B$84/'Commercial Inputs'!$B$46</x:f>
        <x:v>291533.6454035727</x:v>
      </x:c>
      <x:c r="W36" s="58" t="n">
        <x:f>W24*$B$84/'Commercial Inputs'!$B$46</x:f>
        <x:v>317407.88049715804</x:v>
      </x:c>
      <x:c r="X36" s="58" t="n">
        <x:f>X24*$B$84/'Commercial Inputs'!$B$46</x:f>
        <x:v>344223.4475846688</x:v>
      </x:c>
      <x:c r="Y36" s="58" t="n">
        <x:f>Y24*$B$84/'Commercial Inputs'!$B$46</x:f>
        <x:v>372031.30510978703</x:v>
      </x:c>
      <x:c r="Z36" s="58" t="n">
        <x:f>Z24*$B$84/'Commercial Inputs'!$B$46</x:f>
        <x:v>400140.0172020255</x:v>
      </x:c>
      <x:c r="AA36" s="58" t="n">
        <x:f>AA24*$B$84/'Commercial Inputs'!$B$46</x:f>
        <x:v>429094.2687950534</x:v>
      </x:c>
      <x:c r="AB36" s="58" t="n">
        <x:f>AB24*$B$84/'Commercial Inputs'!$B$46</x:f>
        <x:v>458931.2753428757</x:v>
      </x:c>
      <x:c r="AC36" s="58" t="n">
        <x:f>AC24*$B$84/'Commercial Inputs'!$B$46</x:f>
        <x:v>489502.5106720806</x:v>
      </x:c>
      <x:c r="AD36" s="58" t="n">
        <x:f>AD24*$B$84/'Commercial Inputs'!$B$46</x:f>
        <x:v>521034.04034291155</x:v>
      </x:c>
      <x:c r="AE36" s="58" t="n">
        <x:f>AE24*$B$84/'Commercial Inputs'!$B$46</x:f>
        <x:v>553566.0884038452</x:v>
      </x:c>
      <x:c r="AF36" s="58" t="n">
        <x:f>AF24*$B$84/'Commercial Inputs'!$B$46</x:f>
        <x:v>587777.9308326824</x:v>
      </x:c>
      <x:c r="AG36" s="58" t="n">
        <x:f>AG24*$B$84/'Commercial Inputs'!$B$46</x:f>
        <x:v>623073.2936271526</x:v>
      </x:c>
      <x:c r="AH36" s="58" t="n">
        <x:f>AH24*$B$84/'Commercial Inputs'!$B$46</x:f>
        <x:v>659494.7625958688</x:v>
      </x:c>
      <x:c r="AI36" s="58" t="n">
        <x:f>AI24*$B$84/'Commercial Inputs'!$B$46</x:f>
        <x:v>697085.4855676248</x:v>
      </x:c>
      <x:c r="AJ36" s="58" t="n">
        <x:f>AJ24*$B$84/'Commercial Inputs'!$B$46</x:f>
        <x:v>735889.022770906</x:v>
      </x:c>
      <x:c r="AK36" s="58" t="n">
        <x:f>AK24*$B$84/'Commercial Inputs'!$B$46</x:f>
        <x:v>775949.1707018641</x:v>
      </x:c>
    </x:row>
    <x:row r="37" ht="18" customHeight="1">
      <x:c r="A37" s="4" t="str">
        <x:v>Earned monthly-plan revenue (INR)</x:v>
      </x:c>
      <x:c r="B37" s="58" t="n">
        <x:f>B31*$B$85</x:f>
        <x:v>2274.876963559322</x:v>
      </x:c>
      <x:c r="C37" s="58" t="n">
        <x:f>C31*$B$85</x:f>
        <x:v>3776.889205672881</x:v>
      </x:c>
      <x:c r="D37" s="58" t="n">
        <x:f>D31*$B$85</x:f>
        <x:v>5043.097097974817</x:v>
      </x:c>
      <x:c r="E37" s="58" t="n">
        <x:f>E31*$B$85</x:f>
        <x:v>7071.296955474199</x:v>
      </x:c>
      <x:c r="F37" s="58" t="n">
        <x:f>F31*$B$85</x:f>
        <x:v>8762.497354023812</x:v>
      </x:c>
      <x:c r="G37" s="58" t="n">
        <x:f>G31*$B$85</x:f>
        <x:v>10343.85108503405</x:v>
      </x:c>
      <x:c r="H37" s="58" t="n">
        <x:f>H31*$B$85</x:f>
        <x:v>13627.408484462749</x:v>
      </x:c>
      <x:c r="I37" s="58" t="n">
        <x:f>I31*$B$85</x:f>
        <x:v>16210.25351535446</x:v>
      </x:c>
      <x:c r="J37" s="58" t="n">
        <x:f>J31*$B$85</x:f>
        <x:v>18564.257133593128</x:v>
      </x:c>
      <x:c r="K37" s="58" t="n">
        <x:f>K31*$B$85</x:f>
        <x:v>20881.75475442881</x:v>
      </x:c>
      <x:c r="L37" s="58" t="n">
        <x:f>L31*$B$85</x:f>
        <x:v>23205.065271758158</x:v>
      </x:c>
      <x:c r="M37" s="58" t="n">
        <x:f>M31*$B$85</x:f>
        <x:v>25574.74902331658</x:v>
      </x:c>
      <x:c r="N37" s="58" t="n">
        <x:f>N31*$B$85</x:f>
        <x:v>30521.44702524943</x:v>
      </x:c>
      <x:c r="O37" s="58" t="n">
        <x:f>O31*$B$85</x:f>
        <x:v>34304.492571382674</x:v>
      </x:c>
      <x:c r="P37" s="58" t="n">
        <x:f>P31*$B$85</x:f>
        <x:v>37665.893234686126</x:v>
      </x:c>
      <x:c r="Q37" s="58" t="n">
        <x:f>Q31*$B$85</x:f>
        <x:v>40891.75955259167</x:v>
      </x:c>
      <x:c r="R37" s="58" t="n">
        <x:f>R31*$B$85</x:f>
        <x:v>44030.45973020234</x:v>
      </x:c>
      <x:c r="S37" s="58" t="n">
        <x:f>S31*$B$85</x:f>
        <x:v>47125.56294554903</x:v>
      </x:c>
      <x:c r="T37" s="58" t="n">
        <x:f>T31*$B$85</x:f>
        <x:v>53213.927343945536</x:v>
      </x:c>
      <x:c r="U37" s="58" t="n">
        <x:f>U31*$B$85</x:f>
        <x:v>58082.03085890659</x:v>
      </x:c>
      <x:c r="V37" s="58" t="n">
        <x:f>V31*$B$85</x:f>
        <x:v>62541.403938027644</x:v>
      </x:c>
      <x:c r="W37" s="58" t="n">
        <x:f>W31*$B$85</x:f>
        <x:v>66913.7640525887</x:v>
      </x:c>
      <x:c r="X37" s="58" t="n">
        <x:f>X31*$B$85</x:f>
        <x:v>71257.11704093919</x:v>
      </x:c>
      <x:c r="Y37" s="58" t="n">
        <x:f>Y31*$B$85</x:f>
        <x:v>75624.59805792128</x:v>
      </x:c>
      <x:c r="Z37" s="58" t="n">
        <x:f>Z31*$B$85</x:f>
        <x:v>81712.86828079888</x:v>
      </x:c>
      <x:c r="AA37" s="58" t="n">
        <x:f>AA31*$B$85</x:f>
        <x:v>86935.89625719859</x:v>
      </x:c>
      <x:c r="AB37" s="58" t="n">
        <x:f>AB31*$B$85</x:f>
        <x:v>91848.70990371228</x:v>
      </x:c>
      <x:c r="AC37" s="58" t="n">
        <x:f>AC31*$B$85</x:f>
        <x:v>96672.36742068507</x:v>
      </x:c>
      <x:c r="AD37" s="58" t="n">
        <x:f>AD31*$B$85</x:f>
        <x:v>101457.72605278029</x:v>
      </x:c>
      <x:c r="AE37" s="58" t="n">
        <x:f>AE31*$B$85</x:f>
        <x:v>106250.46583128041</x:v>
      </x:c>
      <x:c r="AF37" s="58" t="n">
        <x:f>AF31*$B$85</x:f>
        <x:v>113816.71347948704</x:v>
      </x:c>
      <x:c r="AG37" s="58" t="n">
        <x:f>AG31*$B$85</x:f>
        <x:v>120330.68705660084</x:v>
      </x:c>
      <x:c r="AH37" s="58" t="n">
        <x:f>AH31*$B$85</x:f>
        <x:v>126534.23532099447</x:v>
      </x:c>
      <x:c r="AI37" s="58" t="n">
        <x:f>AI31*$B$85</x:f>
        <x:v>132723.364341443</x:v>
      </x:c>
      <x:c r="AJ37" s="58" t="n">
        <x:f>AJ31*$B$85</x:f>
        <x:v>138953.81190857769</x:v>
      </x:c>
      <x:c r="AK37" s="58" t="n">
        <x:f>AK31*$B$85</x:f>
        <x:v>145276.3734092805</x:v>
      </x:c>
    </x:row>
    <x:row r="38" ht="18" customHeight="1">
      <x:c r="A38" s="74" t="str">
        <x:v>EARNED REVENUE, NET OF SALES TAX / REFUNDS</x:v>
      </x:c>
      <x:c r="B38" s="75" t="n">
        <x:f>SUM(B36:B37)</x:f>
        <x:v>6230.840314618644</x:v>
      </x:c>
      <x:c r="C38" s="75" t="n">
        <x:f>SUM(C36:C37)</x:f>
        <x:v>11998.413039613562</x:v>
      </x:c>
      <x:c r="D38" s="75" t="n">
        <x:f>SUM(D36:D37)</x:f>
        <x:v>17876.930202437532</x:v>
      </x:c>
      <x:c r="E38" s="75" t="n">
        <x:f>SUM(E36:E37)</x:f>
        <x:v>26281.785225158877</x:v>
      </x:c>
      <x:c r="F38" s="75" t="n">
        <x:f>SUM(F36:F37)</x:f>
        <x:v>34784.60246814693</x:v>
      </x:c>
      <x:c r="G38" s="75" t="n">
        <x:f>SUM(G36:G37)</x:f>
        <x:v>43664.73012431804</x:v>
      </x:c>
      <x:c r="H38" s="75" t="n">
        <x:f>SUM(H36:H37)</x:f>
        <x:v>57773.98309315856</x:v>
      </x:c>
      <x:c r="I38" s="75" t="n">
        <x:f>SUM(I36:I37)</x:f>
        <x:v>71793.61353552033</x:v>
      </x:c>
      <x:c r="J38" s="75" t="n">
        <x:f>SUM(J36:J37)</x:f>
        <x:v>86268.82318833427</x:v>
      </x:c>
      <x:c r="K38" s="75" t="n">
        <x:f>SUM(K36:K37)</x:f>
        <x:v>101474.07794162307</x:v>
      </x:c>
      <x:c r="L38" s="75" t="n">
        <x:f>SUM(L36:L37)</x:f>
        <x:v>117543.68282102872</x:v>
      </x:c>
      <x:c r="M38" s="75" t="n">
        <x:f>SUM(M36:M37)</x:f>
        <x:v>134621.22263184143</x:v>
      </x:c>
      <x:c r="N38" s="75" t="n">
        <x:f>SUM(N36:N37)</x:f>
        <x:v>156879.8303780209</x:v>
      </x:c>
      <x:c r="O38" s="75" t="n">
        <x:f>SUM(O36:O37)</x:f>
        <x:v>178530.68465454326</x:v>
      </x:c>
      <x:c r="P38" s="75" t="n">
        <x:f>SUM(P36:P37)</x:f>
        <x:v>200351.48477861122</x:v>
      </x:c>
      <x:c r="Q38" s="75" t="n">
        <x:f>SUM(Q36:Q37)</x:f>
        <x:v>221690.25978841673</x:v>
      </x:c>
      <x:c r="R38" s="75" t="n">
        <x:f>SUM(R36:R37)</x:f>
        <x:v>243610.2657354788</x:v>
      </x:c>
      <x:c r="S38" s="75" t="n">
        <x:f>SUM(S36:S37)</x:f>
        <x:v>266196.2080508098</x:v>
      </x:c>
      <x:c r="T38" s="75" t="n">
        <x:f>SUM(T36:T37)</x:f>
        <x:v>295626.21894654</x:v>
      </x:c>
      <x:c r="U38" s="75" t="n">
        <x:f>SUM(U36:U37)</x:f>
        <x:v>324633.1739309878</x:v>
      </x:c>
      <x:c r="V38" s="75" t="n">
        <x:f>SUM(V36:V37)</x:f>
        <x:v>354075.04934160033</x:v>
      </x:c>
      <x:c r="W38" s="75" t="n">
        <x:f>SUM(W36:W37)</x:f>
        <x:v>384321.64454974676</x:v>
      </x:c>
      <x:c r="X38" s="75" t="n">
        <x:f>SUM(X36:X37)</x:f>
        <x:v>415480.56462560804</x:v>
      </x:c>
      <x:c r="Y38" s="75" t="n">
        <x:f>SUM(Y36:Y37)</x:f>
        <x:v>447655.9031677083</x:v>
      </x:c>
      <x:c r="Z38" s="75" t="n">
        <x:f>SUM(Z36:Z37)</x:f>
        <x:v>481852.8854828244</x:v>
      </x:c>
      <x:c r="AA38" s="75" t="n">
        <x:f>SUM(AA36:AA37)</x:f>
        <x:v>516030.165052252</x:v>
      </x:c>
      <x:c r="AB38" s="75" t="n">
        <x:f>SUM(AB36:AB37)</x:f>
        <x:v>550779.985246588</x:v>
      </x:c>
      <x:c r="AC38" s="75" t="n">
        <x:f>SUM(AC36:AC37)</x:f>
        <x:v>586174.8780927657</x:v>
      </x:c>
      <x:c r="AD38" s="75" t="n">
        <x:f>SUM(AD36:AD37)</x:f>
        <x:v>622491.7663956918</x:v>
      </x:c>
      <x:c r="AE38" s="75" t="n">
        <x:f>SUM(AE36:AE37)</x:f>
        <x:v>659816.5542351257</x:v>
      </x:c>
      <x:c r="AF38" s="75" t="n">
        <x:f>SUM(AF36:AF37)</x:f>
        <x:v>701594.6443121694</x:v>
      </x:c>
      <x:c r="AG38" s="75" t="n">
        <x:f>SUM(AG36:AG37)</x:f>
        <x:v>743403.9806837534</x:v>
      </x:c>
      <x:c r="AH38" s="75" t="n">
        <x:f>SUM(AH36:AH37)</x:f>
        <x:v>786028.9979168633</x:v>
      </x:c>
      <x:c r="AI38" s="75" t="n">
        <x:f>SUM(AI36:AI37)</x:f>
        <x:v>829808.8499090679</x:v>
      </x:c>
      <x:c r="AJ38" s="75" t="n">
        <x:f>SUM(AJ36:AJ37)</x:f>
        <x:v>874842.8346794837</x:v>
      </x:c>
      <x:c r="AK38" s="75" t="n">
        <x:f>SUM(AK36:AK37)</x:f>
        <x:v>921225.5441111445</x:v>
      </x:c>
    </x:row>
    <x:row r="39" ht="18" customHeight="1">
      <x:c r="A39" s="4" t="str">
        <x:v>Annual gross billings, ex-tax (INR)</x:v>
      </x:c>
      <x:c r="B39" s="58" t="n">
        <x:f>B25*$B$84</x:f>
        <x:v>48939.75279661018</x:v>
      </x:c>
      <x:c r="C39" s="58" t="n">
        <x:f>C25*$B$84</x:f>
        <x:v>52769.82040677967</x:v>
      </x:c>
      <x:c r="D39" s="58" t="n">
        <x:f>D25*$B$84</x:f>
        <x:v>57059.49613016949</x:v>
      </x:c>
      <x:c r="E39" s="58" t="n">
        <x:f>E25*$B$84</x:f>
        <x:v>78886.45565223054</x:v>
      </x:c>
      <x:c r="F39" s="58" t="n">
        <x:f>F25*$B$84</x:f>
        <x:v>84267.42487965073</x:v>
      </x:c>
      <x:c r="G39" s="58" t="n">
        <x:f>G25*$B$84</x:f>
        <x:v>90294.11041436136</x:v>
      </x:c>
      <x:c r="H39" s="58" t="n">
        <x:f>H25*$B$84</x:f>
        <x:v>133926.13075561018</x:v>
      </x:c>
      <x:c r="I39" s="58" t="n">
        <x:f>I25*$B$84</x:f>
        <x:v>141486.0050903512</x:v>
      </x:c>
      <x:c r="J39" s="58" t="n">
        <x:f>J25*$B$84</x:f>
        <x:v>149953.0643452611</x:v>
      </x:c>
      <x:c r="K39" s="58" t="n">
        <x:f>K25*$B$84</x:f>
        <x:v>159436.17071076029</x:v>
      </x:c>
      <x:c r="L39" s="58" t="n">
        <x:f>L25*$B$84</x:f>
        <x:v>170057.2498401193</x:v>
      </x:c>
      <x:c r="M39" s="58" t="n">
        <x:f>M25*$B$84</x:f>
        <x:v>181952.85846500142</x:v>
      </x:c>
      <x:c r="N39" s="58" t="n">
        <x:f>N25*$B$84</x:f>
        <x:v>263107.70839553745</x:v>
      </x:c>
      <x:c r="O39" s="58" t="n">
        <x:f>O25*$B$84</x:f>
        <x:v>273814.8768652017</x:v>
      </x:c>
      <x:c r="P39" s="58" t="n">
        <x:f>P25*$B$84</x:f>
        <x:v>285423.20079942147</x:v>
      </x:c>
      <x:c r="Q39" s="58" t="n">
        <x:f>Q25*$B$84</x:f>
        <x:v>302963.6765829517</x:v>
      </x:c>
      <x:c r="R39" s="58" t="n">
        <x:f>R25*$B$84</x:f>
        <x:v>316613.4756357502</x:v>
      </x:c>
      <x:c r="S39" s="58" t="n">
        <x:f>S25*$B$84</x:f>
        <x:v>331417.8930945798</x:v>
      </x:c>
      <x:c r="T39" s="58" t="n">
        <x:f>T25*$B$84</x:f>
        <x:v>422688.7678360264</x:v>
      </x:c>
      <x:c r="U39" s="58" t="n">
        <x:f>U25*$B$84</x:f>
        <x:v>440110.97172317805</x:v>
      </x:c>
      <x:c r="V39" s="58" t="n">
        <x:f>V25*$B$84</x:f>
        <x:v>459014.9488585582</x:v>
      </x:c>
      <x:c r="W39" s="58" t="n">
        <x:f>W25*$B$84</x:f>
        <x:v>479529.8007344961</x:v>
      </x:c>
      <x:c r="X39" s="58" t="n">
        <x:f>X25*$B$84</x:f>
        <x:v>501796.2241186033</x:v>
      </x:c>
      <x:c r="Y39" s="58" t="n">
        <x:f>Y25*$B$84</x:f>
        <x:v>525967.5907345047</x:v>
      </x:c>
      <x:c r="Z39" s="58" t="n">
        <x:f>Z25*$B$84</x:f>
        <x:v>610844.3528356014</x:v>
      </x:c>
      <x:c r="AA39" s="58" t="n">
        <x:f>AA25*$B$84</x:f>
        <x:v>632011.803789258</x:v>
      </x:c>
      <x:c r="AB39" s="58" t="n">
        <x:f>AB25*$B$84</x:f>
        <x:v>654540.8075766045</x:v>
      </x:c>
      <x:c r="AC39" s="58" t="n">
        <x:f>AC25*$B$84</x:f>
        <x:v>681164.5260164156</x:v>
      </x:c>
      <x:c r="AD39" s="58" t="n">
        <x:f>AD25*$B$84</x:f>
        <x:v>706694.2550687105</x:v>
      </x:c>
      <x:c r="AE39" s="58" t="n">
        <x:f>AE25*$B$84</x:f>
        <x:v>733876.2196215938</x:v>
      </x:c>
      <x:c r="AF39" s="58" t="n">
        <x:f>AF25*$B$84</x:f>
        <x:v>845928.0556154563</x:v>
      </x:c>
      <x:c r="AG39" s="58" t="n">
        <x:f>AG25*$B$84</x:f>
        <x:v>876754.6351599217</x:v>
      </x:c>
      <x:c r="AH39" s="58" t="n">
        <x:f>AH25*$B$84</x:f>
        <x:v>909589.8226983468</x:v>
      </x:c>
      <x:c r="AI39" s="58" t="n">
        <x:f>AI25*$B$84</x:f>
        <x:v>944569.6725500345</x:v>
      </x:c>
      <x:c r="AJ39" s="58" t="n">
        <x:f>AJ25*$B$84</x:f>
        <x:v>981839.9833344532</x:v>
      </x:c>
      <x:c r="AK39" s="58" t="n">
        <x:f>AK25*$B$84</x:f>
        <x:v>1021557.0496741908</x:v>
      </x:c>
    </x:row>
    <x:row r="40" ht="18" customHeight="1">
      <x:c r="A40" s="4" t="str">
        <x:v>Monthly gross billings, ex-tax (INR)</x:v>
      </x:c>
      <x:c r="B40" s="58" t="n">
        <x:f>B32*$B$85</x:f>
        <x:v>2345.2339830508477</x:v>
      </x:c>
      <x:c r="C40" s="58" t="n">
        <x:f>C32*$B$85</x:f>
        <x:v>3893.7002120338984</x:v>
      </x:c>
      <x:c r="D40" s="58" t="n">
        <x:f>D32*$B$85</x:f>
        <x:v>5199.069173169914</x:v>
      </x:c>
      <x:c r="E40" s="58" t="n">
        <x:f>E32*$B$85</x:f>
        <x:v>7289.996861313609</x:v>
      </x:c>
      <x:c r="F40" s="58" t="n">
        <x:f>F32*$B$85</x:f>
        <x:v>9033.502426828672</x:v>
      </x:c>
      <x:c r="G40" s="58" t="n">
        <x:f>G32*$B$85</x:f>
        <x:v>10663.764005189742</x:v>
      </x:c>
      <x:c r="H40" s="58" t="n">
        <x:f>H32*$B$85</x:f>
        <x:v>14048.874726250258</x:v>
      </x:c>
      <x:c r="I40" s="58" t="n">
        <x:f>I32*$B$85</x:f>
        <x:v>16711.60156222109</x:v>
      </x:c>
      <x:c r="J40" s="58" t="n">
        <x:f>J32*$B$85</x:f>
        <x:v>19138.40941607539</x:v>
      </x:c>
      <x:c r="K40" s="58" t="n">
        <x:f>K32*$B$85</x:f>
        <x:v>21527.58222106063</x:v>
      </x:c>
      <x:c r="L40" s="58" t="n">
        <x:f>L32*$B$85</x:f>
        <x:v>23922.74770284346</x:v>
      </x:c>
      <x:c r="M40" s="58" t="n">
        <x:f>M32*$B$85</x:f>
        <x:v>26365.720642594413</x:v>
      </x:c>
      <x:c r="N40" s="58" t="n">
        <x:f>N32*$B$85</x:f>
        <x:v>31465.409304380857</x:v>
      </x:c>
      <x:c r="O40" s="58" t="n">
        <x:f>O32*$B$85</x:f>
        <x:v>35365.45625915739</x:v>
      </x:c>
      <x:c r="P40" s="58" t="n">
        <x:f>P32*$B$85</x:f>
        <x:v>38830.81776771765</x:v>
      </x:c>
      <x:c r="Q40" s="58" t="n">
        <x:f>Q32*$B$85</x:f>
        <x:v>42156.45314700172</x:v>
      </x:c>
      <x:c r="R40" s="58" t="n">
        <x:f>R32*$B$85</x:f>
        <x:v>45392.22652598179</x:v>
      </x:c>
      <x:c r="S40" s="58" t="n">
        <x:f>S32*$B$85</x:f>
        <x:v>48583.05458304024</x:v>
      </x:c>
      <x:c r="T40" s="58" t="n">
        <x:f>T32*$B$85</x:f>
        <x:v>54859.71891128405</x:v>
      </x:c>
      <x:c r="U40" s="58" t="n">
        <x:f>U32*$B$85</x:f>
        <x:v>59878.38232876969</x:v>
      </x:c>
      <x:c r="V40" s="58" t="n">
        <x:f>V32*$B$85</x:f>
        <x:v>64475.67416291509</x:v>
      </x:c>
      <x:c r="W40" s="58" t="n">
        <x:f>W32*$B$85</x:f>
        <x:v>68983.26190988526</x:v>
      </x:c>
      <x:c r="X40" s="58" t="n">
        <x:f>X32*$B$85</x:f>
        <x:v>73460.9454030301</x:v>
      </x:c>
      <x:c r="Y40" s="58" t="n">
        <x:f>Y32*$B$85</x:f>
        <x:v>77963.50315249615</x:v>
      </x:c>
      <x:c r="Z40" s="58" t="n">
        <x:f>Z32*$B$85</x:f>
        <x:v>84240.07039257616</x:v>
      </x:c>
      <x:c r="AA40" s="58" t="n">
        <x:f>AA32*$B$85</x:f>
        <x:v>89624.63531669958</x:v>
      </x:c>
      <x:c r="AB40" s="58" t="n">
        <x:f>AB32*$B$85</x:f>
        <x:v>94689.39165331163</x:v>
      </x:c>
      <x:c r="AC40" s="58" t="n">
        <x:f>AC32*$B$85</x:f>
        <x:v>99662.23445431452</x:v>
      </x:c>
      <x:c r="AD40" s="58" t="n">
        <x:f>AD32*$B$85</x:f>
        <x:v>104595.59386884565</x:v>
      </x:c>
      <x:c r="AE40" s="58" t="n">
        <x:f>AE32*$B$85</x:f>
        <x:v>109536.56271266022</x:v>
      </x:c>
      <x:c r="AF40" s="58" t="n">
        <x:f>AF32*$B$85</x:f>
        <x:v>117336.81802008973</x:v>
      </x:c>
      <x:c r="AG40" s="58" t="n">
        <x:f>AG32*$B$85</x:f>
        <x:v>124052.25469752666</x:v>
      </x:c>
      <x:c r="AH40" s="58" t="n">
        <x:f>AH32*$B$85</x:f>
        <x:v>130447.66527937574</x:v>
      </x:c>
      <x:c r="AI40" s="58" t="n">
        <x:f>AI32*$B$85</x:f>
        <x:v>136828.21066128142</x:v>
      </x:c>
      <x:c r="AJ40" s="58" t="n">
        <x:f>AJ32*$B$85</x:f>
        <x:v>143251.35248306976</x:v>
      </x:c>
      <x:c r="AK40" s="58" t="n">
        <x:f>AK32*$B$85</x:f>
        <x:v>149769.4571229696</x:v>
      </x:c>
    </x:row>
    <x:row r="41" ht="18" customHeight="1">
      <x:c r="A41" s="4" t="str">
        <x:v>Total gross billings, ex-tax (INR)</x:v>
      </x:c>
      <x:c r="B41" s="58" t="n">
        <x:f>SUM(B39:B40)</x:f>
        <x:v>51284.98677966103</x:v>
      </x:c>
      <x:c r="C41" s="58" t="n">
        <x:f>SUM(C39:C40)</x:f>
        <x:v>56663.52061881356</x:v>
      </x:c>
      <x:c r="D41" s="58" t="n">
        <x:f>SUM(D39:D40)</x:f>
        <x:v>62258.565303339405</x:v>
      </x:c>
      <x:c r="E41" s="58" t="n">
        <x:f>SUM(E39:E40)</x:f>
        <x:v>86176.45251354415</x:v>
      </x:c>
      <x:c r="F41" s="58" t="n">
        <x:f>SUM(F39:F40)</x:f>
        <x:v>93300.9273064794</x:v>
      </x:c>
      <x:c r="G41" s="58" t="n">
        <x:f>SUM(G39:G40)</x:f>
        <x:v>100957.87441955111</x:v>
      </x:c>
      <x:c r="H41" s="58" t="n">
        <x:f>SUM(H39:H40)</x:f>
        <x:v>147975.00548186043</x:v>
      </x:c>
      <x:c r="I41" s="58" t="n">
        <x:f>SUM(I39:I40)</x:f>
        <x:v>158197.60665257229</x:v>
      </x:c>
      <x:c r="J41" s="58" t="n">
        <x:f>SUM(J39:J40)</x:f>
        <x:v>169091.4737613365</x:v>
      </x:c>
      <x:c r="K41" s="58" t="n">
        <x:f>SUM(K39:K40)</x:f>
        <x:v>180963.75293182093</x:v>
      </x:c>
      <x:c r="L41" s="58" t="n">
        <x:f>SUM(L39:L40)</x:f>
        <x:v>193979.99754296275</x:v>
      </x:c>
      <x:c r="M41" s="58" t="n">
        <x:f>SUM(M39:M40)</x:f>
        <x:v>208318.57910759584</x:v>
      </x:c>
      <x:c r="N41" s="58" t="n">
        <x:f>SUM(N39:N40)</x:f>
        <x:v>294573.11769991834</x:v>
      </x:c>
      <x:c r="O41" s="58" t="n">
        <x:f>SUM(O39:O40)</x:f>
        <x:v>309180.3331243591</x:v>
      </x:c>
      <x:c r="P41" s="58" t="n">
        <x:f>SUM(P39:P40)</x:f>
        <x:v>324254.0185671391</x:v>
      </x:c>
      <x:c r="Q41" s="58" t="n">
        <x:f>SUM(Q39:Q40)</x:f>
        <x:v>345120.1297299534</x:v>
      </x:c>
      <x:c r="R41" s="58" t="n">
        <x:f>SUM(R39:R40)</x:f>
        <x:v>362005.702161732</x:v>
      </x:c>
      <x:c r="S41" s="58" t="n">
        <x:f>SUM(S39:S40)</x:f>
        <x:v>380000.94767762005</x:v>
      </x:c>
      <x:c r="T41" s="58" t="n">
        <x:f>SUM(T39:T40)</x:f>
        <x:v>477548.48674731044</x:v>
      </x:c>
      <x:c r="U41" s="58" t="n">
        <x:f>SUM(U39:U40)</x:f>
        <x:v>499989.3540519477</x:v>
      </x:c>
      <x:c r="V41" s="58" t="n">
        <x:f>SUM(V39:V40)</x:f>
        <x:v>523490.6230214733</x:v>
      </x:c>
      <x:c r="W41" s="58" t="n">
        <x:f>SUM(W39:W40)</x:f>
        <x:v>548513.0626443813</x:v>
      </x:c>
      <x:c r="X41" s="58" t="n">
        <x:f>SUM(X39:X40)</x:f>
        <x:v>575257.1695216334</x:v>
      </x:c>
      <x:c r="Y41" s="58" t="n">
        <x:f>SUM(Y39:Y40)</x:f>
        <x:v>603931.0938870009</x:v>
      </x:c>
      <x:c r="Z41" s="58" t="n">
        <x:f>SUM(Z39:Z40)</x:f>
        <x:v>695084.4232281776</x:v>
      </x:c>
      <x:c r="AA41" s="58" t="n">
        <x:f>SUM(AA39:AA40)</x:f>
        <x:v>721636.4391059576</x:v>
      </x:c>
      <x:c r="AB41" s="58" t="n">
        <x:f>SUM(AB39:AB40)</x:f>
        <x:v>749230.1992299162</x:v>
      </x:c>
      <x:c r="AC41" s="58" t="n">
        <x:f>SUM(AC39:AC40)</x:f>
        <x:v>780826.76047073</x:v>
      </x:c>
      <x:c r="AD41" s="58" t="n">
        <x:f>SUM(AD39:AD40)</x:f>
        <x:v>811289.8489375561</x:v>
      </x:c>
      <x:c r="AE41" s="58" t="n">
        <x:f>SUM(AE39:AE40)</x:f>
        <x:v>843412.782334254</x:v>
      </x:c>
      <x:c r="AF41" s="58" t="n">
        <x:f>SUM(AF39:AF40)</x:f>
        <x:v>963264.8736355461</x:v>
      </x:c>
      <x:c r="AG41" s="58" t="n">
        <x:f>SUM(AG39:AG40)</x:f>
        <x:v>1000806.8898574484</x:v>
      </x:c>
      <x:c r="AH41" s="58" t="n">
        <x:f>SUM(AH39:AH40)</x:f>
        <x:v>1040037.4879777225</x:v>
      </x:c>
      <x:c r="AI41" s="58" t="n">
        <x:f>SUM(AI39:AI40)</x:f>
        <x:v>1081397.8832113158</x:v>
      </x:c>
      <x:c r="AJ41" s="58" t="n">
        <x:f>SUM(AJ39:AJ40)</x:f>
        <x:v>1125091.3358175228</x:v>
      </x:c>
      <x:c r="AK41" s="58" t="n">
        <x:f>SUM(AK39:AK40)</x:f>
        <x:v>1171326.5067971605</x:v>
      </x:c>
    </x:row>
    <x:row r="42" ht="18" customHeight="1">
      <x:c r="A42" s="4" t="str">
        <x:v>Refunds (INR)</x:v>
      </x:c>
      <x:c r="B42" s="58" t="n">
        <x:f>B41*'Scenario Inputs'!$C$29</x:f>
        <x:v>1538.5496033898307</x:v>
      </x:c>
      <x:c r="C42" s="58" t="n">
        <x:f>C41*'Scenario Inputs'!$C$29</x:f>
        <x:v>1699.905618564407</x:v>
      </x:c>
      <x:c r="D42" s="58" t="n">
        <x:f>D41*'Scenario Inputs'!$C$29</x:f>
        <x:v>1867.756959100182</x:v>
      </x:c>
      <x:c r="E42" s="58" t="n">
        <x:f>E41*'Scenario Inputs'!$C$29</x:f>
        <x:v>2585.2935754063246</x:v>
      </x:c>
      <x:c r="F42" s="58" t="n">
        <x:f>F41*'Scenario Inputs'!$C$29</x:f>
        <x:v>2799.0278191943817</x:v>
      </x:c>
      <x:c r="G42" s="58" t="n">
        <x:f>G41*'Scenario Inputs'!$C$29</x:f>
        <x:v>3028.7362325865333</x:v>
      </x:c>
      <x:c r="H42" s="58" t="n">
        <x:f>H41*'Scenario Inputs'!$C$29</x:f>
        <x:v>4439.250164455812</x:v>
      </x:c>
      <x:c r="I42" s="58" t="n">
        <x:f>I41*'Scenario Inputs'!$C$29</x:f>
        <x:v>4745.928199577168</x:v>
      </x:c>
      <x:c r="J42" s="58" t="n">
        <x:f>J41*'Scenario Inputs'!$C$29</x:f>
        <x:v>5072.744212840094</x:v>
      </x:c>
      <x:c r="K42" s="58" t="n">
        <x:f>K41*'Scenario Inputs'!$C$29</x:f>
        <x:v>5428.912587954627</x:v>
      </x:c>
      <x:c r="L42" s="58" t="n">
        <x:f>L41*'Scenario Inputs'!$C$29</x:f>
        <x:v>5819.399926288882</x:v>
      </x:c>
      <x:c r="M42" s="58" t="n">
        <x:f>M41*'Scenario Inputs'!$C$29</x:f>
        <x:v>6249.557373227875</x:v>
      </x:c>
      <x:c r="N42" s="58" t="n">
        <x:f>N41*'Scenario Inputs'!$C$29</x:f>
        <x:v>8837.19353099755</x:v>
      </x:c>
      <x:c r="O42" s="58" t="n">
        <x:f>O41*'Scenario Inputs'!$C$29</x:f>
        <x:v>9275.409993730773</x:v>
      </x:c>
      <x:c r="P42" s="58" t="n">
        <x:f>P41*'Scenario Inputs'!$C$29</x:f>
        <x:v>9727.620557014174</x:v>
      </x:c>
      <x:c r="Q42" s="58" t="n">
        <x:f>Q41*'Scenario Inputs'!$C$29</x:f>
        <x:v>10353.603891898601</x:v>
      </x:c>
      <x:c r="R42" s="58" t="n">
        <x:f>R41*'Scenario Inputs'!$C$29</x:f>
        <x:v>10860.17106485196</x:v>
      </x:c>
      <x:c r="S42" s="58" t="n">
        <x:f>S41*'Scenario Inputs'!$C$29</x:f>
        <x:v>11400.0284303286</x:v>
      </x:c>
      <x:c r="T42" s="58" t="n">
        <x:f>T41*'Scenario Inputs'!$C$29</x:f>
        <x:v>14326.454602419313</x:v>
      </x:c>
      <x:c r="U42" s="58" t="n">
        <x:f>U41*'Scenario Inputs'!$C$29</x:f>
        <x:v>14999.680621558431</x:v>
      </x:c>
      <x:c r="V42" s="58" t="n">
        <x:f>V41*'Scenario Inputs'!$C$29</x:f>
        <x:v>15704.718690644198</x:v>
      </x:c>
      <x:c r="W42" s="58" t="n">
        <x:f>W41*'Scenario Inputs'!$C$29</x:f>
        <x:v>16455.391879331437</x:v>
      </x:c>
      <x:c r="X42" s="58" t="n">
        <x:f>X41*'Scenario Inputs'!$C$29</x:f>
        <x:v>17257.715085649</x:v>
      </x:c>
      <x:c r="Y42" s="58" t="n">
        <x:f>Y41*'Scenario Inputs'!$C$29</x:f>
        <x:v>18117.932816610028</x:v>
      </x:c>
      <x:c r="Z42" s="58" t="n">
        <x:f>Z41*'Scenario Inputs'!$C$29</x:f>
        <x:v>20852.532696845326</x:v>
      </x:c>
      <x:c r="AA42" s="58" t="n">
        <x:f>AA41*'Scenario Inputs'!$C$29</x:f>
        <x:v>21649.093173178728</x:v>
      </x:c>
      <x:c r="AB42" s="58" t="n">
        <x:f>AB41*'Scenario Inputs'!$C$29</x:f>
        <x:v>22476.905976897484</x:v>
      </x:c>
      <x:c r="AC42" s="58" t="n">
        <x:f>AC41*'Scenario Inputs'!$C$29</x:f>
        <x:v>23424.8028141219</x:v>
      </x:c>
      <x:c r="AD42" s="58" t="n">
        <x:f>AD41*'Scenario Inputs'!$C$29</x:f>
        <x:v>24338.695468126683</x:v>
      </x:c>
      <x:c r="AE42" s="58" t="n">
        <x:f>AE41*'Scenario Inputs'!$C$29</x:f>
        <x:v>25302.38347002762</x:v>
      </x:c>
      <x:c r="AF42" s="58" t="n">
        <x:f>AF41*'Scenario Inputs'!$C$29</x:f>
        <x:v>28897.94620906638</x:v>
      </x:c>
      <x:c r="AG42" s="58" t="n">
        <x:f>AG41*'Scenario Inputs'!$C$29</x:f>
        <x:v>30024.20669572345</x:v>
      </x:c>
      <x:c r="AH42" s="58" t="n">
        <x:f>AH41*'Scenario Inputs'!$C$29</x:f>
        <x:v>31201.124639331676</x:v>
      </x:c>
      <x:c r="AI42" s="58" t="n">
        <x:f>AI41*'Scenario Inputs'!$C$29</x:f>
        <x:v>32441.936496339473</x:v>
      </x:c>
      <x:c r="AJ42" s="58" t="n">
        <x:f>AJ41*'Scenario Inputs'!$C$29</x:f>
        <x:v>33752.74007452568</x:v>
      </x:c>
      <x:c r="AK42" s="58" t="n">
        <x:f>AK41*'Scenario Inputs'!$C$29</x:f>
        <x:v>35139.795203914815</x:v>
      </x:c>
    </x:row>
    <x:row r="43" ht="18" customHeight="1">
      <x:c r="A43" s="4" t="str">
        <x:v>Net billings, ex-tax (INR)</x:v>
      </x:c>
      <x:c r="B43" s="58" t="n">
        <x:f>B41-B42</x:f>
        <x:v>49746.437176271196</x:v>
      </x:c>
      <x:c r="C43" s="58" t="n">
        <x:f>C41-C42</x:f>
        <x:v>54963.615000249156</x:v>
      </x:c>
      <x:c r="D43" s="58" t="n">
        <x:f>D41-D42</x:f>
        <x:v>60390.80834423922</x:v>
      </x:c>
      <x:c r="E43" s="58" t="n">
        <x:f>E41-E42</x:f>
        <x:v>83591.15893813783</x:v>
      </x:c>
      <x:c r="F43" s="58" t="n">
        <x:f>F41-F42</x:f>
        <x:v>90501.89948728502</x:v>
      </x:c>
      <x:c r="G43" s="58" t="n">
        <x:f>G41-G42</x:f>
        <x:v>97929.13818696457</x:v>
      </x:c>
      <x:c r="H43" s="58" t="n">
        <x:f>H41-H42</x:f>
        <x:v>143535.7553174046</x:v>
      </x:c>
      <x:c r="I43" s="58" t="n">
        <x:f>I41-I42</x:f>
        <x:v>153451.6784529951</x:v>
      </x:c>
      <x:c r="J43" s="58" t="n">
        <x:f>J41-J42</x:f>
        <x:v>164018.7295484964</x:v>
      </x:c>
      <x:c r="K43" s="58" t="n">
        <x:f>K41-K42</x:f>
        <x:v>175534.8403438663</x:v>
      </x:c>
      <x:c r="L43" s="58" t="n">
        <x:f>L41-L42</x:f>
        <x:v>188160.59761667388</x:v>
      </x:c>
      <x:c r="M43" s="58" t="n">
        <x:f>M41-M42</x:f>
        <x:v>202069.02173436797</x:v>
      </x:c>
      <x:c r="N43" s="58" t="n">
        <x:f>N41-N42</x:f>
        <x:v>285735.9241689208</x:v>
      </x:c>
      <x:c r="O43" s="58" t="n">
        <x:f>O41-O42</x:f>
        <x:v>299904.9231306283</x:v>
      </x:c>
      <x:c r="P43" s="58" t="n">
        <x:f>P41-P42</x:f>
        <x:v>314526.3980101249</x:v>
      </x:c>
      <x:c r="Q43" s="58" t="n">
        <x:f>Q41-Q42</x:f>
        <x:v>334766.52583805483</x:v>
      </x:c>
      <x:c r="R43" s="58" t="n">
        <x:f>R41-R42</x:f>
        <x:v>351145.53109688003</x:v>
      </x:c>
      <x:c r="S43" s="58" t="n">
        <x:f>S41-S42</x:f>
        <x:v>368600.91924729146</x:v>
      </x:c>
      <x:c r="T43" s="58" t="n">
        <x:f>T41-T42</x:f>
        <x:v>463222.0321448911</x:v>
      </x:c>
      <x:c r="U43" s="58" t="n">
        <x:f>U41-U42</x:f>
        <x:v>484989.67343038926</x:v>
      </x:c>
      <x:c r="V43" s="58" t="n">
        <x:f>V41-V42</x:f>
        <x:v>507785.9043308291</x:v>
      </x:c>
      <x:c r="W43" s="58" t="n">
        <x:f>W41-W42</x:f>
        <x:v>532057.6707650499</x:v>
      </x:c>
      <x:c r="X43" s="58" t="n">
        <x:f>X41-X42</x:f>
        <x:v>557999.4544359844</x:v>
      </x:c>
      <x:c r="Y43" s="58" t="n">
        <x:f>Y41-Y42</x:f>
        <x:v>585813.161070391</x:v>
      </x:c>
      <x:c r="Z43" s="58" t="n">
        <x:f>Z41-Z42</x:f>
        <x:v>674231.8905313322</x:v>
      </x:c>
      <x:c r="AA43" s="58" t="n">
        <x:f>AA41-AA42</x:f>
        <x:v>699987.3459327789</x:v>
      </x:c>
      <x:c r="AB43" s="58" t="n">
        <x:f>AB41-AB42</x:f>
        <x:v>726753.2932530188</x:v>
      </x:c>
      <x:c r="AC43" s="58" t="n">
        <x:f>AC41-AC42</x:f>
        <x:v>757401.9576566081</x:v>
      </x:c>
      <x:c r="AD43" s="58" t="n">
        <x:f>AD41-AD42</x:f>
        <x:v>786951.1534694295</x:v>
      </x:c>
      <x:c r="AE43" s="58" t="n">
        <x:f>AE41-AE42</x:f>
        <x:v>818110.3988642264</x:v>
      </x:c>
      <x:c r="AF43" s="58" t="n">
        <x:f>AF41-AF42</x:f>
        <x:v>934366.9274264796</x:v>
      </x:c>
      <x:c r="AG43" s="58" t="n">
        <x:f>AG41-AG42</x:f>
        <x:v>970782.6831617249</x:v>
      </x:c>
      <x:c r="AH43" s="58" t="n">
        <x:f>AH41-AH42</x:f>
        <x:v>1008836.3633383908</x:v>
      </x:c>
      <x:c r="AI43" s="58" t="n">
        <x:f>AI41-AI42</x:f>
        <x:v>1048955.9467149763</x:v>
      </x:c>
      <x:c r="AJ43" s="58" t="n">
        <x:f>AJ41-AJ42</x:f>
        <x:v>1091338.5957429972</x:v>
      </x:c>
      <x:c r="AK43" s="58" t="n">
        <x:f>AK41-AK42</x:f>
        <x:v>1136186.7115932456</x:v>
      </x:c>
    </x:row>
    <x:row r="44" ht="18" customHeight="1">
      <x:c r="A44" s="4" t="str">
        <x:v>Payment / store fees (INR)</x:v>
      </x:c>
      <x:c r="B44" s="58" t="n">
        <x:f>B25*$B$86+B32*$B$87</x:f>
        <x:v>5304.1549484745765</x:v>
      </x:c>
      <x:c r="C44" s="58" t="n">
        <x:f>C25*$B$86+C32*$B$87</x:f>
        <x:v>5897.804487181016</x:v>
      </x:c>
      <x:c r="D44" s="58" t="n">
        <x:f>D25*$B$86+D32*$B$87</x:f>
        <x:v>6506.58716308263</x:v>
      </x:c>
      <x:c r="E44" s="58" t="n">
        <x:f>E25*$B$86+E32*$B$87</x:f>
        <x:v>9008.909992367218</x:v>
      </x:c>
      <x:c r="F44" s="58" t="n">
        <x:f>F25*$B$86+F32*$B$87</x:f>
        <x:v>9786.4391494951</x:v>
      </x:c>
      <x:c r="G44" s="58" t="n">
        <x:f>G25*$B$86+G32*$B$87</x:f>
        <x:v>10615.09120405933</x:v>
      </x:c>
      <x:c r="H44" s="58" t="n">
        <x:f>H25*$B$86+H32*$B$87</x:f>
        <x:v>15513.28102434319</x:v>
      </x:c>
      <x:c r="I44" s="58" t="n">
        <x:f>I25*$B$86+I32*$B$87</x:f>
        <x:v>16633.54507695494</x:v>
      </x:c>
      <x:c r="J44" s="58" t="n">
        <x:f>J25*$B$86+J32*$B$87</x:f>
        <x:v>17815.584620820908</x:v>
      </x:c>
      <x:c r="K44" s="58" t="n">
        <x:f>K25*$B$86+K32*$B$87</x:f>
        <x:v>19096.452800878254</x:v>
      </x:c>
      <x:c r="L44" s="58" t="n">
        <x:f>L25*$B$86+L32*$B$87</x:f>
        <x:v>20494.306611838154</x:v>
      </x:c>
      <x:c r="M44" s="58" t="n">
        <x:f>M25*$B$86+M32*$B$87</x:f>
        <x:v>22028.55992523203</x:v>
      </x:c>
      <x:c r="N44" s="58" t="n">
        <x:f>N25*$B$86+N32*$B$87</x:f>
        <x:v>30982.594909696374</x:v>
      </x:c>
      <x:c r="O44" s="58" t="n">
        <x:f>O25*$B$86+O32*$B$87</x:f>
        <x:v>32586.088434703404</x:v>
      </x:c>
      <x:c r="P44" s="58" t="n">
        <x:f>P25*$B$86+P32*$B$87</x:f>
        <x:v>34224.74174080278</x:v>
      </x:c>
      <x:c r="Q44" s="58" t="n">
        <x:f>Q25*$B$86+Q32*$B$87</x:f>
        <x:v>36450.867386150276</x:v>
      </x:c>
      <x:c r="R44" s="58" t="n">
        <x:f>R25*$B$86+R32*$B$87</x:f>
        <x:v>38267.95001253182</x:v>
      </x:c>
      <x:c r="S44" s="58" t="n">
        <x:f>S25*$B$86+S32*$B$87</x:f>
        <x:v>40197.05496368683</x:v>
      </x:c>
      <x:c r="T44" s="58" t="n">
        <x:f>T25*$B$86+T32*$B$87</x:f>
        <x:v>50338.023544912416</x:v>
      </x:c>
      <x:c r="U44" s="58" t="n">
        <x:f>U25*$B$86+U32*$B$87</x:f>
        <x:v>52773.53184576045</x:v>
      </x:c>
      <x:c r="V44" s="58" t="n">
        <x:f>V25*$B$86+V32*$B$87</x:f>
        <x:v>55305.23006318757</x:v>
      </x:c>
      <x:c r="W44" s="58" t="n">
        <x:f>W25*$B$86+W32*$B$87</x:f>
        <x:v>57989.685526988185</x:v>
      </x:c>
      <x:c r="X44" s="58" t="n">
        <x:f>X25*$B$86+X32*$B$87</x:f>
        <x:v>60849.087428842686</x:v>
      </x:c>
      <x:c r="Y44" s="58" t="n">
        <x:f>Y25*$B$86+Y32*$B$87</x:f>
        <x:v>63906.262413771496</x:v>
      </x:c>
      <x:c r="Z44" s="58" t="n">
        <x:f>Z25*$B$86+Z32*$B$87</x:f>
        <x:v>73394.29663862199</x:v>
      </x:c>
      <x:c r="AA44" s="58" t="n">
        <x:f>AA25*$B$86+AA32*$B$87</x:f>
        <x:v>76260.10557919521</x:v>
      </x:c>
      <x:c r="AB44" s="58" t="n">
        <x:f>AB25*$B$86+AB32*$B$87</x:f>
        <x:v>79223.11351656</x:v>
      </x:c>
      <x:c r="AC44" s="58" t="n">
        <x:f>AC25*$B$86+AC32*$B$87</x:f>
        <x:v>82592.22189137903</x:v>
      </x:c>
      <x:c r="AD44" s="58" t="n">
        <x:f>AD25*$B$86+AD32*$B$87</x:f>
        <x:v>85844.4550914132</x:v>
      </x:c>
      <x:c r="AE44" s="58" t="n">
        <x:f>AE25*$B$86+AE32*$B$87</x:f>
        <x:v>89266.39828600913</x:v>
      </x:c>
      <x:c r="AF44" s="58" t="n">
        <x:f>AF25*$B$86+AF32*$B$87</x:f>
        <x:v>101728.66817998463</x:v>
      </x:c>
      <x:c r="AG44" s="58" t="n">
        <x:f>AG25*$B$86+AG32*$B$87</x:f>
        <x:v>105754.88636967646</x:v>
      </x:c>
      <x:c r="AH44" s="58" t="n">
        <x:f>AH25*$B$86+AH32*$B$87</x:f>
        <x:v>109944.34781099722</x:v>
      </x:c>
      <x:c r="AI44" s="58" t="n">
        <x:f>AI25*$B$86+AI32*$B$87</x:f>
        <x:v>114350.86256115702</x:v>
      </x:c>
      <x:c r="AJ44" s="58" t="n">
        <x:f>AJ25*$B$86+AJ32*$B$87</x:f>
        <x:v>118996.83492509858</x:v>
      </x:c>
      <x:c r="AK44" s="58" t="n">
        <x:f>AK25*$B$86+AK32*$B$87</x:f>
        <x:v>123905.07449016103</x:v>
      </x:c>
    </x:row>
    <x:row r="45" ht="18" customHeight="1">
      <x:c r="A45" s="4" t="str">
        <x:v>Billing / entitlement reserve (INR)</x:v>
      </x:c>
      <x:c r="B45" s="58" t="n">
        <x:f>B25*$B$88+B32*$B$89</x:f>
        <x:v>534.7638</x:v>
      </x:c>
      <x:c r="C45" s="58" t="n">
        <x:f>C25*$B$88+C32*$B$89</x:f>
        <x:v>590.7725829000001</x:v>
      </x:c>
      <x:c r="D45" s="58" t="n">
        <x:f>D25*$B$88+D32*$B$89</x:f>
        <x:v>649.0535154997499</x:v>
      </x:c>
      <x:c r="E45" s="58" t="n">
        <x:f>E25*$B$88+E32*$B$89</x:f>
        <x:v>898.3951779800827</x:v>
      </x:c>
      <x:c r="F45" s="58" t="n">
        <x:f>F25*$B$88+F32*$B$89</x:f>
        <x:v>972.6027916160629</x:v>
      </x:c>
      <x:c r="G45" s="58" t="n">
        <x:f>G25*$B$88+G32*$B$89</x:f>
        <x:v>1052.370552808996</x:v>
      </x:c>
      <x:c r="H45" s="58" t="n">
        <x:f>H25*$B$88+H32*$B$89</x:f>
        <x:v>1542.5612384792046</x:v>
      </x:c>
      <x:c r="I45" s="58" t="n">
        <x:f>I25*$B$88+I32*$B$89</x:f>
        <x:v>1649.0292912091256</x:v>
      </x:c>
      <x:c r="J45" s="58" t="n">
        <x:f>J25*$B$88+J32*$B$89</x:f>
        <x:v>1762.5121420425169</x:v>
      </x:c>
      <x:c r="K45" s="58" t="n">
        <x:f>K25*$B$88+K32*$B$89</x:f>
        <x:v>1886.201916221989</x:v>
      </x:c>
      <x:c r="L45" s="58" t="n">
        <x:f>L25*$B$88+L32*$B$89</x:f>
        <x:v>2021.8228176946457</x:v>
      </x:c>
      <x:c r="M45" s="58" t="n">
        <x:f>M25*$B$88+M32*$B$89</x:f>
        <x:v>2171.232846652732</x:v>
      </x:c>
      <x:c r="N45" s="58" t="n">
        <x:f>N25*$B$88+N32*$B$89</x:f>
        <x:v>3070.5682205198095</x:v>
      </x:c>
      <x:c r="O45" s="58" t="n">
        <x:f>O25*$B$88+O32*$B$89</x:f>
        <x:v>3222.6964170003157</x:v>
      </x:c>
      <x:c r="P45" s="58" t="n">
        <x:f>P25*$B$88+P32*$B$89</x:f>
        <x:v>3379.7148187872194</x:v>
      </x:c>
      <x:c r="Q45" s="58" t="n">
        <x:f>Q25*$B$88+Q32*$B$89</x:f>
        <x:v>3597.155797283665</x:v>
      </x:c>
      <x:c r="R45" s="58" t="n">
        <x:f>R25*$B$88+R32*$B$89</x:f>
        <x:v>3773.085223322752</x:v>
      </x:c>
      <x:c r="S45" s="58" t="n">
        <x:f>S25*$B$88+S32*$B$89</x:f>
        <x:v>3960.591034800022</x:v>
      </x:c>
      <x:c r="T45" s="58" t="n">
        <x:f>T25*$B$88+T32*$B$89</x:f>
        <x:v>4977.643953202543</x:v>
      </x:c>
      <x:c r="U45" s="58" t="n">
        <x:f>U25*$B$88+U32*$B$89</x:f>
        <x:v>5211.412305848703</x:v>
      </x:c>
      <x:c r="V45" s="58" t="n">
        <x:f>V25*$B$88+V32*$B$89</x:f>
        <x:v>5456.26476064051</x:v>
      </x:c>
      <x:c r="W45" s="58" t="n">
        <x:f>W25*$B$88+W32*$B$89</x:f>
        <x:v>5716.988058783845</x:v>
      </x:c>
      <x:c r="X45" s="58" t="n">
        <x:f>X25*$B$88+X32*$B$89</x:f>
        <x:v>5995.669930761171</x:v>
      </x:c>
      <x:c r="Y45" s="58" t="n">
        <x:f>Y25*$B$88+Y32*$B$89</x:f>
        <x:v>6294.478222171906</x:v>
      </x:c>
      <x:c r="Z45" s="58" t="n">
        <x:f>Z25*$B$88+Z32*$B$89</x:f>
        <x:v>7244.840031466994</x:v>
      </x:c>
      <x:c r="AA45" s="58" t="n">
        <x:f>AA25*$B$88+AA32*$B$89</x:f>
        <x:v>7521.466337397135</x:v>
      </x:c>
      <x:c r="AB45" s="58" t="n">
        <x:f>AB25*$B$88+AB32*$B$89</x:f>
        <x:v>7808.9763184438</x:v>
      </x:c>
      <x:c r="AC45" s="58" t="n">
        <x:f>AC25*$B$88+AC32*$B$89</x:f>
        <x:v>8138.24048418585</x:v>
      </x:c>
      <x:c r="AD45" s="58" t="n">
        <x:f>AD25*$B$88+AD32*$B$89</x:f>
        <x:v>8455.684883324097</x:v>
      </x:c>
      <x:c r="AE45" s="58" t="n">
        <x:f>AE25*$B$88+AE32*$B$89</x:f>
        <x:v>8790.440900239024</x:v>
      </x:c>
      <x:c r="AF45" s="58" t="n">
        <x:f>AF25*$B$88+AF32*$B$89</x:f>
        <x:v>10040.0410972257</x:v>
      </x:c>
      <x:c r="AG45" s="58" t="n">
        <x:f>AG25*$B$88+AG32*$B$89</x:f>
        <x:v>10431.215843178155</x:v>
      </x:c>
      <x:c r="AH45" s="58" t="n">
        <x:f>AH25*$B$88+AH32*$B$89</x:f>
        <x:v>10840.020743598268</x:v>
      </x:c>
      <x:c r="AI45" s="58" t="n">
        <x:f>AI25*$B$88+AI32*$B$89</x:f>
        <x:v>11271.040117308727</x:v>
      </x:c>
      <x:c r="AJ45" s="58" t="n">
        <x:f>AJ25*$B$88+AJ32*$B$89</x:f>
        <x:v>11726.390653790866</x:v>
      </x:c>
      <x:c r="AK45" s="58" t="n">
        <x:f>AK25*$B$88+AK32*$B$89</x:f>
        <x:v>12208.245664405895</x:v>
      </x:c>
    </x:row>
    <x:row r="46" ht="18" customHeight="1">
      <x:c r="A46" s="4" t="str">
        <x:v>Paid users: AI cost (INR)</x:v>
      </x:c>
      <x:c r="B46" s="58" t="n">
        <x:f>B34*'Commercial Inputs'!$B$24*$B$90</x:f>
        <x:v>143.56485</x:v>
      </x:c>
      <x:c r="C46" s="58" t="n">
        <x:f>C34*'Commercial Inputs'!$B$24*$B$90</x:f>
        <x:v>283.36268317500003</x:v>
      </x:c>
      <x:c r="D46" s="58" t="n">
        <x:f>D34*'Commercial Inputs'!$B$24*$B$90</x:f>
        <x:v>428.87800990856255</x:v>
      </x:c>
      <x:c r="E46" s="58" t="n">
        <x:f>E34*'Commercial Inputs'!$B$24*$B$90</x:f>
        <x:v>634.437512012111</x:v>
      </x:c>
      <x:c r="F46" s="58" t="n">
        <x:f>F34*'Commercial Inputs'!$B$24*$B$90</x:f>
        <x:v>846.5189146903331</x:v>
      </x:c>
      <x:c r="G46" s="58" t="n">
        <x:f>G34*'Commercial Inputs'!$B$24*$B$90</x:f>
        <x:v>1070.1267127608323</x:v>
      </x:c>
      <x:c r="H46" s="58" t="n">
        <x:f>H34*'Commercial Inputs'!$B$24*$B$90</x:f>
        <x:v>1416.5864919642177</x:v>
      </x:c>
      <x:c r="I46" s="58" t="n">
        <x:f>I34*'Commercial Inputs'!$B$24*$B$90</x:f>
        <x:v>1768.6236630838828</x:v>
      </x:c>
      <x:c r="J46" s="58" t="n">
        <x:f>J34*'Commercial Inputs'!$B$24*$B$90</x:f>
        <x:v>2135.6789548814936</x:v>
      </x:c>
      <x:c r="K46" s="58" t="n">
        <x:f>K34*'Commercial Inputs'!$B$24*$B$90</x:f>
        <x:v>2523.022315647195</x:v>
      </x:c>
      <x:c r="L46" s="58" t="n">
        <x:f>L34*'Commercial Inputs'!$B$24*$B$90</x:f>
        <x:v>2933.82510328653</x:v>
      </x:c>
      <x:c r="M46" s="58" t="n">
        <x:f>M34*'Commercial Inputs'!$B$24*$B$90</x:f>
        <x:v>3371.5313726519666</x:v>
      </x:c>
      <x:c r="N46" s="58" t="n">
        <x:f>N34*'Commercial Inputs'!$B$24*$B$90</x:f>
        <x:v>3920.773020693106</x:v>
      </x:c>
      <x:c r="O46" s="58" t="n">
        <x:f>O34*'Commercial Inputs'!$B$24*$B$90</x:f>
        <x:v>4466.785969605373</x:v>
      </x:c>
      <x:c r="P46" s="58" t="n">
        <x:f>P34*'Commercial Inputs'!$B$24*$B$90</x:f>
        <x:v>5022.24848893244</x:v>
      </x:c>
      <x:c r="Q46" s="58" t="n">
        <x:f>Q34*'Commercial Inputs'!$B$24*$B$90</x:f>
        <x:v>5566.141848744889</x:v>
      </x:c>
      <x:c r="R46" s="58" t="n">
        <x:f>R34*'Commercial Inputs'!$B$24*$B$90</x:f>
        <x:v>6126.852440034105</x:v>
      </x:c>
      <x:c r="S46" s="58" t="n">
        <x:f>S34*'Commercial Inputs'!$B$24*$B$90</x:f>
        <x:v>6706.187311783297</x:v>
      </x:c>
      <x:c r="T46" s="58" t="n">
        <x:f>T34*'Commercial Inputs'!$B$24*$B$90</x:f>
        <x:v>7437.558991732762</x:v>
      </x:c>
      <x:c r="U46" s="58" t="n">
        <x:f>U34*'Commercial Inputs'!$B$24*$B$90</x:f>
        <x:v>8171.37672965429</x:v>
      </x:c>
      <x:c r="V46" s="58" t="n">
        <x:f>V34*'Commercial Inputs'!$B$24*$B$90</x:f>
        <x:v>8921.708379065069</x:v>
      </x:c>
      <x:c r="W46" s="58" t="n">
        <x:f>W34*'Commercial Inputs'!$B$24*$B$90</x:f>
        <x:v>9694.93844011629</x:v>
      </x:c>
      <x:c r="X46" s="58" t="n">
        <x:f>X34*'Commercial Inputs'!$B$24*$B$90</x:f>
        <x:v>10493.332077862537</x:v>
      </x:c>
      <x:c r="Y46" s="58" t="n">
        <x:f>Y34*'Commercial Inputs'!$B$24*$B$90</x:f>
        <x:v>11319.11460666603</x:v>
      </x:c>
      <x:c r="Z46" s="58" t="n">
        <x:f>Z34*'Commercial Inputs'!$B$24*$B$90</x:f>
        <x:v>12180.23506570618</x:v>
      </x:c>
      <x:c r="AA46" s="58" t="n">
        <x:f>AA34*'Commercial Inputs'!$B$24*$B$90</x:f>
        <x:v>13050.718358425509</x:v>
      </x:c>
      <x:c r="AB46" s="58" t="n">
        <x:f>AB34*'Commercial Inputs'!$B$24*$B$90</x:f>
        <x:v>13940.334209407541</x:v>
      </x:c>
      <x:c r="AC46" s="58" t="n">
        <x:f>AC34*'Commercial Inputs'!$B$24*$B$90</x:f>
        <x:v>14848.527706479901</x:v>
      </x:c>
      <x:c r="AD46" s="58" t="n">
        <x:f>AD34*'Commercial Inputs'!$B$24*$B$90</x:f>
        <x:v>15782.25430048362</x:v>
      </x:c>
      <x:c r="AE46" s="58" t="n">
        <x:f>AE34*'Commercial Inputs'!$B$24*$B$90</x:f>
        <x:v>16743.329515343237</x:v>
      </x:c>
      <x:c r="AF46" s="58" t="n">
        <x:f>AF34*'Commercial Inputs'!$B$24*$B$90</x:f>
        <x:v>17793.883686923382</x:v>
      </x:c>
      <x:c r="AG46" s="58" t="n">
        <x:f>AG34*'Commercial Inputs'!$B$24*$B$90</x:f>
        <x:v>18857.327228569007</x:v>
      </x:c>
      <x:c r="AH46" s="58" t="n">
        <x:f>AH34*'Commercial Inputs'!$B$24*$B$90</x:f>
        <x:v>19946.52354721239</x:v>
      </x:c>
      <x:c r="AI46" s="58" t="n">
        <x:f>AI34*'Commercial Inputs'!$B$24*$B$90</x:f>
        <x:v>21067.31719296192</x:v>
      </x:c>
      <x:c r="AJ46" s="58" t="n">
        <x:f>AJ34*'Commercial Inputs'!$B$24*$B$90</x:f>
        <x:v>22221.77317746652</x:v>
      </x:c>
      <x:c r="AK46" s="58" t="n">
        <x:f>AK34*'Commercial Inputs'!$B$24*$B$90</x:f>
        <x:v>23411.884965778117</x:v>
      </x:c>
    </x:row>
    <x:row r="47" ht="18" customHeight="1">
      <x:c r="A47" s="4" t="str">
        <x:v>Free users: AI cost (INR)</x:v>
      </x:c>
      <x:c r="B47" s="58" t="n">
        <x:f>B35*'Commercial Inputs'!$B$25*$B$90</x:f>
        <x:v>193.05</x:v>
      </x:c>
      <x:c r="C47" s="58" t="n">
        <x:f>C35*'Commercial Inputs'!$B$25*$B$90</x:f>
        <x:v>340.03521981</x:v>
      </x:c>
      <x:c r="D47" s="58" t="n">
        <x:f>D35*'Commercial Inputs'!$B$25*$B$90</x:f>
        <x:v>514.6536118902751</x:v>
      </x:c>
      <x:c r="E47" s="58" t="n">
        <x:f>E35*'Commercial Inputs'!$B$25*$B$90</x:f>
        <x:v>761.3250144145333</x:v>
      </x:c>
      <x:c r="F47" s="58" t="n">
        <x:f>F35*'Commercial Inputs'!$B$25*$B$90</x:f>
        <x:v>1015.8226976283997</x:v>
      </x:c>
      <x:c r="G47" s="58" t="n">
        <x:f>G35*'Commercial Inputs'!$B$25*$B$90</x:f>
        <x:v>1284.1520553129988</x:v>
      </x:c>
      <x:c r="H47" s="58" t="n">
        <x:f>H35*'Commercial Inputs'!$B$25*$B$90</x:f>
        <x:v>1699.9037903570613</x:v>
      </x:c>
      <x:c r="I47" s="58" t="n">
        <x:f>I35*'Commercial Inputs'!$B$25*$B$90</x:f>
        <x:v>2122.3483957006597</x:v>
      </x:c>
      <x:c r="J47" s="58" t="n">
        <x:f>J35*'Commercial Inputs'!$B$25*$B$90</x:f>
        <x:v>2562.814745857792</x:v>
      </x:c>
      <x:c r="K47" s="58" t="n">
        <x:f>K35*'Commercial Inputs'!$B$25*$B$90</x:f>
        <x:v>3027.6267787766337</x:v>
      </x:c>
      <x:c r="L47" s="58" t="n">
        <x:f>L35*'Commercial Inputs'!$B$25*$B$90</x:f>
        <x:v>3520.5901239438354</x:v>
      </x:c>
      <x:c r="M47" s="58" t="n">
        <x:f>M35*'Commercial Inputs'!$B$25*$B$90</x:f>
        <x:v>4045.8376471823603</x:v>
      </x:c>
      <x:c r="N47" s="58" t="n">
        <x:f>N35*'Commercial Inputs'!$B$25*$B$90</x:f>
        <x:v>4704.927624831728</x:v>
      </x:c>
      <x:c r="O47" s="58" t="n">
        <x:f>O35*'Commercial Inputs'!$B$25*$B$90</x:f>
        <x:v>5360.143163526446</x:v>
      </x:c>
      <x:c r="P47" s="58" t="n">
        <x:f>P35*'Commercial Inputs'!$B$25*$B$90</x:f>
        <x:v>6026.698186718928</x:v>
      </x:c>
      <x:c r="Q47" s="58" t="n">
        <x:f>Q35*'Commercial Inputs'!$B$25*$B$90</x:f>
        <x:v>6679.370218493867</x:v>
      </x:c>
      <x:c r="R47" s="58" t="n">
        <x:f>R35*'Commercial Inputs'!$B$25*$B$90</x:f>
        <x:v>7352.222928040926</x:v>
      </x:c>
      <x:c r="S47" s="58" t="n">
        <x:f>S35*'Commercial Inputs'!$B$25*$B$90</x:f>
        <x:v>8047.424774139959</x:v>
      </x:c>
      <x:c r="T47" s="58" t="n">
        <x:f>T35*'Commercial Inputs'!$B$25*$B$90</x:f>
        <x:v>8925.070790079315</x:v>
      </x:c>
      <x:c r="U47" s="58" t="n">
        <x:f>U35*'Commercial Inputs'!$B$25*$B$90</x:f>
        <x:v>9805.65207558515</x:v>
      </x:c>
      <x:c r="V47" s="58" t="n">
        <x:f>V35*'Commercial Inputs'!$B$25*$B$90</x:f>
        <x:v>10706.050054878084</x:v>
      </x:c>
      <x:c r="W47" s="58" t="n">
        <x:f>W35*'Commercial Inputs'!$B$25*$B$90</x:f>
        <x:v>11633.926128139545</x:v>
      </x:c>
      <x:c r="X47" s="58" t="n">
        <x:f>X35*'Commercial Inputs'!$B$25*$B$90</x:f>
        <x:v>12591.998493435045</x:v>
      </x:c>
      <x:c r="Y47" s="58" t="n">
        <x:f>Y35*'Commercial Inputs'!$B$25*$B$90</x:f>
        <x:v>13582.937527999235</x:v>
      </x:c>
      <x:c r="Z47" s="58" t="n">
        <x:f>Z35*'Commercial Inputs'!$B$25*$B$90</x:f>
        <x:v>14616.282078847416</x:v>
      </x:c>
      <x:c r="AA47" s="58" t="n">
        <x:f>AA35*'Commercial Inputs'!$B$25*$B$90</x:f>
        <x:v>15660.862030110611</x:v>
      </x:c>
      <x:c r="AB47" s="58" t="n">
        <x:f>AB35*'Commercial Inputs'!$B$25*$B$90</x:f>
        <x:v>16728.401051289053</x:v>
      </x:c>
      <x:c r="AC47" s="58" t="n">
        <x:f>AC35*'Commercial Inputs'!$B$25*$B$90</x:f>
        <x:v>17818.23324777588</x:v>
      </x:c>
      <x:c r="AD47" s="58" t="n">
        <x:f>AD35*'Commercial Inputs'!$B$25*$B$90</x:f>
        <x:v>18938.705160580343</x:v>
      </x:c>
      <x:c r="AE47" s="58" t="n">
        <x:f>AE35*'Commercial Inputs'!$B$25*$B$90</x:f>
        <x:v>20091.995418411883</x:v>
      </x:c>
      <x:c r="AF47" s="58" t="n">
        <x:f>AF35*'Commercial Inputs'!$B$25*$B$90</x:f>
        <x:v>21352.660424308055</x:v>
      </x:c>
      <x:c r="AG47" s="58" t="n">
        <x:f>AG35*'Commercial Inputs'!$B$25*$B$90</x:f>
        <x:v>22628.79267428281</x:v>
      </x:c>
      <x:c r="AH47" s="58" t="n">
        <x:f>AH35*'Commercial Inputs'!$B$25*$B$90</x:f>
        <x:v>23935.828256654862</x:v>
      </x:c>
      <x:c r="AI47" s="58" t="n">
        <x:f>AI35*'Commercial Inputs'!$B$25*$B$90</x:f>
        <x:v>25280.780631554306</x:v>
      </x:c>
      <x:c r="AJ47" s="58" t="n">
        <x:f>AJ35*'Commercial Inputs'!$B$25*$B$90</x:f>
        <x:v>26666.12781295982</x:v>
      </x:c>
      <x:c r="AK47" s="58" t="n">
        <x:f>AK35*'Commercial Inputs'!$B$25*$B$90</x:f>
        <x:v>28094.261958933745</x:v>
      </x:c>
    </x:row>
    <x:row r="48" ht="18" customHeight="1">
      <x:c r="A48" s="4" t="str">
        <x:v>Variable support/tools (INR)</x:v>
      </x:c>
      <x:c r="B48" s="58" t="n">
        <x:f>B34*'Commercial Inputs'!$B$28</x:f>
        <x:v>111.55</x:v>
      </x:c>
      <x:c r="C48" s="58" t="n">
        <x:f>C34*'Commercial Inputs'!$B$28</x:f>
        <x:v>220.173025</x:v>
      </x:c>
      <x:c r="D48" s="58" t="n">
        <x:f>D34*'Commercial Inputs'!$B$28</x:f>
        <x:v>333.2385469375</x:v>
      </x:c>
      <x:c r="E48" s="58" t="n">
        <x:f>E34*'Commercial Inputs'!$B$28</x:f>
        <x:v>492.95843979185</x:v>
      </x:c>
      <x:c r="F48" s="58" t="n">
        <x:f>F34*'Commercial Inputs'!$B$28</x:f>
        <x:v>657.7458544602432</x:v>
      </x:c>
      <x:c r="G48" s="58" t="n">
        <x:f>G34*'Commercial Inputs'!$B$28</x:f>
        <x:v>831.489287304454</x:v>
      </x:c>
      <x:c r="H48" s="58" t="n">
        <x:f>H34*'Commercial Inputs'!$B$28</x:f>
        <x:v>1100.688804945002</x:v>
      </x:c>
      <x:c r="I48" s="58" t="n">
        <x:f>I34*'Commercial Inputs'!$B$28</x:f>
        <x:v>1374.2219604381373</x:v>
      </x:c>
      <x:c r="J48" s="58" t="n">
        <x:f>J34*'Commercial Inputs'!$B$28</x:f>
        <x:v>1659.4242073671276</x:v>
      </x:c>
      <x:c r="K48" s="58" t="n">
        <x:f>K34*'Commercial Inputs'!$B$28</x:f>
        <x:v>1960.39029964817</x:v>
      </x:c>
      <x:c r="L48" s="58" t="n">
        <x:f>L34*'Commercial Inputs'!$B$28</x:f>
        <x:v>2279.584384838018</x:v>
      </x:c>
      <x:c r="M48" s="58" t="n">
        <x:f>M34*'Commercial Inputs'!$B$28</x:f>
        <x:v>2619.6824962330743</x:v>
      </x:c>
      <x:c r="N48" s="58" t="n">
        <x:f>N34*'Commercial Inputs'!$B$28</x:f>
        <x:v>3046.443683522227</x:v>
      </x:c>
      <x:c r="O48" s="58" t="n">
        <x:f>O34*'Commercial Inputs'!$B$28</x:f>
        <x:v>3470.696169079543</x:v>
      </x:c>
      <x:c r="P48" s="58" t="n">
        <x:f>P34*'Commercial Inputs'!$B$28</x:f>
        <x:v>3902.2909781914836</x:v>
      </x:c>
      <x:c r="Q48" s="58" t="n">
        <x:f>Q34*'Commercial Inputs'!$B$28</x:f>
        <x:v>4324.8965413713195</x:v>
      </x:c>
      <x:c r="R48" s="58" t="n">
        <x:f>R34*'Commercial Inputs'!$B$28</x:f>
        <x:v>4760.569106475606</x:v>
      </x:c>
      <x:c r="S48" s="58" t="n">
        <x:f>S34*'Commercial Inputs'!$B$28</x:f>
        <x:v>5210.7127519683745</x:v>
      </x:c>
      <x:c r="T48" s="58" t="n">
        <x:f>T34*'Commercial Inputs'!$B$28</x:f>
        <x:v>5778.989115565471</x:v>
      </x:c>
      <x:c r="U48" s="58" t="n">
        <x:f>U34*'Commercial Inputs'!$B$28</x:f>
        <x:v>6349.166068107452</x:v>
      </x:c>
      <x:c r="V48" s="58" t="n">
        <x:f>V34*'Commercial Inputs'!$B$28</x:f>
        <x:v>6932.174342707902</x:v>
      </x:c>
      <x:c r="W48" s="58" t="n">
        <x:f>W34*'Commercial Inputs'!$B$28</x:f>
        <x:v>7532.974700945057</x:v>
      </x:c>
      <x:c r="X48" s="58" t="n">
        <x:f>X34*'Commercial Inputs'!$B$28</x:f>
        <x:v>8153.327177826368</x:v>
      </x:c>
      <x:c r="Y48" s="58" t="n">
        <x:f>Y34*'Commercial Inputs'!$B$28</x:f>
        <x:v>8794.960844340349</x:v>
      </x:c>
      <x:c r="Z48" s="58" t="n">
        <x:f>Z34*'Commercial Inputs'!$B$28</x:f>
        <x:v>9464.052110105811</x:v>
      </x:c>
      <x:c r="AA48" s="58" t="n">
        <x:f>AA34*'Commercial Inputs'!$B$28</x:f>
        <x:v>10140.418304914925</x:v>
      </x:c>
      <x:c r="AB48" s="58" t="n">
        <x:f>AB34*'Commercial Inputs'!$B$28</x:f>
        <x:v>10831.650512360173</x:v>
      </x:c>
      <x:c r="AC48" s="58" t="n">
        <x:f>AC34*'Commercial Inputs'!$B$28</x:f>
        <x:v>11537.317565252448</x:v>
      </x:c>
      <x:c r="AD48" s="58" t="n">
        <x:f>AD34*'Commercial Inputs'!$B$28</x:f>
        <x:v>12262.823854299626</x:v>
      </x:c>
      <x:c r="AE48" s="58" t="n">
        <x:f>AE34*'Commercial Inputs'!$B$28</x:f>
        <x:v>13009.580043001737</x:v>
      </x:c>
      <x:c r="AF48" s="58" t="n">
        <x:f>AF34*'Commercial Inputs'!$B$28</x:f>
        <x:v>13825.861450600916</x:v>
      </x:c>
      <x:c r="AG48" s="58" t="n">
        <x:f>AG34*'Commercial Inputs'!$B$28</x:f>
        <x:v>14652.157908756026</x:v>
      </x:c>
      <x:c r="AH48" s="58" t="n">
        <x:f>AH34*'Commercial Inputs'!$B$28</x:f>
        <x:v>15498.464294648318</x:v>
      </x:c>
      <x:c r="AI48" s="58" t="n">
        <x:f>AI34*'Commercial Inputs'!$B$28</x:f>
        <x:v>16369.32182825324</x:v>
      </x:c>
      <x:c r="AJ48" s="58" t="n">
        <x:f>AJ34*'Commercial Inputs'!$B$28</x:f>
        <x:v>17266.335025226508</x:v>
      </x:c>
      <x:c r="AK48" s="58" t="n">
        <x:f>AK34*'Commercial Inputs'!$B$28</x:f>
        <x:v>18191.052809462406</x:v>
      </x:c>
    </x:row>
    <x:row r="49" ht="18" customHeight="1">
      <x:c r="A49" s="4" t="str">
        <x:v>Total direct costs (INR)</x:v>
      </x:c>
      <x:c r="B49" s="58" t="n">
        <x:f>SUM(B44:B48)</x:f>
        <x:v>6287.083598474576</x:v>
      </x:c>
      <x:c r="C49" s="58" t="n">
        <x:f>SUM(C44:C48)</x:f>
        <x:v>7332.147998066016</x:v>
      </x:c>
      <x:c r="D49" s="58" t="n">
        <x:f>SUM(D44:D48)</x:f>
        <x:v>8432.410847318717</x:v>
      </x:c>
      <x:c r="E49" s="58" t="n">
        <x:f>SUM(E44:E48)</x:f>
        <x:v>11796.026136565795</x:v>
      </x:c>
      <x:c r="F49" s="58" t="n">
        <x:f>SUM(F44:F48)</x:f>
        <x:v>13279.129407890137</x:v>
      </x:c>
      <x:c r="G49" s="58" t="n">
        <x:f>SUM(G44:G48)</x:f>
        <x:v>14853.22981224661</x:v>
      </x:c>
      <x:c r="H49" s="58" t="n">
        <x:f>SUM(H44:H48)</x:f>
        <x:v>21273.02135008868</x:v>
      </x:c>
      <x:c r="I49" s="58" t="n">
        <x:f>SUM(I44:I48)</x:f>
        <x:v>23547.768387386746</x:v>
      </x:c>
      <x:c r="J49" s="58" t="n">
        <x:f>SUM(J44:J48)</x:f>
        <x:v>25936.014670969835</x:v>
      </x:c>
      <x:c r="K49" s="58" t="n">
        <x:f>SUM(K44:K48)</x:f>
        <x:v>28493.69411117224</x:v>
      </x:c>
      <x:c r="L49" s="58" t="n">
        <x:f>SUM(L44:L48)</x:f>
        <x:v>31250.129041601183</x:v>
      </x:c>
      <x:c r="M49" s="58" t="n">
        <x:f>SUM(M44:M48)</x:f>
        <x:v>34236.84428795217</x:v>
      </x:c>
      <x:c r="N49" s="58" t="n">
        <x:f>SUM(N44:N48)</x:f>
        <x:v>45725.30745926325</x:v>
      </x:c>
      <x:c r="O49" s="58" t="n">
        <x:f>SUM(O44:O48)</x:f>
        <x:v>49106.41015391508</x:v>
      </x:c>
      <x:c r="P49" s="58" t="n">
        <x:f>SUM(P44:P48)</x:f>
        <x:v>52555.694213432864</x:v>
      </x:c>
      <x:c r="Q49" s="58" t="n">
        <x:f>SUM(Q44:Q48)</x:f>
        <x:v>56618.43179204402</x:v>
      </x:c>
      <x:c r="R49" s="58" t="n">
        <x:f>SUM(R44:R48)</x:f>
        <x:v>60280.6797104052</x:v>
      </x:c>
      <x:c r="S49" s="58" t="n">
        <x:f>SUM(S44:S48)</x:f>
        <x:v>64121.97083637849</x:v>
      </x:c>
      <x:c r="T49" s="58" t="n">
        <x:f>SUM(T44:T48)</x:f>
        <x:v>77457.28639549251</x:v>
      </x:c>
      <x:c r="U49" s="58" t="n">
        <x:f>SUM(U44:U48)</x:f>
        <x:v>82311.13902495605</x:v>
      </x:c>
      <x:c r="V49" s="58" t="n">
        <x:f>SUM(V44:V48)</x:f>
        <x:v>87321.42760047913</x:v>
      </x:c>
      <x:c r="W49" s="58" t="n">
        <x:f>SUM(W44:W48)</x:f>
        <x:v>92568.51285497291</x:v>
      </x:c>
      <x:c r="X49" s="58" t="n">
        <x:f>SUM(X44:X48)</x:f>
        <x:v>98083.41510872782</x:v>
      </x:c>
      <x:c r="Y49" s="58" t="n">
        <x:f>SUM(Y44:Y48)</x:f>
        <x:v>103897.753614949</x:v>
      </x:c>
      <x:c r="Z49" s="58" t="n">
        <x:f>SUM(Z44:Z48)</x:f>
        <x:v>116899.7059247484</x:v>
      </x:c>
      <x:c r="AA49" s="58" t="n">
        <x:f>SUM(AA44:AA48)</x:f>
        <x:v>122633.5706100434</x:v>
      </x:c>
      <x:c r="AB49" s="58" t="n">
        <x:f>SUM(AB44:AB48)</x:f>
        <x:v>128532.47560806056</x:v>
      </x:c>
      <x:c r="AC49" s="58" t="n">
        <x:f>SUM(AC44:AC48)</x:f>
        <x:v>134934.5408950731</x:v>
      </x:c>
      <x:c r="AD49" s="58" t="n">
        <x:f>SUM(AD44:AD48)</x:f>
        <x:v>141283.92329010088</x:v>
      </x:c>
      <x:c r="AE49" s="58" t="n">
        <x:f>SUM(AE44:AE48)</x:f>
        <x:v>147901.74416300503</x:v>
      </x:c>
      <x:c r="AF49" s="58" t="n">
        <x:f>SUM(AF44:AF48)</x:f>
        <x:v>164741.11483904265</x:v>
      </x:c>
      <x:c r="AG49" s="58" t="n">
        <x:f>SUM(AG44:AG48)</x:f>
        <x:v>172324.38002446244</x:v>
      </x:c>
      <x:c r="AH49" s="58" t="n">
        <x:f>SUM(AH44:AH48)</x:f>
        <x:v>180165.18465311106</x:v>
      </x:c>
      <x:c r="AI49" s="58" t="n">
        <x:f>SUM(AI44:AI48)</x:f>
        <x:v>188339.32233123522</x:v>
      </x:c>
      <x:c r="AJ49" s="58" t="n">
        <x:f>SUM(AJ44:AJ48)</x:f>
        <x:v>196877.4615945423</x:v>
      </x:c>
      <x:c r="AK49" s="58" t="n">
        <x:f>SUM(AK44:AK48)</x:f>
        <x:v>205810.51988874123</x:v>
      </x:c>
    </x:row>
    <x:row r="50" ht="18" customHeight="1">
      <x:c r="A50" s="74" t="str">
        <x:v>CONTRIBUTION BEFORE ACQUISITION / FIXED</x:v>
      </x:c>
      <x:c r="B50" s="75" t="n">
        <x:f>B38-B49</x:f>
        <x:v>-56.24328385593253</x:v>
      </x:c>
      <x:c r="C50" s="75" t="n">
        <x:f>C38-C49</x:f>
        <x:v>4666.265041547546</x:v>
      </x:c>
      <x:c r="D50" s="75" t="n">
        <x:f>D38-D49</x:f>
        <x:v>9444.519355118815</x:v>
      </x:c>
      <x:c r="E50" s="75" t="n">
        <x:f>E38-E49</x:f>
        <x:v>14485.759088593082</x:v>
      </x:c>
      <x:c r="F50" s="75" t="n">
        <x:f>F38-F49</x:f>
        <x:v>21505.47306025679</x:v>
      </x:c>
      <x:c r="G50" s="75" t="n">
        <x:f>G38-G49</x:f>
        <x:v>28811.500312071432</x:v>
      </x:c>
      <x:c r="H50" s="75" t="n">
        <x:f>H38-H49</x:f>
        <x:v>36500.961743069885</x:v>
      </x:c>
      <x:c r="I50" s="75" t="n">
        <x:f>I38-I49</x:f>
        <x:v>48245.84514813358</x:v>
      </x:c>
      <x:c r="J50" s="75" t="n">
        <x:f>J38-J49</x:f>
        <x:v>60332.808517364436</x:v>
      </x:c>
      <x:c r="K50" s="75" t="n">
        <x:f>K38-K49</x:f>
        <x:v>72980.38383045082</x:v>
      </x:c>
      <x:c r="L50" s="75" t="n">
        <x:f>L38-L49</x:f>
        <x:v>86293.55377942754</x:v>
      </x:c>
      <x:c r="M50" s="75" t="n">
        <x:f>M38-M49</x:f>
        <x:v>100384.37834388926</x:v>
      </x:c>
      <x:c r="N50" s="75" t="n">
        <x:f>N38-N49</x:f>
        <x:v>111154.52291875766</x:v>
      </x:c>
      <x:c r="O50" s="75" t="n">
        <x:f>O38-O49</x:f>
        <x:v>129424.27450062818</x:v>
      </x:c>
      <x:c r="P50" s="75" t="n">
        <x:f>P38-P49</x:f>
        <x:v>147795.79056517835</x:v>
      </x:c>
      <x:c r="Q50" s="75" t="n">
        <x:f>Q38-Q49</x:f>
        <x:v>165071.8279963727</x:v>
      </x:c>
      <x:c r="R50" s="75" t="n">
        <x:f>R38-R49</x:f>
        <x:v>183329.5860250736</x:v>
      </x:c>
      <x:c r="S50" s="75" t="n">
        <x:f>S38-S49</x:f>
        <x:v>202074.2372144313</x:v>
      </x:c>
      <x:c r="T50" s="75" t="n">
        <x:f>T38-T49</x:f>
        <x:v>218168.93255104747</x:v>
      </x:c>
      <x:c r="U50" s="75" t="n">
        <x:f>U38-U49</x:f>
        <x:v>242322.03490603174</x:v>
      </x:c>
      <x:c r="V50" s="75" t="n">
        <x:f>V38-V49</x:f>
        <x:v>266753.62174112117</x:v>
      </x:c>
      <x:c r="W50" s="75" t="n">
        <x:f>W38-W49</x:f>
        <x:v>291753.13169477385</x:v>
      </x:c>
      <x:c r="X50" s="75" t="n">
        <x:f>X38-X49</x:f>
        <x:v>317397.1495168802</x:v>
      </x:c>
      <x:c r="Y50" s="75" t="n">
        <x:f>Y38-Y49</x:f>
        <x:v>343758.1495527593</x:v>
      </x:c>
      <x:c r="Z50" s="75" t="n">
        <x:f>Z38-Z49</x:f>
        <x:v>364953.179558076</x:v>
      </x:c>
      <x:c r="AA50" s="75" t="n">
        <x:f>AA38-AA49</x:f>
        <x:v>393396.5944422086</x:v>
      </x:c>
      <x:c r="AB50" s="75" t="n">
        <x:f>AB38-AB49</x:f>
        <x:v>422247.50963852747</x:v>
      </x:c>
      <x:c r="AC50" s="75" t="n">
        <x:f>AC38-AC49</x:f>
        <x:v>451240.3371976926</x:v>
      </x:c>
      <x:c r="AD50" s="75" t="n">
        <x:f>AD38-AD49</x:f>
        <x:v>481207.8431055909</x:v>
      </x:c>
      <x:c r="AE50" s="75" t="n">
        <x:f>AE38-AE49</x:f>
        <x:v>511914.8100721206</x:v>
      </x:c>
      <x:c r="AF50" s="75" t="n">
        <x:f>AF38-AF49</x:f>
        <x:v>536853.5294731267</x:v>
      </x:c>
      <x:c r="AG50" s="75" t="n">
        <x:f>AG38-AG49</x:f>
        <x:v>571079.6006592909</x:v>
      </x:c>
      <x:c r="AH50" s="75" t="n">
        <x:f>AH38-AH49</x:f>
        <x:v>605863.8132637523</x:v>
      </x:c>
      <x:c r="AI50" s="75" t="n">
        <x:f>AI38-AI49</x:f>
        <x:v>641469.5275778326</x:v>
      </x:c>
      <x:c r="AJ50" s="75" t="n">
        <x:f>AJ38-AJ49</x:f>
        <x:v>677965.3730849414</x:v>
      </x:c>
      <x:c r="AK50" s="75" t="n">
        <x:f>AK38-AK49</x:f>
        <x:v>715415.0242224033</x:v>
      </x:c>
    </x:row>
    <x:row r="51" ht="18" customHeight="1">
      <x:c r="A51" s="4" t="str">
        <x:v>Contribution margin (%)</x:v>
      </x:c>
      <x:c r="B51" s="62" t="n">
        <x:f>IFERROR(B50/B38,0)</x:f>
        <x:v>-0.009026596898010037</x:v>
      </x:c>
      <x:c r="C51" s="62" t="n">
        <x:f>IFERROR(C50/C38,0)</x:f>
        <x:v>0.3889068517762775</x:v>
      </x:c>
      <x:c r="D51" s="62" t="n">
        <x:f>IFERROR(D50/D38,0)</x:f>
        <x:v>0.5283076707337062</x:v>
      </x:c>
      <x:c r="E51" s="62" t="n">
        <x:f>IFERROR(E50/E38,0)</x:f>
        <x:v>0.5511710473429422</x:v>
      </x:c>
      <x:c r="F51" s="62" t="n">
        <x:f>IFERROR(F50/F38,0)</x:f>
        <x:v>0.6182469119763508</x:v>
      </x:c>
      <x:c r="G51" s="62" t="n">
        <x:f>IFERROR(G50/G38,0)</x:f>
        <x:v>0.659834613200221</x:v>
      </x:c>
      <x:c r="H51" s="62" t="n">
        <x:f>IFERROR(H50/H38,0)</x:f>
        <x:v>0.6317889089317823</x:v>
      </x:c>
      <x:c r="I51" s="62" t="n">
        <x:f>IFERROR(I50/I38,0)</x:f>
        <x:v>0.6720074777161572</x:v>
      </x:c>
      <x:c r="J51" s="62" t="n">
        <x:f>IFERROR(J50/J38,0)</x:f>
        <x:v>0.699358195551727</x:v>
      </x:c>
      <x:c r="K51" s="62" t="n">
        <x:f>IFERROR(K50/K38,0)</x:f>
        <x:v>0.7192022367765258</x:v>
      </x:c>
      <x:c r="L51" s="62" t="n">
        <x:f>IFERROR(L50/L38,0)</x:f>
        <x:v>0.7341402932798827</x:v>
      </x:c>
      <x:c r="M51" s="62" t="n">
        <x:f>IFERROR(M50/M38,0)</x:f>
        <x:v>0.74568018609085</x:v>
      </x:c>
      <x:c r="N51" s="62" t="n">
        <x:f>IFERROR(N50/N38,0)</x:f>
        <x:v>0.7085329111519142</x:v>
      </x:c>
      <x:c r="O51" s="62" t="n">
        <x:f>IFERROR(O50/O38,0)</x:f>
        <x:v>0.7249413441227991</x:v>
      </x:c>
      <x:c r="P51" s="62" t="n">
        <x:f>IFERROR(P50/P38,0)</x:f>
        <x:v>0.7376825319188075</x:v>
      </x:c>
      <x:c r="Q51" s="62" t="n">
        <x:f>IFERROR(Q50/Q38,0)</x:f>
        <x:v>0.7446056861222446</x:v>
      </x:c>
      <x:c r="R51" s="62" t="n">
        <x:f>IFERROR(R50/R38,0)</x:f>
        <x:v>0.7525527935844041</x:v>
      </x:c>
      <x:c r="S51" s="62" t="n">
        <x:f>IFERROR(S50/S38,0)</x:f>
        <x:v>0.7591176399321988</x:v>
      </x:c>
      <x:c r="T51" s="62" t="n">
        <x:f>IFERROR(T50/T38,0)</x:f>
        <x:v>0.737989117908721</x:v>
      </x:c>
      <x:c r="U51" s="62" t="n">
        <x:f>IFERROR(U50/U38,0)</x:f>
        <x:v>0.7464487746946831</x:v>
      </x:c>
      <x:c r="V51" s="62" t="n">
        <x:f>IFERROR(V50/V38,0)</x:f>
        <x:v>0.7533815846023247</x:v>
      </x:c>
      <x:c r="W51" s="62" t="n">
        <x:f>IFERROR(W50/W38,0)</x:f>
        <x:v>0.7591379143804876</x:v>
      </x:c>
      <x:c r="X51" s="62" t="n">
        <x:f>IFERROR(X50/X38,0)</x:f>
        <x:v>0.7639277899867317</x:v>
      </x:c>
      <x:c r="Y51" s="62" t="n">
        <x:f>IFERROR(Y50/Y38,0)</x:f>
        <x:v>0.7679071070441685</x:v>
      </x:c>
      <x:c r="Z51" s="62" t="n">
        <x:f>IFERROR(Z50/Z38,0)</x:f>
        <x:v>0.7573954427862085</x:v>
      </x:c>
      <x:c r="AA51" s="62" t="n">
        <x:f>IFERROR(AA50/AA38,0)</x:f>
        <x:v>0.762351934217594</x:v>
      </x:c>
      <x:c r="AB51" s="62" t="n">
        <x:f>IFERROR(AB50/AB38,0)</x:f>
        <x:v>0.7666355367824129</x:v>
      </x:c>
      <x:c r="AC51" s="62" t="n">
        <x:f>IFERROR(AC50/AC38,0)</x:f>
        <x:v>0.7698049746961028</x:v>
      </x:c>
      <x:c r="AD51" s="62" t="n">
        <x:f>IFERROR(AD50/AD38,0)</x:f>
        <x:v>0.773034872239109</x:v>
      </x:c>
      <x:c r="AE51" s="62" t="n">
        <x:f>IFERROR(AE50/AE38,0)</x:f>
        <x:v>0.7758441445373312</x:v>
      </x:c>
      <x:c r="AF51" s="62" t="n">
        <x:f>IFERROR(AF50/AF38,0)</x:f>
        <x:v>0.7651904612234436</x:v>
      </x:c>
      <x:c r="AG51" s="62" t="n">
        <x:f>IFERROR(AG50/AG38,0)</x:f>
        <x:v>0.7681955107827572</x:v>
      </x:c>
      <x:c r="AH51" s="62" t="n">
        <x:f>IFERROR(AH50/AH38,0)</x:f>
        <x:v>0.7707906640460016</x:v>
      </x:c>
      <x:c r="AI51" s="62" t="n">
        <x:f>IFERROR(AI50/AI38,0)</x:f>
        <x:v>0.7730328829924218</x:v>
      </x:c>
      <x:c r="AJ51" s="62" t="n">
        <x:f>IFERROR(AJ50/AJ38,0)</x:f>
        <x:v>0.7749567650437781</x:v>
      </x:c>
      <x:c r="AK51" s="62" t="n">
        <x:f>IFERROR(AK50/AK38,0)</x:f>
        <x:v>0.7765905198739144</x:v>
      </x:c>
    </x:row>
    <x:row r="52" ht="18" customHeight="1">
      <x:c r="A52" s="4" t="str">
        <x:v>Core operating overhead (INR)</x:v>
      </x:c>
      <x:c r="B52" s="60" t="n">
        <x:f>'Scenario Inputs'!$C$24</x:f>
        <x:v>10000</x:v>
      </x:c>
      <x:c r="C52" s="60" t="n">
        <x:f>'Scenario Inputs'!$C$24</x:f>
        <x:v>10000</x:v>
      </x:c>
      <x:c r="D52" s="60" t="n">
        <x:f>'Scenario Inputs'!$C$24</x:f>
        <x:v>10000</x:v>
      </x:c>
      <x:c r="E52" s="60" t="n">
        <x:f>'Scenario Inputs'!$C$24</x:f>
        <x:v>10000</x:v>
      </x:c>
      <x:c r="F52" s="60" t="n">
        <x:f>'Scenario Inputs'!$C$24</x:f>
        <x:v>10000</x:v>
      </x:c>
      <x:c r="G52" s="60" t="n">
        <x:f>'Scenario Inputs'!$C$24</x:f>
        <x:v>10000</x:v>
      </x:c>
      <x:c r="H52" s="60" t="n">
        <x:f>'Scenario Inputs'!$C$24</x:f>
        <x:v>10000</x:v>
      </x:c>
      <x:c r="I52" s="60" t="n">
        <x:f>'Scenario Inputs'!$C$24</x:f>
        <x:v>10000</x:v>
      </x:c>
      <x:c r="J52" s="60" t="n">
        <x:f>'Scenario Inputs'!$C$24</x:f>
        <x:v>10000</x:v>
      </x:c>
      <x:c r="K52" s="60" t="n">
        <x:f>'Scenario Inputs'!$C$24</x:f>
        <x:v>10000</x:v>
      </x:c>
      <x:c r="L52" s="60" t="n">
        <x:f>'Scenario Inputs'!$C$24</x:f>
        <x:v>10000</x:v>
      </x:c>
      <x:c r="M52" s="60" t="n">
        <x:f>'Scenario Inputs'!$C$24</x:f>
        <x:v>10000</x:v>
      </x:c>
      <x:c r="N52" s="60" t="n">
        <x:f>'Scenario Inputs'!$C$25</x:f>
        <x:v>15000</x:v>
      </x:c>
      <x:c r="O52" s="60" t="n">
        <x:f>'Scenario Inputs'!$C$25</x:f>
        <x:v>15000</x:v>
      </x:c>
      <x:c r="P52" s="60" t="n">
        <x:f>'Scenario Inputs'!$C$25</x:f>
        <x:v>15000</x:v>
      </x:c>
      <x:c r="Q52" s="60" t="n">
        <x:f>'Scenario Inputs'!$C$25</x:f>
        <x:v>15000</x:v>
      </x:c>
      <x:c r="R52" s="60" t="n">
        <x:f>'Scenario Inputs'!$C$25</x:f>
        <x:v>15000</x:v>
      </x:c>
      <x:c r="S52" s="60" t="n">
        <x:f>'Scenario Inputs'!$C$25</x:f>
        <x:v>15000</x:v>
      </x:c>
      <x:c r="T52" s="60" t="n">
        <x:f>'Scenario Inputs'!$C$25</x:f>
        <x:v>15000</x:v>
      </x:c>
      <x:c r="U52" s="60" t="n">
        <x:f>'Scenario Inputs'!$C$25</x:f>
        <x:v>15000</x:v>
      </x:c>
      <x:c r="V52" s="60" t="n">
        <x:f>'Scenario Inputs'!$C$25</x:f>
        <x:v>15000</x:v>
      </x:c>
      <x:c r="W52" s="60" t="n">
        <x:f>'Scenario Inputs'!$C$25</x:f>
        <x:v>15000</x:v>
      </x:c>
      <x:c r="X52" s="60" t="n">
        <x:f>'Scenario Inputs'!$C$25</x:f>
        <x:v>15000</x:v>
      </x:c>
      <x:c r="Y52" s="60" t="n">
        <x:f>'Scenario Inputs'!$C$25</x:f>
        <x:v>15000</x:v>
      </x:c>
      <x:c r="Z52" s="60" t="n">
        <x:f>'Scenario Inputs'!$C$26</x:f>
        <x:v>25000</x:v>
      </x:c>
      <x:c r="AA52" s="60" t="n">
        <x:f>'Scenario Inputs'!$C$26</x:f>
        <x:v>25000</x:v>
      </x:c>
      <x:c r="AB52" s="60" t="n">
        <x:f>'Scenario Inputs'!$C$26</x:f>
        <x:v>25000</x:v>
      </x:c>
      <x:c r="AC52" s="60" t="n">
        <x:f>'Scenario Inputs'!$C$26</x:f>
        <x:v>25000</x:v>
      </x:c>
      <x:c r="AD52" s="60" t="n">
        <x:f>'Scenario Inputs'!$C$26</x:f>
        <x:v>25000</x:v>
      </x:c>
      <x:c r="AE52" s="60" t="n">
        <x:f>'Scenario Inputs'!$C$26</x:f>
        <x:v>25000</x:v>
      </x:c>
      <x:c r="AF52" s="60" t="n">
        <x:f>'Scenario Inputs'!$C$26</x:f>
        <x:v>25000</x:v>
      </x:c>
      <x:c r="AG52" s="60" t="n">
        <x:f>'Scenario Inputs'!$C$26</x:f>
        <x:v>25000</x:v>
      </x:c>
      <x:c r="AH52" s="60" t="n">
        <x:f>'Scenario Inputs'!$C$26</x:f>
        <x:v>25000</x:v>
      </x:c>
      <x:c r="AI52" s="60" t="n">
        <x:f>'Scenario Inputs'!$C$26</x:f>
        <x:v>25000</x:v>
      </x:c>
      <x:c r="AJ52" s="60" t="n">
        <x:f>'Scenario Inputs'!$C$26</x:f>
        <x:v>25000</x:v>
      </x:c>
      <x:c r="AK52" s="60" t="n">
        <x:f>'Scenario Inputs'!$C$26</x:f>
        <x:v>25000</x:v>
      </x:c>
    </x:row>
    <x:row r="53" ht="18" customHeight="1">
      <x:c r="A53" s="4" t="str">
        <x:v>Scaled technical QA reserve (INR)</x:v>
      </x:c>
      <x:c r="B53" s="58" t="n">
        <x:f>IF(B34&gt;='Commercial Inputs'!$B$38,'Commercial Inputs'!$B$42,IF(B34&gt;='Commercial Inputs'!$B$37,'Commercial Inputs'!$B$41,IF(B34&gt;='Commercial Inputs'!$B$36,'Commercial Inputs'!$B$40,IF(B34&gt;='Commercial Inputs'!$B$35,'Commercial Inputs'!$B$39,0))))</x:f>
        <x:v>0</x:v>
      </x:c>
      <x:c r="C53" s="58" t="n">
        <x:f>IF(C34&gt;='Commercial Inputs'!$B$38,'Commercial Inputs'!$B$42,IF(C34&gt;='Commercial Inputs'!$B$37,'Commercial Inputs'!$B$41,IF(C34&gt;='Commercial Inputs'!$B$36,'Commercial Inputs'!$B$40,IF(C34&gt;='Commercial Inputs'!$B$35,'Commercial Inputs'!$B$39,0))))</x:f>
        <x:v>0</x:v>
      </x:c>
      <x:c r="D53" s="58" t="n">
        <x:f>IF(D34&gt;='Commercial Inputs'!$B$38,'Commercial Inputs'!$B$42,IF(D34&gt;='Commercial Inputs'!$B$37,'Commercial Inputs'!$B$41,IF(D34&gt;='Commercial Inputs'!$B$36,'Commercial Inputs'!$B$40,IF(D34&gt;='Commercial Inputs'!$B$35,'Commercial Inputs'!$B$39,0))))</x:f>
        <x:v>0</x:v>
      </x:c>
      <x:c r="E53" s="58" t="n">
        <x:f>IF(E34&gt;='Commercial Inputs'!$B$38,'Commercial Inputs'!$B$42,IF(E34&gt;='Commercial Inputs'!$B$37,'Commercial Inputs'!$B$41,IF(E34&gt;='Commercial Inputs'!$B$36,'Commercial Inputs'!$B$40,IF(E34&gt;='Commercial Inputs'!$B$35,'Commercial Inputs'!$B$39,0))))</x:f>
        <x:v>0</x:v>
      </x:c>
      <x:c r="F53" s="58" t="n">
        <x:f>IF(F34&gt;='Commercial Inputs'!$B$38,'Commercial Inputs'!$B$42,IF(F34&gt;='Commercial Inputs'!$B$37,'Commercial Inputs'!$B$41,IF(F34&gt;='Commercial Inputs'!$B$36,'Commercial Inputs'!$B$40,IF(F34&gt;='Commercial Inputs'!$B$35,'Commercial Inputs'!$B$39,0))))</x:f>
        <x:v>0</x:v>
      </x:c>
      <x:c r="G53" s="58" t="n">
        <x:f>IF(G34&gt;='Commercial Inputs'!$B$38,'Commercial Inputs'!$B$42,IF(G34&gt;='Commercial Inputs'!$B$37,'Commercial Inputs'!$B$41,IF(G34&gt;='Commercial Inputs'!$B$36,'Commercial Inputs'!$B$40,IF(G34&gt;='Commercial Inputs'!$B$35,'Commercial Inputs'!$B$39,0))))</x:f>
        <x:v>0</x:v>
      </x:c>
      <x:c r="H53" s="58" t="n">
        <x:f>IF(H34&gt;='Commercial Inputs'!$B$38,'Commercial Inputs'!$B$42,IF(H34&gt;='Commercial Inputs'!$B$37,'Commercial Inputs'!$B$41,IF(H34&gt;='Commercial Inputs'!$B$36,'Commercial Inputs'!$B$40,IF(H34&gt;='Commercial Inputs'!$B$35,'Commercial Inputs'!$B$39,0))))</x:f>
        <x:v>0</x:v>
      </x:c>
      <x:c r="I53" s="58" t="n">
        <x:f>IF(I34&gt;='Commercial Inputs'!$B$38,'Commercial Inputs'!$B$42,IF(I34&gt;='Commercial Inputs'!$B$37,'Commercial Inputs'!$B$41,IF(I34&gt;='Commercial Inputs'!$B$36,'Commercial Inputs'!$B$40,IF(I34&gt;='Commercial Inputs'!$B$35,'Commercial Inputs'!$B$39,0))))</x:f>
        <x:v>0</x:v>
      </x:c>
      <x:c r="J53" s="58" t="n">
        <x:f>IF(J34&gt;='Commercial Inputs'!$B$38,'Commercial Inputs'!$B$42,IF(J34&gt;='Commercial Inputs'!$B$37,'Commercial Inputs'!$B$41,IF(J34&gt;='Commercial Inputs'!$B$36,'Commercial Inputs'!$B$40,IF(J34&gt;='Commercial Inputs'!$B$35,'Commercial Inputs'!$B$39,0))))</x:f>
        <x:v>0</x:v>
      </x:c>
      <x:c r="K53" s="58" t="n">
        <x:f>IF(K34&gt;='Commercial Inputs'!$B$38,'Commercial Inputs'!$B$42,IF(K34&gt;='Commercial Inputs'!$B$37,'Commercial Inputs'!$B$41,IF(K34&gt;='Commercial Inputs'!$B$36,'Commercial Inputs'!$B$40,IF(K34&gt;='Commercial Inputs'!$B$35,'Commercial Inputs'!$B$39,0))))</x:f>
        <x:v>0</x:v>
      </x:c>
      <x:c r="L53" s="58" t="n">
        <x:f>IF(L34&gt;='Commercial Inputs'!$B$38,'Commercial Inputs'!$B$42,IF(L34&gt;='Commercial Inputs'!$B$37,'Commercial Inputs'!$B$41,IF(L34&gt;='Commercial Inputs'!$B$36,'Commercial Inputs'!$B$40,IF(L34&gt;='Commercial Inputs'!$B$35,'Commercial Inputs'!$B$39,0))))</x:f>
        <x:v>0</x:v>
      </x:c>
      <x:c r="M53" s="58" t="n">
        <x:f>IF(M34&gt;='Commercial Inputs'!$B$38,'Commercial Inputs'!$B$42,IF(M34&gt;='Commercial Inputs'!$B$37,'Commercial Inputs'!$B$41,IF(M34&gt;='Commercial Inputs'!$B$36,'Commercial Inputs'!$B$40,IF(M34&gt;='Commercial Inputs'!$B$35,'Commercial Inputs'!$B$39,0))))</x:f>
        <x:v>10000</x:v>
      </x:c>
      <x:c r="N53" s="58" t="n">
        <x:f>IF(N34&gt;='Commercial Inputs'!$B$38,'Commercial Inputs'!$B$42,IF(N34&gt;='Commercial Inputs'!$B$37,'Commercial Inputs'!$B$41,IF(N34&gt;='Commercial Inputs'!$B$36,'Commercial Inputs'!$B$40,IF(N34&gt;='Commercial Inputs'!$B$35,'Commercial Inputs'!$B$39,0))))</x:f>
        <x:v>10000</x:v>
      </x:c>
      <x:c r="O53" s="58" t="n">
        <x:f>IF(O34&gt;='Commercial Inputs'!$B$38,'Commercial Inputs'!$B$42,IF(O34&gt;='Commercial Inputs'!$B$37,'Commercial Inputs'!$B$41,IF(O34&gt;='Commercial Inputs'!$B$36,'Commercial Inputs'!$B$40,IF(O34&gt;='Commercial Inputs'!$B$35,'Commercial Inputs'!$B$39,0))))</x:f>
        <x:v>10000</x:v>
      </x:c>
      <x:c r="P53" s="58" t="n">
        <x:f>IF(P34&gt;='Commercial Inputs'!$B$38,'Commercial Inputs'!$B$42,IF(P34&gt;='Commercial Inputs'!$B$37,'Commercial Inputs'!$B$41,IF(P34&gt;='Commercial Inputs'!$B$36,'Commercial Inputs'!$B$40,IF(P34&gt;='Commercial Inputs'!$B$35,'Commercial Inputs'!$B$39,0))))</x:f>
        <x:v>10000</x:v>
      </x:c>
      <x:c r="Q53" s="58" t="n">
        <x:f>IF(Q34&gt;='Commercial Inputs'!$B$38,'Commercial Inputs'!$B$42,IF(Q34&gt;='Commercial Inputs'!$B$37,'Commercial Inputs'!$B$41,IF(Q34&gt;='Commercial Inputs'!$B$36,'Commercial Inputs'!$B$40,IF(Q34&gt;='Commercial Inputs'!$B$35,'Commercial Inputs'!$B$39,0))))</x:f>
        <x:v>10000</x:v>
      </x:c>
      <x:c r="R53" s="58" t="n">
        <x:f>IF(R34&gt;='Commercial Inputs'!$B$38,'Commercial Inputs'!$B$42,IF(R34&gt;='Commercial Inputs'!$B$37,'Commercial Inputs'!$B$41,IF(R34&gt;='Commercial Inputs'!$B$36,'Commercial Inputs'!$B$40,IF(R34&gt;='Commercial Inputs'!$B$35,'Commercial Inputs'!$B$39,0))))</x:f>
        <x:v>10000</x:v>
      </x:c>
      <x:c r="S53" s="58" t="n">
        <x:f>IF(S34&gt;='Commercial Inputs'!$B$38,'Commercial Inputs'!$B$42,IF(S34&gt;='Commercial Inputs'!$B$37,'Commercial Inputs'!$B$41,IF(S34&gt;='Commercial Inputs'!$B$36,'Commercial Inputs'!$B$40,IF(S34&gt;='Commercial Inputs'!$B$35,'Commercial Inputs'!$B$39,0))))</x:f>
        <x:v>10000</x:v>
      </x:c>
      <x:c r="T53" s="58" t="n">
        <x:f>IF(T34&gt;='Commercial Inputs'!$B$38,'Commercial Inputs'!$B$42,IF(T34&gt;='Commercial Inputs'!$B$37,'Commercial Inputs'!$B$41,IF(T34&gt;='Commercial Inputs'!$B$36,'Commercial Inputs'!$B$40,IF(T34&gt;='Commercial Inputs'!$B$35,'Commercial Inputs'!$B$39,0))))</x:f>
        <x:v>10000</x:v>
      </x:c>
      <x:c r="U53" s="58" t="n">
        <x:f>IF(U34&gt;='Commercial Inputs'!$B$38,'Commercial Inputs'!$B$42,IF(U34&gt;='Commercial Inputs'!$B$37,'Commercial Inputs'!$B$41,IF(U34&gt;='Commercial Inputs'!$B$36,'Commercial Inputs'!$B$40,IF(U34&gt;='Commercial Inputs'!$B$35,'Commercial Inputs'!$B$39,0))))</x:f>
        <x:v>10000</x:v>
      </x:c>
      <x:c r="V53" s="58" t="n">
        <x:f>IF(V34&gt;='Commercial Inputs'!$B$38,'Commercial Inputs'!$B$42,IF(V34&gt;='Commercial Inputs'!$B$37,'Commercial Inputs'!$B$41,IF(V34&gt;='Commercial Inputs'!$B$36,'Commercial Inputs'!$B$40,IF(V34&gt;='Commercial Inputs'!$B$35,'Commercial Inputs'!$B$39,0))))</x:f>
        <x:v>10000</x:v>
      </x:c>
      <x:c r="W53" s="58" t="n">
        <x:f>IF(W34&gt;='Commercial Inputs'!$B$38,'Commercial Inputs'!$B$42,IF(W34&gt;='Commercial Inputs'!$B$37,'Commercial Inputs'!$B$41,IF(W34&gt;='Commercial Inputs'!$B$36,'Commercial Inputs'!$B$40,IF(W34&gt;='Commercial Inputs'!$B$35,'Commercial Inputs'!$B$39,0))))</x:f>
        <x:v>25000</x:v>
      </x:c>
      <x:c r="X53" s="58" t="n">
        <x:f>IF(X34&gt;='Commercial Inputs'!$B$38,'Commercial Inputs'!$B$42,IF(X34&gt;='Commercial Inputs'!$B$37,'Commercial Inputs'!$B$41,IF(X34&gt;='Commercial Inputs'!$B$36,'Commercial Inputs'!$B$40,IF(X34&gt;='Commercial Inputs'!$B$35,'Commercial Inputs'!$B$39,0))))</x:f>
        <x:v>25000</x:v>
      </x:c>
      <x:c r="Y53" s="58" t="n">
        <x:f>IF(Y34&gt;='Commercial Inputs'!$B$38,'Commercial Inputs'!$B$42,IF(Y34&gt;='Commercial Inputs'!$B$37,'Commercial Inputs'!$B$41,IF(Y34&gt;='Commercial Inputs'!$B$36,'Commercial Inputs'!$B$40,IF(Y34&gt;='Commercial Inputs'!$B$35,'Commercial Inputs'!$B$39,0))))</x:f>
        <x:v>25000</x:v>
      </x:c>
      <x:c r="Z53" s="58" t="n">
        <x:f>IF(Z34&gt;='Commercial Inputs'!$B$38,'Commercial Inputs'!$B$42,IF(Z34&gt;='Commercial Inputs'!$B$37,'Commercial Inputs'!$B$41,IF(Z34&gt;='Commercial Inputs'!$B$36,'Commercial Inputs'!$B$40,IF(Z34&gt;='Commercial Inputs'!$B$35,'Commercial Inputs'!$B$39,0))))</x:f>
        <x:v>25000</x:v>
      </x:c>
      <x:c r="AA53" s="58" t="n">
        <x:f>IF(AA34&gt;='Commercial Inputs'!$B$38,'Commercial Inputs'!$B$42,IF(AA34&gt;='Commercial Inputs'!$B$37,'Commercial Inputs'!$B$41,IF(AA34&gt;='Commercial Inputs'!$B$36,'Commercial Inputs'!$B$40,IF(AA34&gt;='Commercial Inputs'!$B$35,'Commercial Inputs'!$B$39,0))))</x:f>
        <x:v>25000</x:v>
      </x:c>
      <x:c r="AB53" s="58" t="n">
        <x:f>IF(AB34&gt;='Commercial Inputs'!$B$38,'Commercial Inputs'!$B$42,IF(AB34&gt;='Commercial Inputs'!$B$37,'Commercial Inputs'!$B$41,IF(AB34&gt;='Commercial Inputs'!$B$36,'Commercial Inputs'!$B$40,IF(AB34&gt;='Commercial Inputs'!$B$35,'Commercial Inputs'!$B$39,0))))</x:f>
        <x:v>25000</x:v>
      </x:c>
      <x:c r="AC53" s="58" t="n">
        <x:f>IF(AC34&gt;='Commercial Inputs'!$B$38,'Commercial Inputs'!$B$42,IF(AC34&gt;='Commercial Inputs'!$B$37,'Commercial Inputs'!$B$41,IF(AC34&gt;='Commercial Inputs'!$B$36,'Commercial Inputs'!$B$40,IF(AC34&gt;='Commercial Inputs'!$B$35,'Commercial Inputs'!$B$39,0))))</x:f>
        <x:v>25000</x:v>
      </x:c>
      <x:c r="AD53" s="58" t="n">
        <x:f>IF(AD34&gt;='Commercial Inputs'!$B$38,'Commercial Inputs'!$B$42,IF(AD34&gt;='Commercial Inputs'!$B$37,'Commercial Inputs'!$B$41,IF(AD34&gt;='Commercial Inputs'!$B$36,'Commercial Inputs'!$B$40,IF(AD34&gt;='Commercial Inputs'!$B$35,'Commercial Inputs'!$B$39,0))))</x:f>
        <x:v>25000</x:v>
      </x:c>
      <x:c r="AE53" s="58" t="n">
        <x:f>IF(AE34&gt;='Commercial Inputs'!$B$38,'Commercial Inputs'!$B$42,IF(AE34&gt;='Commercial Inputs'!$B$37,'Commercial Inputs'!$B$41,IF(AE34&gt;='Commercial Inputs'!$B$36,'Commercial Inputs'!$B$40,IF(AE34&gt;='Commercial Inputs'!$B$35,'Commercial Inputs'!$B$39,0))))</x:f>
        <x:v>25000</x:v>
      </x:c>
      <x:c r="AF53" s="58" t="n">
        <x:f>IF(AF34&gt;='Commercial Inputs'!$B$38,'Commercial Inputs'!$B$42,IF(AF34&gt;='Commercial Inputs'!$B$37,'Commercial Inputs'!$B$41,IF(AF34&gt;='Commercial Inputs'!$B$36,'Commercial Inputs'!$B$40,IF(AF34&gt;='Commercial Inputs'!$B$35,'Commercial Inputs'!$B$39,0))))</x:f>
        <x:v>25000</x:v>
      </x:c>
      <x:c r="AG53" s="58" t="n">
        <x:f>IF(AG34&gt;='Commercial Inputs'!$B$38,'Commercial Inputs'!$B$42,IF(AG34&gt;='Commercial Inputs'!$B$37,'Commercial Inputs'!$B$41,IF(AG34&gt;='Commercial Inputs'!$B$36,'Commercial Inputs'!$B$40,IF(AG34&gt;='Commercial Inputs'!$B$35,'Commercial Inputs'!$B$39,0))))</x:f>
        <x:v>25000</x:v>
      </x:c>
      <x:c r="AH53" s="58" t="n">
        <x:f>IF(AH34&gt;='Commercial Inputs'!$B$38,'Commercial Inputs'!$B$42,IF(AH34&gt;='Commercial Inputs'!$B$37,'Commercial Inputs'!$B$41,IF(AH34&gt;='Commercial Inputs'!$B$36,'Commercial Inputs'!$B$40,IF(AH34&gt;='Commercial Inputs'!$B$35,'Commercial Inputs'!$B$39,0))))</x:f>
        <x:v>25000</x:v>
      </x:c>
      <x:c r="AI53" s="58" t="n">
        <x:f>IF(AI34&gt;='Commercial Inputs'!$B$38,'Commercial Inputs'!$B$42,IF(AI34&gt;='Commercial Inputs'!$B$37,'Commercial Inputs'!$B$41,IF(AI34&gt;='Commercial Inputs'!$B$36,'Commercial Inputs'!$B$40,IF(AI34&gt;='Commercial Inputs'!$B$35,'Commercial Inputs'!$B$39,0))))</x:f>
        <x:v>25000</x:v>
      </x:c>
      <x:c r="AJ53" s="58" t="n">
        <x:f>IF(AJ34&gt;='Commercial Inputs'!$B$38,'Commercial Inputs'!$B$42,IF(AJ34&gt;='Commercial Inputs'!$B$37,'Commercial Inputs'!$B$41,IF(AJ34&gt;='Commercial Inputs'!$B$36,'Commercial Inputs'!$B$40,IF(AJ34&gt;='Commercial Inputs'!$B$35,'Commercial Inputs'!$B$39,0))))</x:f>
        <x:v>25000</x:v>
      </x:c>
      <x:c r="AK53" s="58" t="n">
        <x:f>IF(AK34&gt;='Commercial Inputs'!$B$38,'Commercial Inputs'!$B$42,IF(AK34&gt;='Commercial Inputs'!$B$37,'Commercial Inputs'!$B$41,IF(AK34&gt;='Commercial Inputs'!$B$36,'Commercial Inputs'!$B$40,IF(AK34&gt;='Commercial Inputs'!$B$35,'Commercial Inputs'!$B$39,0))))</x:f>
        <x:v>25000</x:v>
      </x:c>
    </x:row>
    <x:row r="54" ht="18" customHeight="1">
      <x:c r="A54" s="4" t="str">
        <x:v>Founder cash pay (INR)</x:v>
      </x:c>
      <x:c r="B54" s="60" t="n">
        <x:f>'Commercial Inputs'!$B$32</x:f>
        <x:v>0</x:v>
      </x:c>
      <x:c r="C54" s="60" t="n">
        <x:f>'Commercial Inputs'!$B$32</x:f>
        <x:v>0</x:v>
      </x:c>
      <x:c r="D54" s="60" t="n">
        <x:f>'Commercial Inputs'!$B$32</x:f>
        <x:v>0</x:v>
      </x:c>
      <x:c r="E54" s="60" t="n">
        <x:f>'Commercial Inputs'!$B$32</x:f>
        <x:v>0</x:v>
      </x:c>
      <x:c r="F54" s="60" t="n">
        <x:f>'Commercial Inputs'!$B$32</x:f>
        <x:v>0</x:v>
      </x:c>
      <x:c r="G54" s="60" t="n">
        <x:f>'Commercial Inputs'!$B$32</x:f>
        <x:v>0</x:v>
      </x:c>
      <x:c r="H54" s="60" t="n">
        <x:f>'Commercial Inputs'!$B$32</x:f>
        <x:v>0</x:v>
      </x:c>
      <x:c r="I54" s="60" t="n">
        <x:f>'Commercial Inputs'!$B$32</x:f>
        <x:v>0</x:v>
      </x:c>
      <x:c r="J54" s="60" t="n">
        <x:f>'Commercial Inputs'!$B$32</x:f>
        <x:v>0</x:v>
      </x:c>
      <x:c r="K54" s="60" t="n">
        <x:f>'Commercial Inputs'!$B$32</x:f>
        <x:v>0</x:v>
      </x:c>
      <x:c r="L54" s="60" t="n">
        <x:f>'Commercial Inputs'!$B$32</x:f>
        <x:v>0</x:v>
      </x:c>
      <x:c r="M54" s="60" t="n">
        <x:f>'Commercial Inputs'!$B$32</x:f>
        <x:v>0</x:v>
      </x:c>
      <x:c r="N54" s="60" t="n">
        <x:f>'Commercial Inputs'!$B$32</x:f>
        <x:v>0</x:v>
      </x:c>
      <x:c r="O54" s="60" t="n">
        <x:f>'Commercial Inputs'!$B$32</x:f>
        <x:v>0</x:v>
      </x:c>
      <x:c r="P54" s="60" t="n">
        <x:f>'Commercial Inputs'!$B$32</x:f>
        <x:v>0</x:v>
      </x:c>
      <x:c r="Q54" s="60" t="n">
        <x:f>'Commercial Inputs'!$B$32</x:f>
        <x:v>0</x:v>
      </x:c>
      <x:c r="R54" s="60" t="n">
        <x:f>'Commercial Inputs'!$B$32</x:f>
        <x:v>0</x:v>
      </x:c>
      <x:c r="S54" s="60" t="n">
        <x:f>'Commercial Inputs'!$B$32</x:f>
        <x:v>0</x:v>
      </x:c>
      <x:c r="T54" s="60" t="n">
        <x:f>'Commercial Inputs'!$B$32</x:f>
        <x:v>0</x:v>
      </x:c>
      <x:c r="U54" s="60" t="n">
        <x:f>'Commercial Inputs'!$B$32</x:f>
        <x:v>0</x:v>
      </x:c>
      <x:c r="V54" s="60" t="n">
        <x:f>'Commercial Inputs'!$B$32</x:f>
        <x:v>0</x:v>
      </x:c>
      <x:c r="W54" s="60" t="n">
        <x:f>'Commercial Inputs'!$B$32</x:f>
        <x:v>0</x:v>
      </x:c>
      <x:c r="X54" s="60" t="n">
        <x:f>'Commercial Inputs'!$B$32</x:f>
        <x:v>0</x:v>
      </x:c>
      <x:c r="Y54" s="60" t="n">
        <x:f>'Commercial Inputs'!$B$32</x:f>
        <x:v>0</x:v>
      </x:c>
      <x:c r="Z54" s="60" t="n">
        <x:f>'Commercial Inputs'!$B$32</x:f>
        <x:v>0</x:v>
      </x:c>
      <x:c r="AA54" s="60" t="n">
        <x:f>'Commercial Inputs'!$B$32</x:f>
        <x:v>0</x:v>
      </x:c>
      <x:c r="AB54" s="60" t="n">
        <x:f>'Commercial Inputs'!$B$32</x:f>
        <x:v>0</x:v>
      </x:c>
      <x:c r="AC54" s="60" t="n">
        <x:f>'Commercial Inputs'!$B$32</x:f>
        <x:v>0</x:v>
      </x:c>
      <x:c r="AD54" s="60" t="n">
        <x:f>'Commercial Inputs'!$B$32</x:f>
        <x:v>0</x:v>
      </x:c>
      <x:c r="AE54" s="60" t="n">
        <x:f>'Commercial Inputs'!$B$32</x:f>
        <x:v>0</x:v>
      </x:c>
      <x:c r="AF54" s="60" t="n">
        <x:f>'Commercial Inputs'!$B$32</x:f>
        <x:v>0</x:v>
      </x:c>
      <x:c r="AG54" s="60" t="n">
        <x:f>'Commercial Inputs'!$B$32</x:f>
        <x:v>0</x:v>
      </x:c>
      <x:c r="AH54" s="60" t="n">
        <x:f>'Commercial Inputs'!$B$32</x:f>
        <x:v>0</x:v>
      </x:c>
      <x:c r="AI54" s="60" t="n">
        <x:f>'Commercial Inputs'!$B$32</x:f>
        <x:v>0</x:v>
      </x:c>
      <x:c r="AJ54" s="60" t="n">
        <x:f>'Commercial Inputs'!$B$32</x:f>
        <x:v>0</x:v>
      </x:c>
      <x:c r="AK54" s="60" t="n">
        <x:f>'Commercial Inputs'!$B$32</x:f>
        <x:v>0</x:v>
      </x:c>
    </x:row>
    <x:row r="55" ht="18" customHeight="1">
      <x:c r="A55" s="4" t="str">
        <x:v>One-time launch expense (INR)</x:v>
      </x:c>
      <x:c r="B55" s="60" t="n">
        <x:f>'Commercial Inputs'!$B$30</x:f>
        <x:v>20000</x:v>
      </x:c>
      <x:c r="C55" s="60" t="n">
        <x:f>0</x:f>
        <x:v>0</x:v>
      </x:c>
      <x:c r="D55" s="60" t="n">
        <x:f>0</x:f>
        <x:v>0</x:v>
      </x:c>
      <x:c r="E55" s="60" t="n">
        <x:f>0</x:f>
        <x:v>0</x:v>
      </x:c>
      <x:c r="F55" s="60" t="n">
        <x:f>0</x:f>
        <x:v>0</x:v>
      </x:c>
      <x:c r="G55" s="60" t="n">
        <x:f>0</x:f>
        <x:v>0</x:v>
      </x:c>
      <x:c r="H55" s="60" t="n">
        <x:f>0</x:f>
        <x:v>0</x:v>
      </x:c>
      <x:c r="I55" s="60" t="n">
        <x:f>0</x:f>
        <x:v>0</x:v>
      </x:c>
      <x:c r="J55" s="60" t="n">
        <x:f>0</x:f>
        <x:v>0</x:v>
      </x:c>
      <x:c r="K55" s="60" t="n">
        <x:f>0</x:f>
        <x:v>0</x:v>
      </x:c>
      <x:c r="L55" s="60" t="n">
        <x:f>0</x:f>
        <x:v>0</x:v>
      </x:c>
      <x:c r="M55" s="60" t="n">
        <x:f>0</x:f>
        <x:v>0</x:v>
      </x:c>
      <x:c r="N55" s="60" t="n">
        <x:f>0</x:f>
        <x:v>0</x:v>
      </x:c>
      <x:c r="O55" s="60" t="n">
        <x:f>0</x:f>
        <x:v>0</x:v>
      </x:c>
      <x:c r="P55" s="60" t="n">
        <x:f>0</x:f>
        <x:v>0</x:v>
      </x:c>
      <x:c r="Q55" s="60" t="n">
        <x:f>0</x:f>
        <x:v>0</x:v>
      </x:c>
      <x:c r="R55" s="60" t="n">
        <x:f>0</x:f>
        <x:v>0</x:v>
      </x:c>
      <x:c r="S55" s="60" t="n">
        <x:f>0</x:f>
        <x:v>0</x:v>
      </x:c>
      <x:c r="T55" s="60" t="n">
        <x:f>0</x:f>
        <x:v>0</x:v>
      </x:c>
      <x:c r="U55" s="60" t="n">
        <x:f>0</x:f>
        <x:v>0</x:v>
      </x:c>
      <x:c r="V55" s="60" t="n">
        <x:f>0</x:f>
        <x:v>0</x:v>
      </x:c>
      <x:c r="W55" s="60" t="n">
        <x:f>0</x:f>
        <x:v>0</x:v>
      </x:c>
      <x:c r="X55" s="60" t="n">
        <x:f>0</x:f>
        <x:v>0</x:v>
      </x:c>
      <x:c r="Y55" s="60" t="n">
        <x:f>0</x:f>
        <x:v>0</x:v>
      </x:c>
      <x:c r="Z55" s="60" t="n">
        <x:f>0</x:f>
        <x:v>0</x:v>
      </x:c>
      <x:c r="AA55" s="60" t="n">
        <x:f>0</x:f>
        <x:v>0</x:v>
      </x:c>
      <x:c r="AB55" s="60" t="n">
        <x:f>0</x:f>
        <x:v>0</x:v>
      </x:c>
      <x:c r="AC55" s="60" t="n">
        <x:f>0</x:f>
        <x:v>0</x:v>
      </x:c>
      <x:c r="AD55" s="60" t="n">
        <x:f>0</x:f>
        <x:v>0</x:v>
      </x:c>
      <x:c r="AE55" s="60" t="n">
        <x:f>0</x:f>
        <x:v>0</x:v>
      </x:c>
      <x:c r="AF55" s="60" t="n">
        <x:f>0</x:f>
        <x:v>0</x:v>
      </x:c>
      <x:c r="AG55" s="60" t="n">
        <x:f>0</x:f>
        <x:v>0</x:v>
      </x:c>
      <x:c r="AH55" s="60" t="n">
        <x:f>0</x:f>
        <x:v>0</x:v>
      </x:c>
      <x:c r="AI55" s="60" t="n">
        <x:f>0</x:f>
        <x:v>0</x:v>
      </x:c>
      <x:c r="AJ55" s="60" t="n">
        <x:f>0</x:f>
        <x:v>0</x:v>
      </x:c>
      <x:c r="AK55" s="60" t="n">
        <x:f>0</x:f>
        <x:v>0</x:v>
      </x:c>
    </x:row>
    <x:row r="56" ht="18" customHeight="1">
      <x:c r="A56" s="74" t="str">
        <x:v>OPERATING PROFIT BEFORE INCOME TAX</x:v>
      </x:c>
      <x:c r="B56" s="75" t="n">
        <x:f>B50-B16-SUM(B52:B55)</x:f>
        <x:v>-42556.24328385593</x:v>
      </x:c>
      <x:c r="C56" s="75" t="n">
        <x:f>C50-C16-SUM(C52:C55)</x:f>
        <x:v>-17833.734958452453</x:v>
      </x:c>
      <x:c r="D56" s="75" t="n">
        <x:f>D50-D16-SUM(D52:D55)</x:f>
        <x:v>-13055.480644881185</x:v>
      </x:c>
      <x:c r="E56" s="75" t="n">
        <x:f>E50-E16-SUM(E52:E55)</x:f>
        <x:v>-15514.240911406918</x:v>
      </x:c>
      <x:c r="F56" s="75" t="n">
        <x:f>F50-F16-SUM(F52:F55)</x:f>
        <x:v>-8494.52693974321</x:v>
      </x:c>
      <x:c r="G56" s="75" t="n">
        <x:f>G50-G16-SUM(G52:G55)</x:f>
        <x:v>-1188.4996879285682</x:v>
      </x:c>
      <x:c r="H56" s="75" t="n">
        <x:f>H50-H16-SUM(H52:H55)</x:f>
        <x:v>-9749.038256930115</x:v>
      </x:c>
      <x:c r="I56" s="75" t="n">
        <x:f>I50-I16-SUM(I52:I55)</x:f>
        <x:v>1995.8451481335796</x:v>
      </x:c>
      <x:c r="J56" s="75" t="n">
        <x:f>J50-J16-SUM(J52:J55)</x:f>
        <x:v>14082.808517364436</x:v>
      </x:c>
      <x:c r="K56" s="75" t="n">
        <x:f>K50-K16-SUM(K52:K55)</x:f>
        <x:v>26730.383830450824</x:v>
      </x:c>
      <x:c r="L56" s="75" t="n">
        <x:f>L50-L16-SUM(L52:L55)</x:f>
        <x:v>40043.553779427544</x:v>
      </x:c>
      <x:c r="M56" s="75" t="n">
        <x:f>M50-M16-SUM(M52:M55)</x:f>
        <x:v>44134.37834388926</x:v>
      </x:c>
      <x:c r="N56" s="75" t="n">
        <x:f>N50-N16-SUM(N52:N55)</x:f>
        <x:v>13654.522918757662</x:v>
      </x:c>
      <x:c r="O56" s="75" t="n">
        <x:f>O50-O16-SUM(O52:O55)</x:f>
        <x:v>31924.274500628177</x:v>
      </x:c>
      <x:c r="P56" s="75" t="n">
        <x:f>P50-P16-SUM(P52:P55)</x:f>
        <x:v>50295.79056517835</x:v>
      </x:c>
      <x:c r="Q56" s="75" t="n">
        <x:f>Q50-Q16-SUM(Q52:Q55)</x:f>
        <x:v>67571.82799637271</x:v>
      </x:c>
      <x:c r="R56" s="75" t="n">
        <x:f>R50-R16-SUM(R52:R55)</x:f>
        <x:v>85829.5860250736</x:v>
      </x:c>
      <x:c r="S56" s="75" t="n">
        <x:f>S50-S16-SUM(S52:S55)</x:f>
        <x:v>104574.23721443131</x:v>
      </x:c>
      <x:c r="T56" s="75" t="n">
        <x:f>T50-T16-SUM(T52:T55)</x:f>
        <x:v>89418.93255104747</x:v>
      </x:c>
      <x:c r="U56" s="75" t="n">
        <x:f>U50-U16-SUM(U52:U55)</x:f>
        <x:v>113572.03490603174</x:v>
      </x:c>
      <x:c r="V56" s="75" t="n">
        <x:f>V50-V16-SUM(V52:V55)</x:f>
        <x:v>138003.62174112117</x:v>
      </x:c>
      <x:c r="W56" s="75" t="n">
        <x:f>W50-W16-SUM(W52:W55)</x:f>
        <x:v>148003.13169477385</x:v>
      </x:c>
      <x:c r="X56" s="75" t="n">
        <x:f>X50-X16-SUM(X52:X55)</x:f>
        <x:v>173647.14951688022</x:v>
      </x:c>
      <x:c r="Y56" s="75" t="n">
        <x:f>Y50-Y16-SUM(Y52:Y55)</x:f>
        <x:v>200008.1495527593</x:v>
      </x:c>
      <x:c r="Z56" s="75" t="n">
        <x:f>Z50-Z16-SUM(Z52:Z55)</x:f>
        <x:v>174953.17955807602</x:v>
      </x:c>
      <x:c r="AA56" s="75" t="n">
        <x:f>AA50-AA16-SUM(AA52:AA55)</x:f>
        <x:v>203396.5944422086</x:v>
      </x:c>
      <x:c r="AB56" s="75" t="n">
        <x:f>AB50-AB16-SUM(AB52:AB55)</x:f>
        <x:v>232247.50963852747</x:v>
      </x:c>
      <x:c r="AC56" s="75" t="n">
        <x:f>AC50-AC16-SUM(AC52:AC55)</x:f>
        <x:v>261240.3371976926</x:v>
      </x:c>
      <x:c r="AD56" s="75" t="n">
        <x:f>AD50-AD16-SUM(AD52:AD55)</x:f>
        <x:v>291207.8431055909</x:v>
      </x:c>
      <x:c r="AE56" s="75" t="n">
        <x:f>AE50-AE16-SUM(AE52:AE55)</x:f>
        <x:v>321914.8100721206</x:v>
      </x:c>
      <x:c r="AF56" s="75" t="n">
        <x:f>AF50-AF16-SUM(AF52:AF55)</x:f>
        <x:v>315603.52947312675</x:v>
      </x:c>
      <x:c r="AG56" s="75" t="n">
        <x:f>AG50-AG16-SUM(AG52:AG55)</x:f>
        <x:v>349829.6006592909</x:v>
      </x:c>
      <x:c r="AH56" s="75" t="n">
        <x:f>AH50-AH16-SUM(AH52:AH55)</x:f>
        <x:v>384613.81326375226</x:v>
      </x:c>
      <x:c r="AI56" s="75" t="n">
        <x:f>AI50-AI16-SUM(AI52:AI55)</x:f>
        <x:v>420219.5275778326</x:v>
      </x:c>
      <x:c r="AJ56" s="75" t="n">
        <x:f>AJ50-AJ16-SUM(AJ52:AJ55)</x:f>
        <x:v>456715.3730849414</x:v>
      </x:c>
      <x:c r="AK56" s="75" t="n">
        <x:f>AK50-AK16-SUM(AK52:AK55)</x:f>
        <x:v>494165.0242224033</x:v>
      </x:c>
    </x:row>
    <x:row r="57" ht="18" customHeight="1">
      <x:c r="A57" s="4" t="str">
        <x:v>Operating margin (%)</x:v>
      </x:c>
      <x:c r="B57" s="62" t="n">
        <x:f>IFERROR(B56/B38,0)</x:f>
        <x:v>-6.829936434739231</x:v>
      </x:c>
      <x:c r="C57" s="62" t="n">
        <x:f>IFERROR(C56/C38,0)</x:f>
        <x:v>-1.4863411435806706</x:v>
      </x:c>
      <x:c r="D57" s="62" t="n">
        <x:f>IFERROR(D56/D38,0)</x:f>
        <x:v>-0.7302976795815347</x:v>
      </x:c>
      <x:c r="E57" s="62" t="n">
        <x:f>IFERROR(E56/E38,0)</x:f>
        <x:v>-0.5903039226024697</x:v>
      </x:c>
      <x:c r="F57" s="62" t="n">
        <x:f>IFERROR(F56/F38,0)</x:f>
        <x:v>-0.2442036515300655</x:v>
      </x:c>
      <x:c r="G57" s="62" t="n">
        <x:f>IFERROR(G56/G38,0)</x:f>
        <x:v>-0.027218757210791995</x:v>
      </x:c>
      <x:c r="H57" s="62" t="n">
        <x:f>IFERROR(H56/H38,0)</x:f>
        <x:v>-0.1687444371147152</x:v>
      </x:c>
      <x:c r="I57" s="62" t="n">
        <x:f>IFERROR(I56/I38,0)</x:f>
        <x:v>0.027799758917917163</x:v>
      </x:c>
      <x:c r="J57" s="62" t="n">
        <x:f>IFERROR(J56/J38,0)</x:f>
        <x:v>0.16324331313318285</x:v>
      </x:c>
      <x:c r="K57" s="62" t="n">
        <x:f>IFERROR(K56/K38,0)</x:f>
        <x:v>0.2634208102470123</x:v>
      </x:c>
      <x:c r="L57" s="62" t="n">
        <x:f>IFERROR(L56/L38,0)</x:f>
        <x:v>0.34066955210513195</x:v>
      </x:c>
      <x:c r="M57" s="62" t="n">
        <x:f>IFERROR(M56/M38,0)</x:f>
        <x:v>0.32784116412749265</x:v>
      </x:c>
      <x:c r="N57" s="62" t="n">
        <x:f>IFERROR(N56/N38,0)</x:f>
        <x:v>0.08703810353348444</x:v>
      </x:c>
      <x:c r="O57" s="62" t="n">
        <x:f>IFERROR(O56/O38,0)</x:f>
        <x:v>0.17881673709145082</x:v>
      </x:c>
      <x:c r="P57" s="62" t="n">
        <x:f>IFERROR(P56/P38,0)</x:f>
        <x:v>0.251037773045482</x:v>
      </x:c>
      <x:c r="Q57" s="62" t="n">
        <x:f>IFERROR(Q56/Q38,0)</x:f>
        <x:v>0.3048028725342462</x:v>
      </x:c>
      <x:c r="R57" s="62" t="n">
        <x:f>IFERROR(R56/R38,0)</x:f>
        <x:v>0.3523233545431562</x:v>
      </x:c>
      <x:c r="S57" s="62" t="n">
        <x:f>IFERROR(S56/S38,0)</x:f>
        <x:v>0.3928464570557326</x:v>
      </x:c>
      <x:c r="T57" s="62" t="n">
        <x:f>IFERROR(T56/T38,0)</x:f>
        <x:v>0.3024729432649466</x:v>
      </x:c>
      <x:c r="U57" s="62" t="n">
        <x:f>IFERROR(U56/U38,0)</x:f>
        <x:v>0.3498472861870102</x:v>
      </x:c>
      <x:c r="V57" s="62" t="n">
        <x:f>IFERROR(V56/V38,0)</x:f>
        <x:v>0.38975810918543335</x:v>
      </x:c>
      <x:c r="W57" s="62" t="n">
        <x:f>IFERROR(W56/W38,0)</x:f>
        <x:v>0.3851022543062007</x:v>
      </x:c>
      <x:c r="X57" s="62" t="n">
        <x:f>IFERROR(X56/X38,0)</x:f>
        <x:v>0.4179428938471639</x:v>
      </x:c>
      <x:c r="Y57" s="62" t="n">
        <x:f>IFERROR(Y56/Y38,0)</x:f>
        <x:v>0.44678992980425175</x:v>
      </x:c>
      <x:c r="Z57" s="62" t="n">
        <x:f>IFERROR(Z56/Z38,0)</x:f>
        <x:v>0.3630842209915794</x:v>
      </x:c>
      <x:c r="AA57" s="62" t="n">
        <x:f>IFERROR(AA56/AA38,0)</x:f>
        <x:v>0.3941564044451028</x:v>
      </x:c>
      <x:c r="AB57" s="62" t="n">
        <x:f>IFERROR(AB56/AB38,0)</x:f>
        <x:v>0.4216702056349209</x:v>
      </x:c>
      <x:c r="AC57" s="62" t="n">
        <x:f>IFERROR(AC56/AC38,0)</x:f>
        <x:v>0.4456696234538215</x:v>
      </x:c>
      <x:c r="AD57" s="62" t="n">
        <x:f>IFERROR(AD56/AD38,0)</x:f>
        <x:v>0.46780995159457633</x:v>
      </x:c>
      <x:c r="AE57" s="62" t="n">
        <x:f>IFERROR(AE56/AE38,0)</x:f>
        <x:v>0.4878853190418837</x:v>
      </x:c>
      <x:c r="AF57" s="62" t="n">
        <x:f>IFERROR(AF56/AF38,0)</x:f>
        <x:v>0.4498374268271941</x:v>
      </x:c>
      <x:c r="AG57" s="62" t="n">
        <x:f>IFERROR(AG56/AG38,0)</x:f>
        <x:v>0.4705780568157996</x:v>
      </x:c>
      <x:c r="AH57" s="62" t="n">
        <x:f>IFERROR(AH56/AH38,0)</x:f>
        <x:v>0.4893124990083789</x:v>
      </x:c>
      <x:c r="AI57" s="62" t="n">
        <x:f>IFERROR(AI56/AI38,0)</x:f>
        <x:v>0.5064052132293854</x:v>
      </x:c>
      <x:c r="AJ57" s="62" t="n">
        <x:f>IFERROR(AJ56/AJ38,0)</x:f>
        <x:v>0.5220541964572052</x:v>
      </x:c>
      <x:c r="AK57" s="62" t="n">
        <x:f>IFERROR(AK56/AK38,0)</x:f>
        <x:v>0.5364213219892902</x:v>
      </x:c>
    </x:row>
    <x:row r="58" ht="18" customHeight="1">
      <x:c r="A58" s="4" t="str">
        <x:v>After imputed founder time (INR)</x:v>
      </x:c>
      <x:c r="B58" s="58" t="n">
        <x:f>B56-'Commercial Inputs'!$B$33</x:f>
        <x:v>-142556.24328385593</x:v>
      </x:c>
      <x:c r="C58" s="58" t="n">
        <x:f>C56-'Commercial Inputs'!$B$33</x:f>
        <x:v>-117833.73495845245</x:v>
      </x:c>
      <x:c r="D58" s="58" t="n">
        <x:f>D56-'Commercial Inputs'!$B$33</x:f>
        <x:v>-113055.48064488119</x:v>
      </x:c>
      <x:c r="E58" s="58" t="n">
        <x:f>E56-'Commercial Inputs'!$B$33</x:f>
        <x:v>-115514.24091140692</x:v>
      </x:c>
      <x:c r="F58" s="58" t="n">
        <x:f>F56-'Commercial Inputs'!$B$33</x:f>
        <x:v>-108494.52693974321</x:v>
      </x:c>
      <x:c r="G58" s="58" t="n">
        <x:f>G56-'Commercial Inputs'!$B$33</x:f>
        <x:v>-101188.49968792856</x:v>
      </x:c>
      <x:c r="H58" s="58" t="n">
        <x:f>H56-'Commercial Inputs'!$B$33</x:f>
        <x:v>-109749.03825693011</x:v>
      </x:c>
      <x:c r="I58" s="58" t="n">
        <x:f>I56-'Commercial Inputs'!$B$33</x:f>
        <x:v>-98004.15485186642</x:v>
      </x:c>
      <x:c r="J58" s="58" t="n">
        <x:f>J56-'Commercial Inputs'!$B$33</x:f>
        <x:v>-85917.19148263556</x:v>
      </x:c>
      <x:c r="K58" s="58" t="n">
        <x:f>K56-'Commercial Inputs'!$B$33</x:f>
        <x:v>-73269.61616954918</x:v>
      </x:c>
      <x:c r="L58" s="58" t="n">
        <x:f>L56-'Commercial Inputs'!$B$33</x:f>
        <x:v>-59956.446220572456</x:v>
      </x:c>
      <x:c r="M58" s="58" t="n">
        <x:f>M56-'Commercial Inputs'!$B$33</x:f>
        <x:v>-55865.62165611074</x:v>
      </x:c>
      <x:c r="N58" s="58" t="n">
        <x:f>N56-'Commercial Inputs'!$B$33</x:f>
        <x:v>-86345.47708124234</x:v>
      </x:c>
      <x:c r="O58" s="58" t="n">
        <x:f>O56-'Commercial Inputs'!$B$33</x:f>
        <x:v>-68075.72549937182</x:v>
      </x:c>
      <x:c r="P58" s="58" t="n">
        <x:f>P56-'Commercial Inputs'!$B$33</x:f>
        <x:v>-49704.20943482165</x:v>
      </x:c>
      <x:c r="Q58" s="58" t="n">
        <x:f>Q56-'Commercial Inputs'!$B$33</x:f>
        <x:v>-32428.17200362729</x:v>
      </x:c>
      <x:c r="R58" s="58" t="n">
        <x:f>R56-'Commercial Inputs'!$B$33</x:f>
        <x:v>-14170.4139749264</x:v>
      </x:c>
      <x:c r="S58" s="58" t="n">
        <x:f>S56-'Commercial Inputs'!$B$33</x:f>
        <x:v>4574.237214431312</x:v>
      </x:c>
      <x:c r="T58" s="58" t="n">
        <x:f>T56-'Commercial Inputs'!$B$33</x:f>
        <x:v>-10581.067448952526</x:v>
      </x:c>
      <x:c r="U58" s="58" t="n">
        <x:f>U56-'Commercial Inputs'!$B$33</x:f>
        <x:v>13572.034906031739</x:v>
      </x:c>
      <x:c r="V58" s="58" t="n">
        <x:f>V56-'Commercial Inputs'!$B$33</x:f>
        <x:v>38003.62174112117</x:v>
      </x:c>
      <x:c r="W58" s="58" t="n">
        <x:f>W56-'Commercial Inputs'!$B$33</x:f>
        <x:v>48003.13169477385</x:v>
      </x:c>
      <x:c r="X58" s="58" t="n">
        <x:f>X56-'Commercial Inputs'!$B$33</x:f>
        <x:v>73647.14951688022</x:v>
      </x:c>
      <x:c r="Y58" s="58" t="n">
        <x:f>Y56-'Commercial Inputs'!$B$33</x:f>
        <x:v>100008.1495527593</x:v>
      </x:c>
      <x:c r="Z58" s="58" t="n">
        <x:f>Z56-'Commercial Inputs'!$B$33</x:f>
        <x:v>74953.17955807602</x:v>
      </x:c>
      <x:c r="AA58" s="58" t="n">
        <x:f>AA56-'Commercial Inputs'!$B$33</x:f>
        <x:v>103396.59444220859</x:v>
      </x:c>
      <x:c r="AB58" s="58" t="n">
        <x:f>AB56-'Commercial Inputs'!$B$33</x:f>
        <x:v>132247.50963852747</x:v>
      </x:c>
      <x:c r="AC58" s="58" t="n">
        <x:f>AC56-'Commercial Inputs'!$B$33</x:f>
        <x:v>161240.3371976926</x:v>
      </x:c>
      <x:c r="AD58" s="58" t="n">
        <x:f>AD56-'Commercial Inputs'!$B$33</x:f>
        <x:v>191207.8431055909</x:v>
      </x:c>
      <x:c r="AE58" s="58" t="n">
        <x:f>AE56-'Commercial Inputs'!$B$33</x:f>
        <x:v>221914.81007212063</x:v>
      </x:c>
      <x:c r="AF58" s="58" t="n">
        <x:f>AF56-'Commercial Inputs'!$B$33</x:f>
        <x:v>215603.52947312675</x:v>
      </x:c>
      <x:c r="AG58" s="58" t="n">
        <x:f>AG56-'Commercial Inputs'!$B$33</x:f>
        <x:v>249829.6006592909</x:v>
      </x:c>
      <x:c r="AH58" s="58" t="n">
        <x:f>AH56-'Commercial Inputs'!$B$33</x:f>
        <x:v>284613.81326375226</x:v>
      </x:c>
      <x:c r="AI58" s="58" t="n">
        <x:f>AI56-'Commercial Inputs'!$B$33</x:f>
        <x:v>320219.5275778326</x:v>
      </x:c>
      <x:c r="AJ58" s="58" t="n">
        <x:f>AJ56-'Commercial Inputs'!$B$33</x:f>
        <x:v>356715.3730849414</x:v>
      </x:c>
      <x:c r="AK58" s="58" t="n">
        <x:f>AK56-'Commercial Inputs'!$B$33</x:f>
        <x:v>394165.0242224033</x:v>
      </x:c>
    </x:row>
    <x:row r="59" ht="18" customHeight="1">
      <x:c r="A59" s="4" t="str">
        <x:v>Net proceeds awaiting payout (INR)</x:v>
      </x:c>
      <x:c r="B59" s="58" t="n">
        <x:f>B43-B44</x:f>
        <x:v>44442.28222779662</x:v>
      </x:c>
      <x:c r="C59" s="58" t="n">
        <x:f>C43-C44</x:f>
        <x:v>49065.810513068136</x:v>
      </x:c>
      <x:c r="D59" s="58" t="n">
        <x:f>D43-D44</x:f>
        <x:v>53884.221181156594</x:v>
      </x:c>
      <x:c r="E59" s="58" t="n">
        <x:f>E43-E44</x:f>
        <x:v>74582.24894577061</x:v>
      </x:c>
      <x:c r="F59" s="58" t="n">
        <x:f>F43-F44</x:f>
        <x:v>80715.46033778992</x:v>
      </x:c>
      <x:c r="G59" s="58" t="n">
        <x:f>G43-G44</x:f>
        <x:v>87314.04698290525</x:v>
      </x:c>
      <x:c r="H59" s="58" t="n">
        <x:f>H43-H44</x:f>
        <x:v>128022.47429306142</x:v>
      </x:c>
      <x:c r="I59" s="58" t="n">
        <x:f>I43-I44</x:f>
        <x:v>136818.13337604018</x:v>
      </x:c>
      <x:c r="J59" s="58" t="n">
        <x:f>J43-J44</x:f>
        <x:v>146203.1449276755</x:v>
      </x:c>
      <x:c r="K59" s="58" t="n">
        <x:f>K43-K44</x:f>
        <x:v>156438.38754298803</x:v>
      </x:c>
      <x:c r="L59" s="58" t="n">
        <x:f>L43-L44</x:f>
        <x:v>167666.29100483574</x:v>
      </x:c>
      <x:c r="M59" s="58" t="n">
        <x:f>M43-M44</x:f>
        <x:v>180040.46180913594</x:v>
      </x:c>
      <x:c r="N59" s="58" t="n">
        <x:f>N43-N44</x:f>
        <x:v>254753.3292592244</x:v>
      </x:c>
      <x:c r="O59" s="58" t="n">
        <x:f>O43-O44</x:f>
        <x:v>267318.8346959249</x:v>
      </x:c>
      <x:c r="P59" s="58" t="n">
        <x:f>P43-P44</x:f>
        <x:v>280301.65626932215</x:v>
      </x:c>
      <x:c r="Q59" s="58" t="n">
        <x:f>Q43-Q44</x:f>
        <x:v>298315.65845190454</x:v>
      </x:c>
      <x:c r="R59" s="58" t="n">
        <x:f>R43-R44</x:f>
        <x:v>312877.5810843482</x:v>
      </x:c>
      <x:c r="S59" s="58" t="n">
        <x:f>S43-S44</x:f>
        <x:v>328403.8642836046</x:v>
      </x:c>
      <x:c r="T59" s="58" t="n">
        <x:f>T43-T44</x:f>
        <x:v>412884.0085999787</x:v>
      </x:c>
      <x:c r="U59" s="58" t="n">
        <x:f>U43-U44</x:f>
        <x:v>432216.1415846288</x:v>
      </x:c>
      <x:c r="V59" s="58" t="n">
        <x:f>V43-V44</x:f>
        <x:v>452480.6742676415</x:v>
      </x:c>
      <x:c r="W59" s="58" t="n">
        <x:f>W43-W44</x:f>
        <x:v>474067.9852380617</x:v>
      </x:c>
      <x:c r="X59" s="58" t="n">
        <x:f>X43-X44</x:f>
        <x:v>497150.3670071417</x:v>
      </x:c>
      <x:c r="Y59" s="58" t="n">
        <x:f>Y43-Y44</x:f>
        <x:v>521906.8986566195</x:v>
      </x:c>
      <x:c r="Z59" s="58" t="n">
        <x:f>Z43-Z44</x:f>
        <x:v>600837.5938927103</x:v>
      </x:c>
      <x:c r="AA59" s="58" t="n">
        <x:f>AA43-AA44</x:f>
        <x:v>623727.2403535837</x:v>
      </x:c>
      <x:c r="AB59" s="58" t="n">
        <x:f>AB43-AB44</x:f>
        <x:v>647530.1797364587</x:v>
      </x:c>
      <x:c r="AC59" s="58" t="n">
        <x:f>AC43-AC44</x:f>
        <x:v>674809.7357652291</x:v>
      </x:c>
      <x:c r="AD59" s="58" t="n">
        <x:f>AD43-AD44</x:f>
        <x:v>701106.6983780162</x:v>
      </x:c>
      <x:c r="AE59" s="58" t="n">
        <x:f>AE43-AE44</x:f>
        <x:v>728844.0005782173</x:v>
      </x:c>
      <x:c r="AF59" s="58" t="n">
        <x:f>AF43-AF44</x:f>
        <x:v>832638.259246495</x:v>
      </x:c>
      <x:c r="AG59" s="58" t="n">
        <x:f>AG43-AG44</x:f>
        <x:v>865027.7967920485</x:v>
      </x:c>
      <x:c r="AH59" s="58" t="n">
        <x:f>AH43-AH44</x:f>
        <x:v>898892.0155273937</x:v>
      </x:c>
      <x:c r="AI59" s="58" t="n">
        <x:f>AI43-AI44</x:f>
        <x:v>934605.0841538194</x:v>
      </x:c>
      <x:c r="AJ59" s="58" t="n">
        <x:f>AJ43-AJ44</x:f>
        <x:v>972341.7608178987</x:v>
      </x:c>
      <x:c r="AK59" s="58" t="n">
        <x:f>AK43-AK44</x:f>
        <x:v>1012281.6371030846</x:v>
      </x:c>
    </x:row>
    <x:row r="60" ht="18" customHeight="1">
      <x:c r="A60" s="4" t="str">
        <x:v>Payouts received this month (INR)</x:v>
      </x:c>
      <x:c r="B60" s="58" t="n">
        <x:f>B59*(1-'Commercial Inputs'!$B$31)+0*'Commercial Inputs'!$B$31</x:f>
        <x:v>22221.14111389831</x:v>
      </x:c>
      <x:c r="C60" s="58" t="n">
        <x:f>C59*(1-'Commercial Inputs'!$B$31)+B59*'Commercial Inputs'!$B$31</x:f>
        <x:v>46754.04637043238</x:v>
      </x:c>
      <x:c r="D60" s="58" t="n">
        <x:f>D59*(1-'Commercial Inputs'!$B$31)+C59*'Commercial Inputs'!$B$31</x:f>
        <x:v>51475.015847112365</x:v>
      </x:c>
      <x:c r="E60" s="58" t="n">
        <x:f>E59*(1-'Commercial Inputs'!$B$31)+D59*'Commercial Inputs'!$B$31</x:f>
        <x:v>64233.2350634636</x:v>
      </x:c>
      <x:c r="F60" s="58" t="n">
        <x:f>F59*(1-'Commercial Inputs'!$B$31)+E59*'Commercial Inputs'!$B$31</x:f>
        <x:v>77648.85464178026</x:v>
      </x:c>
      <x:c r="G60" s="58" t="n">
        <x:f>G59*(1-'Commercial Inputs'!$B$31)+F59*'Commercial Inputs'!$B$31</x:f>
        <x:v>84014.75366034757</x:v>
      </x:c>
      <x:c r="H60" s="58" t="n">
        <x:f>H59*(1-'Commercial Inputs'!$B$31)+G59*'Commercial Inputs'!$B$31</x:f>
        <x:v>107668.26063798333</x:v>
      </x:c>
      <x:c r="I60" s="58" t="n">
        <x:f>I59*(1-'Commercial Inputs'!$B$31)+H59*'Commercial Inputs'!$B$31</x:f>
        <x:v>132420.30383455078</x:v>
      </x:c>
      <x:c r="J60" s="58" t="n">
        <x:f>J59*(1-'Commercial Inputs'!$B$31)+I59*'Commercial Inputs'!$B$31</x:f>
        <x:v>141510.63915185782</x:v>
      </x:c>
      <x:c r="K60" s="58" t="n">
        <x:f>K59*(1-'Commercial Inputs'!$B$31)+J59*'Commercial Inputs'!$B$31</x:f>
        <x:v>151320.76623533177</x:v>
      </x:c>
      <x:c r="L60" s="58" t="n">
        <x:f>L59*(1-'Commercial Inputs'!$B$31)+K59*'Commercial Inputs'!$B$31</x:f>
        <x:v>162052.3392739119</x:v>
      </x:c>
      <x:c r="M60" s="58" t="n">
        <x:f>M59*(1-'Commercial Inputs'!$B$31)+L59*'Commercial Inputs'!$B$31</x:f>
        <x:v>173853.37640698586</x:v>
      </x:c>
      <x:c r="N60" s="58" t="n">
        <x:f>N59*(1-'Commercial Inputs'!$B$31)+M59*'Commercial Inputs'!$B$31</x:f>
        <x:v>217396.89553418016</x:v>
      </x:c>
      <x:c r="O60" s="58" t="n">
        <x:f>O59*(1-'Commercial Inputs'!$B$31)+N59*'Commercial Inputs'!$B$31</x:f>
        <x:v>261036.08197757465</x:v>
      </x:c>
      <x:c r="P60" s="58" t="n">
        <x:f>P59*(1-'Commercial Inputs'!$B$31)+O59*'Commercial Inputs'!$B$31</x:f>
        <x:v>273810.2454826235</x:v>
      </x:c>
      <x:c r="Q60" s="58" t="n">
        <x:f>Q59*(1-'Commercial Inputs'!$B$31)+P59*'Commercial Inputs'!$B$31</x:f>
        <x:v>289308.65736061335</x:v>
      </x:c>
      <x:c r="R60" s="58" t="n">
        <x:f>R59*(1-'Commercial Inputs'!$B$31)+Q59*'Commercial Inputs'!$B$31</x:f>
        <x:v>305596.6197681264</x:v>
      </x:c>
      <x:c r="S60" s="58" t="n">
        <x:f>S59*(1-'Commercial Inputs'!$B$31)+R59*'Commercial Inputs'!$B$31</x:f>
        <x:v>320640.7226839764</x:v>
      </x:c>
      <x:c r="T60" s="58" t="n">
        <x:f>T59*(1-'Commercial Inputs'!$B$31)+S59*'Commercial Inputs'!$B$31</x:f>
        <x:v>370643.93644179165</x:v>
      </x:c>
      <x:c r="U60" s="58" t="n">
        <x:f>U59*(1-'Commercial Inputs'!$B$31)+T59*'Commercial Inputs'!$B$31</x:f>
        <x:v>422550.07509230374</x:v>
      </x:c>
      <x:c r="V60" s="58" t="n">
        <x:f>V59*(1-'Commercial Inputs'!$B$31)+U59*'Commercial Inputs'!$B$31</x:f>
        <x:v>442348.4079261351</x:v>
      </x:c>
      <x:c r="W60" s="58" t="n">
        <x:f>W59*(1-'Commercial Inputs'!$B$31)+V59*'Commercial Inputs'!$B$31</x:f>
        <x:v>463274.3297528516</x:v>
      </x:c>
      <x:c r="X60" s="58" t="n">
        <x:f>X59*(1-'Commercial Inputs'!$B$31)+W59*'Commercial Inputs'!$B$31</x:f>
        <x:v>485609.1761226017</x:v>
      </x:c>
      <x:c r="Y60" s="58" t="n">
        <x:f>Y59*(1-'Commercial Inputs'!$B$31)+X59*'Commercial Inputs'!$B$31</x:f>
        <x:v>509528.6328318806</x:v>
      </x:c>
      <x:c r="Z60" s="58" t="n">
        <x:f>Z59*(1-'Commercial Inputs'!$B$31)+Y59*'Commercial Inputs'!$B$31</x:f>
        <x:v>561372.2462746649</x:v>
      </x:c>
      <x:c r="AA60" s="58" t="n">
        <x:f>AA59*(1-'Commercial Inputs'!$B$31)+Z59*'Commercial Inputs'!$B$31</x:f>
        <x:v>612282.417123147</x:v>
      </x:c>
      <x:c r="AB60" s="58" t="n">
        <x:f>AB59*(1-'Commercial Inputs'!$B$31)+AA59*'Commercial Inputs'!$B$31</x:f>
        <x:v>635628.7100450213</x:v>
      </x:c>
      <x:c r="AC60" s="58" t="n">
        <x:f>AC59*(1-'Commercial Inputs'!$B$31)+AB59*'Commercial Inputs'!$B$31</x:f>
        <x:v>661169.9577508438</x:v>
      </x:c>
      <x:c r="AD60" s="58" t="n">
        <x:f>AD59*(1-'Commercial Inputs'!$B$31)+AC59*'Commercial Inputs'!$B$31</x:f>
        <x:v>687958.2170716226</x:v>
      </x:c>
      <x:c r="AE60" s="58" t="n">
        <x:f>AE59*(1-'Commercial Inputs'!$B$31)+AD59*'Commercial Inputs'!$B$31</x:f>
        <x:v>714975.3494781167</x:v>
      </x:c>
      <x:c r="AF60" s="58" t="n">
        <x:f>AF59*(1-'Commercial Inputs'!$B$31)+AE59*'Commercial Inputs'!$B$31</x:f>
        <x:v>780741.1299123561</x:v>
      </x:c>
      <x:c r="AG60" s="58" t="n">
        <x:f>AG59*(1-'Commercial Inputs'!$B$31)+AF59*'Commercial Inputs'!$B$31</x:f>
        <x:v>848833.0280192718</x:v>
      </x:c>
      <x:c r="AH60" s="58" t="n">
        <x:f>AH59*(1-'Commercial Inputs'!$B$31)+AG59*'Commercial Inputs'!$B$31</x:f>
        <x:v>881959.9061597211</x:v>
      </x:c>
      <x:c r="AI60" s="58" t="n">
        <x:f>AI59*(1-'Commercial Inputs'!$B$31)+AH59*'Commercial Inputs'!$B$31</x:f>
        <x:v>916748.5498406065</x:v>
      </x:c>
      <x:c r="AJ60" s="58" t="n">
        <x:f>AJ59*(1-'Commercial Inputs'!$B$31)+AI59*'Commercial Inputs'!$B$31</x:f>
        <x:v>953473.422485859</x:v>
      </x:c>
      <x:c r="AK60" s="58" t="n">
        <x:f>AK59*(1-'Commercial Inputs'!$B$31)+AJ59*'Commercial Inputs'!$B$31</x:f>
        <x:v>992311.6989604917</x:v>
      </x:c>
    </x:row>
    <x:row r="61" ht="18" customHeight="1">
      <x:c r="A61" s="4" t="str">
        <x:v>Cash outgo other than withheld fees (INR)</x:v>
      </x:c>
      <x:c r="B61" s="58" t="n">
        <x:f>SUM(B45:B48)+B16+SUM(B52:B55)</x:f>
        <x:v>43482.92865</x:v>
      </x:c>
      <x:c r="C61" s="58" t="n">
        <x:f>SUM(C45:C48)+C16+SUM(C52:C55)</x:f>
        <x:v>23934.343510885003</x:v>
      </x:c>
      <x:c r="D61" s="58" t="n">
        <x:f>SUM(D45:D48)+D16+SUM(D52:D55)</x:f>
        <x:v>24425.823684236086</x:v>
      </x:c>
      <x:c r="E61" s="58" t="n">
        <x:f>SUM(E45:E48)+E16+SUM(E52:E55)</x:f>
        <x:v>32787.116144198575</x:v>
      </x:c>
      <x:c r="F61" s="58" t="n">
        <x:f>SUM(F45:F48)+F16+SUM(F52:F55)</x:f>
        <x:v>33492.69025839504</x:v>
      </x:c>
      <x:c r="G61" s="58" t="n">
        <x:f>SUM(G45:G48)+G16+SUM(G52:G55)</x:f>
        <x:v>34238.13860818728</x:v>
      </x:c>
      <x:c r="H61" s="58" t="n">
        <x:f>SUM(H45:H48)+H16+SUM(H52:H55)</x:f>
        <x:v>52009.740325745486</x:v>
      </x:c>
      <x:c r="I61" s="58" t="n">
        <x:f>SUM(I45:I48)+I16+SUM(I52:I55)</x:f>
        <x:v>53164.22331043181</x:v>
      </x:c>
      <x:c r="J61" s="58" t="n">
        <x:f>SUM(J45:J48)+J16+SUM(J52:J55)</x:f>
        <x:v>54370.43005014893</x:v>
      </x:c>
      <x:c r="K61" s="58" t="n">
        <x:f>SUM(K45:K48)+K16+SUM(K52:K55)</x:f>
        <x:v>55647.24131029399</x:v>
      </x:c>
      <x:c r="L61" s="58" t="n">
        <x:f>SUM(L45:L48)+L16+SUM(L52:L55)</x:f>
        <x:v>57005.82242976303</x:v>
      </x:c>
      <x:c r="M61" s="58" t="n">
        <x:f>SUM(M45:M48)+M16+SUM(M52:M55)</x:f>
        <x:v>68458.28436272014</x:v>
      </x:c>
      <x:c r="N61" s="58" t="n">
        <x:f>SUM(N45:N48)+N16+SUM(N52:N55)</x:f>
        <x:v>112242.71254956687</x:v>
      </x:c>
      <x:c r="O61" s="58" t="n">
        <x:f>SUM(O45:O48)+O16+SUM(O52:O55)</x:f>
        <x:v>114020.32171921167</x:v>
      </x:c>
      <x:c r="P61" s="58" t="n">
        <x:f>SUM(P45:P48)+P16+SUM(P52:P55)</x:f>
        <x:v>115830.95247263007</x:v>
      </x:c>
      <x:c r="Q61" s="58" t="n">
        <x:f>SUM(Q45:Q48)+Q16+SUM(Q52:Q55)</x:f>
        <x:v>117667.56440589373</x:v>
      </x:c>
      <x:c r="R61" s="58" t="n">
        <x:f>SUM(R45:R48)+R16+SUM(R52:R55)</x:f>
        <x:v>119512.7296978734</x:v>
      </x:c>
      <x:c r="S61" s="58" t="n">
        <x:f>SUM(S45:S48)+S16+SUM(S52:S55)</x:f>
        <x:v>121424.91587269165</x:v>
      </x:c>
      <x:c r="T61" s="58" t="n">
        <x:f>SUM(T45:T48)+T16+SUM(T52:T55)</x:f>
        <x:v>155869.2628505801</x:v>
      </x:c>
      <x:c r="U61" s="58" t="n">
        <x:f>SUM(U45:U48)+U16+SUM(U52:U55)</x:f>
        <x:v>158287.6071791956</x:v>
      </x:c>
      <x:c r="V61" s="58" t="n">
        <x:f>SUM(V45:V48)+V16+SUM(V52:V55)</x:f>
        <x:v>160766.19753729156</x:v>
      </x:c>
      <x:c r="W61" s="58" t="n">
        <x:f>SUM(W45:W48)+W16+SUM(W52:W55)</x:f>
        <x:v>178328.82732798473</x:v>
      </x:c>
      <x:c r="X61" s="58" t="n">
        <x:f>SUM(X45:X48)+X16+SUM(X52:X55)</x:f>
        <x:v>180984.32767988511</x:v>
      </x:c>
      <x:c r="Y61" s="58" t="n">
        <x:f>SUM(Y45:Y48)+Y16+SUM(Y52:Y55)</x:f>
        <x:v>183741.49120117753</x:v>
      </x:c>
      <x:c r="Z61" s="58" t="n">
        <x:f>SUM(Z45:Z48)+Z16+SUM(Z52:Z55)</x:f>
        <x:v>233505.4092861264</x:v>
      </x:c>
      <x:c r="AA61" s="58" t="n">
        <x:f>SUM(AA45:AA48)+AA16+SUM(AA52:AA55)</x:f>
        <x:v>236373.46503084817</x:v>
      </x:c>
      <x:c r="AB61" s="58" t="n">
        <x:f>SUM(AB45:AB48)+AB16+SUM(AB52:AB55)</x:f>
        <x:v>239309.36209150057</x:v>
      </x:c>
      <x:c r="AC61" s="58" t="n">
        <x:f>SUM(AC45:AC48)+AC16+SUM(AC52:AC55)</x:f>
        <x:v>242342.31900369408</x:v>
      </x:c>
      <x:c r="AD61" s="58" t="n">
        <x:f>SUM(AD45:AD48)+AD16+SUM(AD52:AD55)</x:f>
        <x:v>245439.46819868768</x:v>
      </x:c>
      <x:c r="AE61" s="58" t="n">
        <x:f>SUM(AE45:AE48)+AE16+SUM(AE52:AE55)</x:f>
        <x:v>248635.34587699588</x:v>
      </x:c>
      <x:c r="AF61" s="58" t="n">
        <x:f>SUM(AF45:AF48)+AF16+SUM(AF52:AF55)</x:f>
        <x:v>284262.44665905804</x:v>
      </x:c>
      <x:c r="AG61" s="58" t="n">
        <x:f>SUM(AG45:AG48)+AG16+SUM(AG52:AG55)</x:f>
        <x:v>287819.493654786</x:v>
      </x:c>
      <x:c r="AH61" s="58" t="n">
        <x:f>SUM(AH45:AH48)+AH16+SUM(AH52:AH55)</x:f>
        <x:v>291470.8368421139</x:v>
      </x:c>
      <x:c r="AI61" s="58" t="n">
        <x:f>SUM(AI45:AI48)+AI16+SUM(AI52:AI55)</x:f>
        <x:v>295238.4597700782</x:v>
      </x:c>
      <x:c r="AJ61" s="58" t="n">
        <x:f>SUM(AJ45:AJ48)+AJ16+SUM(AJ52:AJ55)</x:f>
        <x:v>299130.6266694437</x:v>
      </x:c>
      <x:c r="AK61" s="58" t="n">
        <x:f>SUM(AK45:AK48)+AK16+SUM(AK52:AK55)</x:f>
        <x:v>303155.44539858017</x:v>
      </x:c>
    </x:row>
    <x:row r="62" ht="18" customHeight="1">
      <x:c r="A62" s="74" t="str">
        <x:v>NET CASH MOVEMENT (INR)</x:v>
      </x:c>
      <x:c r="B62" s="75" t="n">
        <x:f>B60-B61</x:f>
        <x:v>-21261.787536101692</x:v>
      </x:c>
      <x:c r="C62" s="75" t="n">
        <x:f>C60-C61</x:f>
        <x:v>22819.702859547375</x:v>
      </x:c>
      <x:c r="D62" s="75" t="n">
        <x:f>D60-D61</x:f>
        <x:v>27049.19216287628</x:v>
      </x:c>
      <x:c r="E62" s="75" t="n">
        <x:f>E60-E61</x:f>
        <x:v>31446.118919265027</x:v>
      </x:c>
      <x:c r="F62" s="75" t="n">
        <x:f>F60-F61</x:f>
        <x:v>44156.164383385214</x:v>
      </x:c>
      <x:c r="G62" s="75" t="n">
        <x:f>G60-G61</x:f>
        <x:v>49776.6150521603</x:v>
      </x:c>
      <x:c r="H62" s="75" t="n">
        <x:f>H60-H61</x:f>
        <x:v>55658.520312237844</x:v>
      </x:c>
      <x:c r="I62" s="75" t="n">
        <x:f>I60-I61</x:f>
        <x:v>79256.08052411897</x:v>
      </x:c>
      <x:c r="J62" s="75" t="n">
        <x:f>J60-J61</x:f>
        <x:v>87140.2091017089</x:v>
      </x:c>
      <x:c r="K62" s="75" t="n">
        <x:f>K60-K61</x:f>
        <x:v>95673.52492503778</x:v>
      </x:c>
      <x:c r="L62" s="75" t="n">
        <x:f>L60-L61</x:f>
        <x:v>105046.51684414886</x:v>
      </x:c>
      <x:c r="M62" s="75" t="n">
        <x:f>M60-M61</x:f>
        <x:v>105395.09204426572</x:v>
      </x:c>
      <x:c r="N62" s="75" t="n">
        <x:f>N60-N61</x:f>
        <x:v>105154.18298461329</x:v>
      </x:c>
      <x:c r="O62" s="75" t="n">
        <x:f>O60-O61</x:f>
        <x:v>147015.76025836298</x:v>
      </x:c>
      <x:c r="P62" s="75" t="n">
        <x:f>P60-P61</x:f>
        <x:v>157979.29300999345</x:v>
      </x:c>
      <x:c r="Q62" s="75" t="n">
        <x:f>Q60-Q61</x:f>
        <x:v>171641.0929547196</x:v>
      </x:c>
      <x:c r="R62" s="75" t="n">
        <x:f>R60-R61</x:f>
        <x:v>186083.890070253</x:v>
      </x:c>
      <x:c r="S62" s="75" t="n">
        <x:f>S60-S61</x:f>
        <x:v>199215.80681128474</x:v>
      </x:c>
      <x:c r="T62" s="75" t="n">
        <x:f>T60-T61</x:f>
        <x:v>214774.67359121155</x:v>
      </x:c>
      <x:c r="U62" s="75" t="n">
        <x:f>U60-U61</x:f>
        <x:v>264262.4679131082</x:v>
      </x:c>
      <x:c r="V62" s="75" t="n">
        <x:f>V60-V61</x:f>
        <x:v>281582.21038884355</x:v>
      </x:c>
      <x:c r="W62" s="75" t="n">
        <x:f>W60-W61</x:f>
        <x:v>284945.5024248669</x:v>
      </x:c>
      <x:c r="X62" s="75" t="n">
        <x:f>X60-X61</x:f>
        <x:v>304624.84844271664</x:v>
      </x:c>
      <x:c r="Y62" s="75" t="n">
        <x:f>Y60-Y61</x:f>
        <x:v>325787.14163070306</x:v>
      </x:c>
      <x:c r="Z62" s="75" t="n">
        <x:f>Z60-Z61</x:f>
        <x:v>327866.8369885385</x:v>
      </x:c>
      <x:c r="AA62" s="75" t="n">
        <x:f>AA60-AA61</x:f>
        <x:v>375908.9520922989</x:v>
      </x:c>
      <x:c r="AB62" s="75" t="n">
        <x:f>AB60-AB61</x:f>
        <x:v>396319.3479535207</x:v>
      </x:c>
      <x:c r="AC62" s="75" t="n">
        <x:f>AC60-AC61</x:f>
        <x:v>418827.63874714973</x:v>
      </x:c>
      <x:c r="AD62" s="75" t="n">
        <x:f>AD60-AD61</x:f>
        <x:v>442518.74887293496</x:v>
      </x:c>
      <x:c r="AE62" s="75" t="n">
        <x:f>AE60-AE61</x:f>
        <x:v>466340.00360112084</x:v>
      </x:c>
      <x:c r="AF62" s="75" t="n">
        <x:f>AF60-AF61</x:f>
        <x:v>496478.6832532981</x:v>
      </x:c>
      <x:c r="AG62" s="75" t="n">
        <x:f>AG60-AG61</x:f>
        <x:v>561013.5343644858</x:v>
      </x:c>
      <x:c r="AH62" s="75" t="n">
        <x:f>AH60-AH61</x:f>
        <x:v>590489.0693176072</x:v>
      </x:c>
      <x:c r="AI62" s="75" t="n">
        <x:f>AI60-AI61</x:f>
        <x:v>621510.0900705283</x:v>
      </x:c>
      <x:c r="AJ62" s="75" t="n">
        <x:f>AJ60-AJ61</x:f>
        <x:v>654342.7958164153</x:v>
      </x:c>
      <x:c r="AK62" s="75" t="n">
        <x:f>AK60-AK61</x:f>
        <x:v>689156.2535619115</x:v>
      </x:c>
    </x:row>
    <x:row r="63" ht="18" customHeight="1">
      <x:c r="A63" s="4" t="str">
        <x:v>Cumulative cash movement (INR)</x:v>
      </x:c>
      <x:c r="B63" s="58" t="n">
        <x:f>0+B62</x:f>
        <x:v>-21261.787536101692</x:v>
      </x:c>
      <x:c r="C63" s="58" t="n">
        <x:f>B63+C62</x:f>
        <x:v>1557.9153234456826</x:v>
      </x:c>
      <x:c r="D63" s="58" t="n">
        <x:f>C63+D62</x:f>
        <x:v>28607.107486321962</x:v>
      </x:c>
      <x:c r="E63" s="58" t="n">
        <x:f>D63+E62</x:f>
        <x:v>60053.22640558699</x:v>
      </x:c>
      <x:c r="F63" s="58" t="n">
        <x:f>E63+F62</x:f>
        <x:v>104209.3907889722</x:v>
      </x:c>
      <x:c r="G63" s="58" t="n">
        <x:f>F63+G62</x:f>
        <x:v>153986.0058411325</x:v>
      </x:c>
      <x:c r="H63" s="58" t="n">
        <x:f>G63+H62</x:f>
        <x:v>209644.52615337033</x:v>
      </x:c>
      <x:c r="I63" s="58" t="n">
        <x:f>H63+I62</x:f>
        <x:v>288900.6066774893</x:v>
      </x:c>
      <x:c r="J63" s="58" t="n">
        <x:f>I63+J62</x:f>
        <x:v>376040.8157791982</x:v>
      </x:c>
      <x:c r="K63" s="58" t="n">
        <x:f>J63+K62</x:f>
        <x:v>471714.34070423595</x:v>
      </x:c>
      <x:c r="L63" s="58" t="n">
        <x:f>K63+L62</x:f>
        <x:v>576760.8575483848</x:v>
      </x:c>
      <x:c r="M63" s="58" t="n">
        <x:f>L63+M62</x:f>
        <x:v>682155.9495926505</x:v>
      </x:c>
      <x:c r="N63" s="58" t="n">
        <x:f>M63+N62</x:f>
        <x:v>787310.1325772638</x:v>
      </x:c>
      <x:c r="O63" s="58" t="n">
        <x:f>N63+O62</x:f>
        <x:v>934325.8928356267</x:v>
      </x:c>
      <x:c r="P63" s="58" t="n">
        <x:f>O63+P62</x:f>
        <x:v>1092305.1858456202</x:v>
      </x:c>
      <x:c r="Q63" s="58" t="n">
        <x:f>P63+Q62</x:f>
        <x:v>1263946.27880034</x:v>
      </x:c>
      <x:c r="R63" s="58" t="n">
        <x:f>Q63+R62</x:f>
        <x:v>1450030.168870593</x:v>
      </x:c>
      <x:c r="S63" s="58" t="n">
        <x:f>R63+S62</x:f>
        <x:v>1649245.9756818777</x:v>
      </x:c>
      <x:c r="T63" s="58" t="n">
        <x:f>S63+T62</x:f>
        <x:v>1864020.6492730891</x:v>
      </x:c>
      <x:c r="U63" s="58" t="n">
        <x:f>T63+U62</x:f>
        <x:v>2128283.117186197</x:v>
      </x:c>
      <x:c r="V63" s="58" t="n">
        <x:f>U63+V62</x:f>
        <x:v>2409865.3275750405</x:v>
      </x:c>
      <x:c r="W63" s="58" t="n">
        <x:f>V63+W62</x:f>
        <x:v>2694810.8299999074</x:v>
      </x:c>
      <x:c r="X63" s="58" t="n">
        <x:f>W63+X62</x:f>
        <x:v>2999435.678442624</x:v>
      </x:c>
      <x:c r="Y63" s="58" t="n">
        <x:f>X63+Y62</x:f>
        <x:v>3325222.820073327</x:v>
      </x:c>
      <x:c r="Z63" s="58" t="n">
        <x:f>Y63+Z62</x:f>
        <x:v>3653089.6570618656</x:v>
      </x:c>
      <x:c r="AA63" s="58" t="n">
        <x:f>Z63+AA62</x:f>
        <x:v>4028998.6091541643</x:v>
      </x:c>
      <x:c r="AB63" s="58" t="n">
        <x:f>AA63+AB62</x:f>
        <x:v>4425317.9571076855</x:v>
      </x:c>
      <x:c r="AC63" s="58" t="n">
        <x:f>AB63+AC62</x:f>
        <x:v>4844145.595854836</x:v>
      </x:c>
      <x:c r="AD63" s="58" t="n">
        <x:f>AC63+AD62</x:f>
        <x:v>5286664.34472777</x:v>
      </x:c>
      <x:c r="AE63" s="58" t="n">
        <x:f>AD63+AE62</x:f>
        <x:v>5753004.348328891</x:v>
      </x:c>
      <x:c r="AF63" s="58" t="n">
        <x:f>AE63+AF62</x:f>
        <x:v>6249483.03158219</x:v>
      </x:c>
      <x:c r="AG63" s="58" t="n">
        <x:f>AF63+AG62</x:f>
        <x:v>6810496.565946676</x:v>
      </x:c>
      <x:c r="AH63" s="58" t="n">
        <x:f>AG63+AH62</x:f>
        <x:v>7400985.635264283</x:v>
      </x:c>
      <x:c r="AI63" s="58" t="n">
        <x:f>AH63+AI62</x:f>
        <x:v>8022495.725334811</x:v>
      </x:c>
      <x:c r="AJ63" s="58" t="n">
        <x:f>AI63+AJ62</x:f>
        <x:v>8676838.521151226</x:v>
      </x:c>
      <x:c r="AK63" s="58" t="n">
        <x:f>AJ63+AK62</x:f>
        <x:v>9365994.774713138</x:v>
      </x:c>
    </x:row>
    <x:row r="64" ht="18" customHeight="1">
      <x:c r="A64" s="74" t="str">
        <x:v>CLOSING CASH, BEFORE TAX / OWNER DRAWS</x:v>
      </x:c>
      <x:c r="B64" s="75" t="n">
        <x:f>'Commercial Inputs'!$B$29+B63</x:f>
        <x:v>78738.21246389831</x:v>
      </x:c>
      <x:c r="C64" s="75" t="n">
        <x:f>'Commercial Inputs'!$B$29+C63</x:f>
        <x:v>101557.91532344569</x:v>
      </x:c>
      <x:c r="D64" s="75" t="n">
        <x:f>'Commercial Inputs'!$B$29+D63</x:f>
        <x:v>128607.10748632197</x:v>
      </x:c>
      <x:c r="E64" s="75" t="n">
        <x:f>'Commercial Inputs'!$B$29+E63</x:f>
        <x:v>160053.226405587</x:v>
      </x:c>
      <x:c r="F64" s="75" t="n">
        <x:f>'Commercial Inputs'!$B$29+F63</x:f>
        <x:v>204209.3907889722</x:v>
      </x:c>
      <x:c r="G64" s="75" t="n">
        <x:f>'Commercial Inputs'!$B$29+G63</x:f>
        <x:v>253986.0058411325</x:v>
      </x:c>
      <x:c r="H64" s="75" t="n">
        <x:f>'Commercial Inputs'!$B$29+H63</x:f>
        <x:v>309644.52615337033</x:v>
      </x:c>
      <x:c r="I64" s="75" t="n">
        <x:f>'Commercial Inputs'!$B$29+I63</x:f>
        <x:v>388900.6066774893</x:v>
      </x:c>
      <x:c r="J64" s="75" t="n">
        <x:f>'Commercial Inputs'!$B$29+J63</x:f>
        <x:v>476040.8157791982</x:v>
      </x:c>
      <x:c r="K64" s="75" t="n">
        <x:f>'Commercial Inputs'!$B$29+K63</x:f>
        <x:v>571714.340704236</x:v>
      </x:c>
      <x:c r="L64" s="75" t="n">
        <x:f>'Commercial Inputs'!$B$29+L63</x:f>
        <x:v>676760.8575483848</x:v>
      </x:c>
      <x:c r="M64" s="75" t="n">
        <x:f>'Commercial Inputs'!$B$29+M63</x:f>
        <x:v>782155.9495926505</x:v>
      </x:c>
      <x:c r="N64" s="75" t="n">
        <x:f>'Commercial Inputs'!$B$29+N63</x:f>
        <x:v>887310.1325772638</x:v>
      </x:c>
      <x:c r="O64" s="75" t="n">
        <x:f>'Commercial Inputs'!$B$29+O63</x:f>
        <x:v>1034325.8928356267</x:v>
      </x:c>
      <x:c r="P64" s="75" t="n">
        <x:f>'Commercial Inputs'!$B$29+P63</x:f>
        <x:v>1192305.1858456202</x:v>
      </x:c>
      <x:c r="Q64" s="75" t="n">
        <x:f>'Commercial Inputs'!$B$29+Q63</x:f>
        <x:v>1363946.27880034</x:v>
      </x:c>
      <x:c r="R64" s="75" t="n">
        <x:f>'Commercial Inputs'!$B$29+R63</x:f>
        <x:v>1550030.168870593</x:v>
      </x:c>
      <x:c r="S64" s="75" t="n">
        <x:f>'Commercial Inputs'!$B$29+S63</x:f>
        <x:v>1749245.9756818777</x:v>
      </x:c>
      <x:c r="T64" s="75" t="n">
        <x:f>'Commercial Inputs'!$B$29+T63</x:f>
        <x:v>1964020.6492730891</x:v>
      </x:c>
      <x:c r="U64" s="75" t="n">
        <x:f>'Commercial Inputs'!$B$29+U63</x:f>
        <x:v>2228283.117186197</x:v>
      </x:c>
      <x:c r="V64" s="75" t="n">
        <x:f>'Commercial Inputs'!$B$29+V63</x:f>
        <x:v>2509865.3275750405</x:v>
      </x:c>
      <x:c r="W64" s="75" t="n">
        <x:f>'Commercial Inputs'!$B$29+W63</x:f>
        <x:v>2794810.8299999074</x:v>
      </x:c>
      <x:c r="X64" s="75" t="n">
        <x:f>'Commercial Inputs'!$B$29+X63</x:f>
        <x:v>3099435.678442624</x:v>
      </x:c>
      <x:c r="Y64" s="75" t="n">
        <x:f>'Commercial Inputs'!$B$29+Y63</x:f>
        <x:v>3425222.820073327</x:v>
      </x:c>
      <x:c r="Z64" s="75" t="n">
        <x:f>'Commercial Inputs'!$B$29+Z63</x:f>
        <x:v>3753089.6570618656</x:v>
      </x:c>
      <x:c r="AA64" s="75" t="n">
        <x:f>'Commercial Inputs'!$B$29+AA63</x:f>
        <x:v>4128998.6091541643</x:v>
      </x:c>
      <x:c r="AB64" s="75" t="n">
        <x:f>'Commercial Inputs'!$B$29+AB63</x:f>
        <x:v>4525317.9571076855</x:v>
      </x:c>
      <x:c r="AC64" s="75" t="n">
        <x:f>'Commercial Inputs'!$B$29+AC63</x:f>
        <x:v>4944145.595854836</x:v>
      </x:c>
      <x:c r="AD64" s="75" t="n">
        <x:f>'Commercial Inputs'!$B$29+AD63</x:f>
        <x:v>5386664.34472777</x:v>
      </x:c>
      <x:c r="AE64" s="75" t="n">
        <x:f>'Commercial Inputs'!$B$29+AE63</x:f>
        <x:v>5853004.348328891</x:v>
      </x:c>
      <x:c r="AF64" s="75" t="n">
        <x:f>'Commercial Inputs'!$B$29+AF63</x:f>
        <x:v>6349483.03158219</x:v>
      </x:c>
      <x:c r="AG64" s="75" t="n">
        <x:f>'Commercial Inputs'!$B$29+AG63</x:f>
        <x:v>6910496.565946676</x:v>
      </x:c>
      <x:c r="AH64" s="75" t="n">
        <x:f>'Commercial Inputs'!$B$29+AH63</x:f>
        <x:v>7500985.635264283</x:v>
      </x:c>
      <x:c r="AI64" s="75" t="n">
        <x:f>'Commercial Inputs'!$B$29+AI63</x:f>
        <x:v>8122495.725334811</x:v>
      </x:c>
      <x:c r="AJ64" s="75" t="n">
        <x:f>'Commercial Inputs'!$B$29+AJ63</x:f>
        <x:v>8776838.521151226</x:v>
      </x:c>
      <x:c r="AK64" s="75" t="n">
        <x:f>'Commercial Inputs'!$B$29+AK63</x:f>
        <x:v>9465994.774713138</x:v>
      </x:c>
    </x:row>
    <x:row r="65" ht="18" customHeight="1">
      <x:c r="A65" s="74" t="str">
        <x:v>Unearned annual subscription revenue (INR)</x:v>
      </x:c>
      <x:c r="B65" s="75" t="n">
        <x:f>0+B43-B38</x:f>
        <x:v>43515.59686165255</x:v>
      </x:c>
      <x:c r="C65" s="75" t="n">
        <x:f>B65+C43-C38</x:f>
        <x:v>86480.79882228815</x:v>
      </x:c>
      <x:c r="D65" s="75" t="n">
        <x:f>C65+D43-D38</x:f>
        <x:v>128994.67696408983</x:v>
      </x:c>
      <x:c r="E65" s="75" t="n">
        <x:f>D65+E43-E38</x:f>
        <x:v>186304.0506770688</x:v>
      </x:c>
      <x:c r="F65" s="75" t="n">
        <x:f>E65+F43-F38</x:f>
        <x:v>242021.34769620688</x:v>
      </x:c>
      <x:c r="G65" s="75" t="n">
        <x:f>F65+G43-G38</x:f>
        <x:v>296285.7557588534</x:v>
      </x:c>
      <x:c r="H65" s="75" t="n">
        <x:f>G65+H43-H38</x:f>
        <x:v>382047.52798309946</x:v>
      </x:c>
      <x:c r="I65" s="75" t="n">
        <x:f>H65+I43-I38</x:f>
        <x:v>463705.59290057427</x:v>
      </x:c>
      <x:c r="J65" s="75" t="n">
        <x:f>I65+J43-J38</x:f>
        <x:v>541455.4992607364</x:v>
      </x:c>
      <x:c r="K65" s="75" t="n">
        <x:f>J65+K43-K38</x:f>
        <x:v>615516.2616629796</x:v>
      </x:c>
      <x:c r="L65" s="75" t="n">
        <x:f>K65+L43-L38</x:f>
        <x:v>686133.1764586248</x:v>
      </x:c>
      <x:c r="M65" s="75" t="n">
        <x:f>L65+M43-M38</x:f>
        <x:v>753580.9755611513</x:v>
      </x:c>
      <x:c r="N65" s="75" t="n">
        <x:f>M65+N43-N38</x:f>
        <x:v>882437.0693520512</x:v>
      </x:c>
      <x:c r="O65" s="75" t="n">
        <x:f>N65+O43-O38</x:f>
        <x:v>1003811.3078281361</x:v>
      </x:c>
      <x:c r="P65" s="75" t="n">
        <x:f>O65+P43-P38</x:f>
        <x:v>1117986.22105965</x:v>
      </x:c>
      <x:c r="Q65" s="75" t="n">
        <x:f>P65+Q43-Q38</x:f>
        <x:v>1231062.487109288</x:v>
      </x:c>
      <x:c r="R65" s="75" t="n">
        <x:f>Q65+R43-R38</x:f>
        <x:v>1338597.7524706894</x:v>
      </x:c>
      <x:c r="S65" s="75" t="n">
        <x:f>R65+S43-S38</x:f>
        <x:v>1441002.463667171</x:v>
      </x:c>
      <x:c r="T65" s="75" t="n">
        <x:f>S65+T43-T38</x:f>
        <x:v>1608598.2768655221</x:v>
      </x:c>
      <x:c r="U65" s="75" t="n">
        <x:f>T65+U43-U38</x:f>
        <x:v>1768954.7763649237</x:v>
      </x:c>
      <x:c r="V65" s="75" t="n">
        <x:f>U65+V43-V38</x:f>
        <x:v>1922665.6313541522</x:v>
      </x:c>
      <x:c r="W65" s="75" t="n">
        <x:f>V65+W43-W38</x:f>
        <x:v>2070401.6575694552</x:v>
      </x:c>
      <x:c r="X65" s="75" t="n">
        <x:f>W65+X43-X38</x:f>
        <x:v>2212920.547379832</x:v>
      </x:c>
      <x:c r="Y65" s="75" t="n">
        <x:f>X65+Y43-Y38</x:f>
        <x:v>2351077.8052825145</x:v>
      </x:c>
      <x:c r="Z65" s="75" t="n">
        <x:f>Y65+Z43-Z38</x:f>
        <x:v>2543456.8103310224</x:v>
      </x:c>
      <x:c r="AA65" s="75" t="n">
        <x:f>Z65+AA43-AA38</x:f>
        <x:v>2727413.9912115494</x:v>
      </x:c>
      <x:c r="AB65" s="75" t="n">
        <x:f>AA65+AB43-AB38</x:f>
        <x:v>2903387.29921798</x:v>
      </x:c>
      <x:c r="AC65" s="75" t="n">
        <x:f>AB65+AC43-AC38</x:f>
        <x:v>3074614.378781822</x:v>
      </x:c>
      <x:c r="AD65" s="75" t="n">
        <x:f>AC65+AD43-AD38</x:f>
        <x:v>3239073.7658555596</x:v>
      </x:c>
      <x:c r="AE65" s="75" t="n">
        <x:f>AD65+AE43-AE38</x:f>
        <x:v>3397367.6104846606</x:v>
      </x:c>
      <x:c r="AF65" s="75" t="n">
        <x:f>AE65+AF43-AF38</x:f>
        <x:v>3630139.893598971</x:v>
      </x:c>
      <x:c r="AG65" s="75" t="n">
        <x:f>AF65+AG43-AG38</x:f>
        <x:v>3857518.596076943</x:v>
      </x:c>
      <x:c r="AH65" s="75" t="n">
        <x:f>AG65+AH43-AH38</x:f>
        <x:v>4080325.96149847</x:v>
      </x:c>
      <x:c r="AI65" s="75" t="n">
        <x:f>AH65+AI43-AI38</x:f>
        <x:v>4299473.058304378</x:v>
      </x:c>
      <x:c r="AJ65" s="75" t="n">
        <x:f>AI65+AJ43-AJ38</x:f>
        <x:v>4515968.819367892</x:v>
      </x:c>
      <x:c r="AK65" s="75" t="n">
        <x:f>AJ65+AK43-AK38</x:f>
        <x:v>4730929.986849993</x:v>
      </x:c>
    </x:row>
    <x:row r="66" ht="18" customHeight="1">
      <x:c r="A66" s="4" t="str">
        <x:v>Payout receivable (INR)</x:v>
      </x:c>
      <x:c r="B66" s="58" t="n">
        <x:f>'Commercial Inputs'!$B$31*B59</x:f>
        <x:v>22221.14111389831</x:v>
      </x:c>
      <x:c r="C66" s="58" t="n">
        <x:f>'Commercial Inputs'!$B$31*C59</x:f>
        <x:v>24532.905256534068</x:v>
      </x:c>
      <x:c r="D66" s="58" t="n">
        <x:f>'Commercial Inputs'!$B$31*D59</x:f>
        <x:v>26942.110590578297</x:v>
      </x:c>
      <x:c r="E66" s="58" t="n">
        <x:f>'Commercial Inputs'!$B$31*E59</x:f>
        <x:v>37291.124472885305</x:v>
      </x:c>
      <x:c r="F66" s="58" t="n">
        <x:f>'Commercial Inputs'!$B$31*F59</x:f>
        <x:v>40357.73016889496</x:v>
      </x:c>
      <x:c r="G66" s="58" t="n">
        <x:f>'Commercial Inputs'!$B$31*G59</x:f>
        <x:v>43657.02349145262</x:v>
      </x:c>
      <x:c r="H66" s="58" t="n">
        <x:f>'Commercial Inputs'!$B$31*H59</x:f>
        <x:v>64011.23714653071</x:v>
      </x:c>
      <x:c r="I66" s="58" t="n">
        <x:f>'Commercial Inputs'!$B$31*I59</x:f>
        <x:v>68409.06668802009</x:v>
      </x:c>
      <x:c r="J66" s="58" t="n">
        <x:f>'Commercial Inputs'!$B$31*J59</x:f>
        <x:v>73101.57246383774</x:v>
      </x:c>
      <x:c r="K66" s="58" t="n">
        <x:f>'Commercial Inputs'!$B$31*K59</x:f>
        <x:v>78219.19377149401</x:v>
      </x:c>
      <x:c r="L66" s="58" t="n">
        <x:f>'Commercial Inputs'!$B$31*L59</x:f>
        <x:v>83833.14550241787</x:v>
      </x:c>
      <x:c r="M66" s="58" t="n">
        <x:f>'Commercial Inputs'!$B$31*M59</x:f>
        <x:v>90020.23090456797</x:v>
      </x:c>
      <x:c r="N66" s="58" t="n">
        <x:f>'Commercial Inputs'!$B$31*N59</x:f>
        <x:v>127376.6646296122</x:v>
      </x:c>
      <x:c r="O66" s="58" t="n">
        <x:f>'Commercial Inputs'!$B$31*O59</x:f>
        <x:v>133659.41734796244</x:v>
      </x:c>
      <x:c r="P66" s="58" t="n">
        <x:f>'Commercial Inputs'!$B$31*P59</x:f>
        <x:v>140150.82813466107</x:v>
      </x:c>
      <x:c r="Q66" s="58" t="n">
        <x:f>'Commercial Inputs'!$B$31*Q59</x:f>
        <x:v>149157.82922595227</x:v>
      </x:c>
      <x:c r="R66" s="58" t="n">
        <x:f>'Commercial Inputs'!$B$31*R59</x:f>
        <x:v>156438.7905421741</x:v>
      </x:c>
      <x:c r="S66" s="58" t="n">
        <x:f>'Commercial Inputs'!$B$31*S59</x:f>
        <x:v>164201.9321418023</x:v>
      </x:c>
      <x:c r="T66" s="58" t="n">
        <x:f>'Commercial Inputs'!$B$31*T59</x:f>
        <x:v>206442.00429998935</x:v>
      </x:c>
      <x:c r="U66" s="58" t="n">
        <x:f>'Commercial Inputs'!$B$31*U59</x:f>
        <x:v>216108.0707923144</x:v>
      </x:c>
      <x:c r="V66" s="58" t="n">
        <x:f>'Commercial Inputs'!$B$31*V59</x:f>
        <x:v>226240.33713382075</x:v>
      </x:c>
      <x:c r="W66" s="58" t="n">
        <x:f>'Commercial Inputs'!$B$31*W59</x:f>
        <x:v>237033.99261903085</x:v>
      </x:c>
      <x:c r="X66" s="58" t="n">
        <x:f>'Commercial Inputs'!$B$31*X59</x:f>
        <x:v>248575.18350357085</x:v>
      </x:c>
      <x:c r="Y66" s="58" t="n">
        <x:f>'Commercial Inputs'!$B$31*Y59</x:f>
        <x:v>260953.44932830974</x:v>
      </x:c>
      <x:c r="Z66" s="58" t="n">
        <x:f>'Commercial Inputs'!$B$31*Z59</x:f>
        <x:v>300418.79694635514</x:v>
      </x:c>
      <x:c r="AA66" s="58" t="n">
        <x:f>'Commercial Inputs'!$B$31*AA59</x:f>
        <x:v>311863.62017679185</x:v>
      </x:c>
      <x:c r="AB66" s="58" t="n">
        <x:f>'Commercial Inputs'!$B$31*AB59</x:f>
        <x:v>323765.08986822935</x:v>
      </x:c>
      <x:c r="AC66" s="58" t="n">
        <x:f>'Commercial Inputs'!$B$31*AC59</x:f>
        <x:v>337404.86788261455</x:v>
      </x:c>
      <x:c r="AD66" s="58" t="n">
        <x:f>'Commercial Inputs'!$B$31*AD59</x:f>
        <x:v>350553.3491890081</x:v>
      </x:c>
      <x:c r="AE66" s="58" t="n">
        <x:f>'Commercial Inputs'!$B$31*AE59</x:f>
        <x:v>364422.00028910866</x:v>
      </x:c>
      <x:c r="AF66" s="58" t="n">
        <x:f>'Commercial Inputs'!$B$31*AF59</x:f>
        <x:v>416319.1296232475</x:v>
      </x:c>
      <x:c r="AG66" s="58" t="n">
        <x:f>'Commercial Inputs'!$B$31*AG59</x:f>
        <x:v>432513.89839602425</x:v>
      </x:c>
      <x:c r="AH66" s="58" t="n">
        <x:f>'Commercial Inputs'!$B$31*AH59</x:f>
        <x:v>449446.00776369683</x:v>
      </x:c>
      <x:c r="AI66" s="58" t="n">
        <x:f>'Commercial Inputs'!$B$31*AI59</x:f>
        <x:v>467302.5420769097</x:v>
      </x:c>
      <x:c r="AJ66" s="58" t="n">
        <x:f>'Commercial Inputs'!$B$31*AJ59</x:f>
        <x:v>486170.88040894934</x:v>
      </x:c>
      <x:c r="AK66" s="58" t="n">
        <x:f>'Commercial Inputs'!$B$31*AK59</x:f>
        <x:v>506140.8185515423</x:v>
      </x:c>
    </x:row>
    <x:row r="67" ht="18" customHeight="1">
      <x:c r="A67" s="4" t="str">
        <x:v>Cash-profit bridge check: must be zero</x:v>
      </x:c>
      <x:c r="B67" s="58" t="n">
        <x:f>ROUND(B62-(B56+(B65-0)-(B66-0)),6)</x:f>
        <x:v>0</x:v>
      </x:c>
      <x:c r="C67" s="58" t="n">
        <x:f>ROUND(C62-(C56+(C65-B65)-(C66-B66)),6)</x:f>
        <x:v>0</x:v>
      </x:c>
      <x:c r="D67" s="58" t="n">
        <x:f>ROUND(D62-(D56+(D65-C65)-(D66-C66)),6)</x:f>
        <x:v>0</x:v>
      </x:c>
      <x:c r="E67" s="58" t="n">
        <x:f>ROUND(E62-(E56+(E65-D65)-(E66-D66)),6)</x:f>
        <x:v>0</x:v>
      </x:c>
      <x:c r="F67" s="58" t="n">
        <x:f>ROUND(F62-(F56+(F65-E65)-(F66-E66)),6)</x:f>
        <x:v>0</x:v>
      </x:c>
      <x:c r="G67" s="58" t="n">
        <x:f>ROUND(G62-(G56+(G65-F65)-(G66-F66)),6)</x:f>
        <x:v>0</x:v>
      </x:c>
      <x:c r="H67" s="58" t="n">
        <x:f>ROUND(H62-(H56+(H65-G65)-(H66-G66)),6)</x:f>
        <x:v>0</x:v>
      </x:c>
      <x:c r="I67" s="58" t="n">
        <x:f>ROUND(I62-(I56+(I65-H65)-(I66-H66)),6)</x:f>
        <x:v>0</x:v>
      </x:c>
      <x:c r="J67" s="58" t="n">
        <x:f>ROUND(J62-(J56+(J65-I65)-(J66-I66)),6)</x:f>
        <x:v>0</x:v>
      </x:c>
      <x:c r="K67" s="58" t="n">
        <x:f>ROUND(K62-(K56+(K65-J65)-(K66-J66)),6)</x:f>
        <x:v>0</x:v>
      </x:c>
      <x:c r="L67" s="58" t="n">
        <x:f>ROUND(L62-(L56+(L65-K65)-(L66-K66)),6)</x:f>
        <x:v>0</x:v>
      </x:c>
      <x:c r="M67" s="58" t="n">
        <x:f>ROUND(M62-(M56+(M65-L65)-(M66-L66)),6)</x:f>
        <x:v>0</x:v>
      </x:c>
      <x:c r="N67" s="58" t="n">
        <x:f>ROUND(N62-(N56+(N65-M65)-(N66-M66)),6)</x:f>
        <x:v>0</x:v>
      </x:c>
      <x:c r="O67" s="58" t="n">
        <x:f>ROUND(O62-(O56+(O65-N65)-(O66-N66)),6)</x:f>
        <x:v>0</x:v>
      </x:c>
      <x:c r="P67" s="58" t="n">
        <x:f>ROUND(P62-(P56+(P65-O65)-(P66-O66)),6)</x:f>
        <x:v>0</x:v>
      </x:c>
      <x:c r="Q67" s="58" t="n">
        <x:f>ROUND(Q62-(Q56+(Q65-P65)-(Q66-P66)),6)</x:f>
        <x:v>0</x:v>
      </x:c>
      <x:c r="R67" s="58" t="n">
        <x:f>ROUND(R62-(R56+(R65-Q65)-(R66-Q66)),6)</x:f>
        <x:v>0</x:v>
      </x:c>
      <x:c r="S67" s="58" t="n">
        <x:f>ROUND(S62-(S56+(S65-R65)-(S66-R66)),6)</x:f>
        <x:v>0</x:v>
      </x:c>
      <x:c r="T67" s="58" t="n">
        <x:f>ROUND(T62-(T56+(T65-S65)-(T66-S66)),6)</x:f>
        <x:v>0</x:v>
      </x:c>
      <x:c r="U67" s="58" t="n">
        <x:f>ROUND(U62-(U56+(U65-T65)-(U66-T66)),6)</x:f>
        <x:v>0</x:v>
      </x:c>
      <x:c r="V67" s="58" t="n">
        <x:f>ROUND(V62-(V56+(V65-U65)-(V66-U66)),6)</x:f>
        <x:v>0</x:v>
      </x:c>
      <x:c r="W67" s="58" t="n">
        <x:f>ROUND(W62-(W56+(W65-V65)-(W66-V66)),6)</x:f>
        <x:v>0</x:v>
      </x:c>
      <x:c r="X67" s="58" t="n">
        <x:f>ROUND(X62-(X56+(X65-W65)-(X66-W66)),6)</x:f>
        <x:v>0</x:v>
      </x:c>
      <x:c r="Y67" s="58" t="n">
        <x:f>ROUND(Y62-(Y56+(Y65-X65)-(Y66-X66)),6)</x:f>
        <x:v>0</x:v>
      </x:c>
      <x:c r="Z67" s="58" t="n">
        <x:f>ROUND(Z62-(Z56+(Z65-Y65)-(Z66-Y66)),6)</x:f>
        <x:v>0</x:v>
      </x:c>
      <x:c r="AA67" s="58" t="n">
        <x:f>ROUND(AA62-(AA56+(AA65-Z65)-(AA66-Z66)),6)</x:f>
        <x:v>0</x:v>
      </x:c>
      <x:c r="AB67" s="58" t="n">
        <x:f>ROUND(AB62-(AB56+(AB65-AA65)-(AB66-AA66)),6)</x:f>
        <x:v>0</x:v>
      </x:c>
      <x:c r="AC67" s="58" t="n">
        <x:f>ROUND(AC62-(AC56+(AC65-AB65)-(AC66-AB66)),6)</x:f>
        <x:v>0</x:v>
      </x:c>
      <x:c r="AD67" s="58" t="n">
        <x:f>ROUND(AD62-(AD56+(AD65-AC65)-(AD66-AC66)),6)</x:f>
        <x:v>0</x:v>
      </x:c>
      <x:c r="AE67" s="58" t="n">
        <x:f>ROUND(AE62-(AE56+(AE65-AD65)-(AE66-AD66)),6)</x:f>
        <x:v>0</x:v>
      </x:c>
      <x:c r="AF67" s="58" t="n">
        <x:f>ROUND(AF62-(AF56+(AF65-AE65)-(AF66-AE66)),6)</x:f>
        <x:v>0</x:v>
      </x:c>
      <x:c r="AG67" s="58" t="n">
        <x:f>ROUND(AG62-(AG56+(AG65-AF65)-(AG66-AF66)),6)</x:f>
        <x:v>0</x:v>
      </x:c>
      <x:c r="AH67" s="58" t="n">
        <x:f>ROUND(AH62-(AH56+(AH65-AG65)-(AH66-AG66)),6)</x:f>
        <x:v>0</x:v>
      </x:c>
      <x:c r="AI67" s="58" t="n">
        <x:f>ROUND(AI62-(AI56+(AI65-AH65)-(AI66-AH66)),6)</x:f>
        <x:v>0</x:v>
      </x:c>
      <x:c r="AJ67" s="58" t="n">
        <x:f>ROUND(AJ62-(AJ56+(AJ65-AI65)-(AJ66-AI66)),6)</x:f>
        <x:v>0</x:v>
      </x:c>
      <x:c r="AK67" s="58" t="n">
        <x:f>ROUND(AK62-(AK56+(AK65-AJ65)-(AK66-AJ66)),6)</x:f>
        <x:v>0</x:v>
      </x:c>
    </x:row>
    <x:row r="68" ht="18" customHeight="1">
      <x:c r="A68" s="4" t="str">
        <x:v>Remaining paid-service cost reserve (INR)</x:v>
      </x:c>
      <x:c r="B68" s="58" t="n">
        <x:f>B65/$B$84*'Commercial Inputs'!$B$46*('Commercial Inputs'!$B$24*$B$90+'Commercial Inputs'!$B$28)</x:f>
        <x:v>2104.6975125000004</x:v>
      </x:c>
      <x:c r="C68" s="58" t="n">
        <x:f>C65/$B$84*'Commercial Inputs'!$B$46*('Commercial Inputs'!$B$24*$B$90+'Commercial Inputs'!$B$28)</x:f>
        <x:v>4182.774345000001</x:v>
      </x:c>
      <x:c r="D68" s="58" t="n">
        <x:f>D65/$B$84*'Commercial Inputs'!$B$46*('Commercial Inputs'!$B$24*$B$90+'Commercial Inputs'!$B$28)</x:f>
        <x:v>6239.0222199</x:v>
      </x:c>
      <x:c r="E68" s="58" t="n">
        <x:f>E65/$B$84*'Commercial Inputs'!$B$46*('Commercial Inputs'!$B$24*$B$90+'Commercial Inputs'!$B$28)</x:f>
        <x:v>9010.876566288001</x:v>
      </x:c>
      <x:c r="F68" s="58" t="n">
        <x:f>F65/$B$84*'Commercial Inputs'!$B$46*('Commercial Inputs'!$B$24*$B$90+'Commercial Inputs'!$B$28)</x:f>
        <x:v>11705.727720742561</x:v>
      </x:c>
      <x:c r="G68" s="58" t="n">
        <x:f>G65/$B$84*'Commercial Inputs'!$B$46*('Commercial Inputs'!$B$24*$B$90+'Commercial Inputs'!$B$28)</x:f>
        <x:v>14330.307708231667</x:v>
      </x:c>
      <x:c r="H68" s="58" t="n">
        <x:f>H65/$B$84*'Commercial Inputs'!$B$46*('Commercial Inputs'!$B$24*$B$90+'Commercial Inputs'!$B$28)</x:f>
        <x:v>18478.30524671947</x:v>
      </x:c>
      <x:c r="I68" s="58" t="n">
        <x:f>I65/$B$84*'Commercial Inputs'!$B$46*('Commercial Inputs'!$B$24*$B$90+'Commercial Inputs'!$B$28)</x:f>
        <x:v>22427.82078832581</x:v>
      </x:c>
      <x:c r="J68" s="58" t="n">
        <x:f>J65/$B$84*'Commercial Inputs'!$B$46*('Commercial Inputs'!$B$24*$B$90+'Commercial Inputs'!$B$28)</x:f>
        <x:v>26188.312343424906</x:v>
      </x:c>
      <x:c r="K68" s="58" t="n">
        <x:f>K65/$B$84*'Commercial Inputs'!$B$46*('Commercial Inputs'!$B$24*$B$90+'Commercial Inputs'!$B$28)</x:f>
        <x:v>29770.372883635897</x:v>
      </x:c>
      <x:c r="L68" s="58" t="n">
        <x:f>L65/$B$84*'Commercial Inputs'!$B$46*('Commercial Inputs'!$B$24*$B$90+'Commercial Inputs'!$B$28)</x:f>
        <x:v>33185.8665371722</x:v>
      </x:c>
      <x:c r="M68" s="58" t="n">
        <x:f>M65/$B$84*'Commercial Inputs'!$B$46*('Commercial Inputs'!$B$24*$B$90+'Commercial Inputs'!$B$28)</x:f>
        <x:v>36448.081127632875</x:v>
      </x:c>
      <x:c r="N68" s="58" t="n">
        <x:f>N65/$B$84*'Commercial Inputs'!$B$46*('Commercial Inputs'!$B$24*$B$90+'Commercial Inputs'!$B$28)</x:f>
        <x:v>42680.40056322281</x:v>
      </x:c>
      <x:c r="O68" s="58" t="n">
        <x:f>O65/$B$84*'Commercial Inputs'!$B$46*('Commercial Inputs'!$B$24*$B$90+'Commercial Inputs'!$B$28)</x:f>
        <x:v>48550.84877548931</x:v>
      </x:c>
      <x:c r="P68" s="58" t="n">
        <x:f>P65/$B$84*'Commercial Inputs'!$B$46*('Commercial Inputs'!$B$24*$B$90+'Commercial Inputs'!$B$28)</x:f>
        <x:v>54073.09075765168</x:v>
      </x:c>
      <x:c r="Q68" s="58" t="n">
        <x:f>Q65/$B$84*'Commercial Inputs'!$B$46*('Commercial Inputs'!$B$24*$B$90+'Commercial Inputs'!$B$28)</x:f>
        <x:v>59542.19501087146</x:v>
      </x:c>
      <x:c r="R68" s="58" t="n">
        <x:f>R65/$B$84*'Commercial Inputs'!$B$46*('Commercial Inputs'!$B$24*$B$90+'Commercial Inputs'!$B$28)</x:f>
        <x:v>64743.300403766065</x:v>
      </x:c>
      <x:c r="S68" s="58" t="n">
        <x:f>S65/$B$84*'Commercial Inputs'!$B$46*('Commercial Inputs'!$B$24*$B$90+'Commercial Inputs'!$B$28)</x:f>
        <x:v>69696.25880184906</x:v>
      </x:c>
      <x:c r="T68" s="58" t="n">
        <x:f>T65/$B$84*'Commercial Inputs'!$B$46*('Commercial Inputs'!$B$24*$B$90+'Commercial Inputs'!$B$28)</x:f>
        <x:v>77802.28322949122</x:v>
      </x:c>
      <x:c r="U68" s="58" t="n">
        <x:f>U65/$B$84*'Commercial Inputs'!$B$46*('Commercial Inputs'!$B$24*$B$90+'Commercial Inputs'!$B$28)</x:f>
        <x:v>85558.16732508583</x:v>
      </x:c>
      <x:c r="V68" s="58" t="n">
        <x:f>V65/$B$84*'Commercial Inputs'!$B$46*('Commercial Inputs'!$B$24*$B$90+'Commercial Inputs'!$B$28)</x:f>
        <x:v>92992.62479486651</x:v>
      </x:c>
      <x:c r="W68" s="58" t="n">
        <x:f>W65/$B$84*'Commercial Inputs'!$B$46*('Commercial Inputs'!$B$24*$B$90+'Commercial Inputs'!$B$28)</x:f>
        <x:v>100138.10065425876</x:v>
      </x:c>
      <x:c r="X68" s="58" t="n">
        <x:f>X65/$B$84*'Commercial Inputs'!$B$46*('Commercial Inputs'!$B$24*$B$90+'Commercial Inputs'!$B$28)</x:f>
        <x:v>107031.24183813842</x:v>
      </x:c>
      <x:c r="Y68" s="58" t="n">
        <x:f>Y65/$B$84*'Commercial Inputs'!$B$46*('Commercial Inputs'!$B$24*$B$90+'Commercial Inputs'!$B$28)</x:f>
        <x:v>113713.42611257364</x:v>
      </x:c>
      <x:c r="Z68" s="58" t="n">
        <x:f>Z65/$B$84*'Commercial Inputs'!$B$46*('Commercial Inputs'!$B$24*$B$90+'Commercial Inputs'!$B$28)</x:f>
        <x:v>123018.12701487543</x:v>
      </x:c>
      <x:c r="AA68" s="58" t="n">
        <x:f>AA65/$B$84*'Commercial Inputs'!$B$46*('Commercial Inputs'!$B$24*$B$90+'Commercial Inputs'!$B$28)</x:f>
        <x:v>131915.49368174397</x:v>
      </x:c>
      <x:c r="AB68" s="58" t="n">
        <x:f>AB65/$B$84*'Commercial Inputs'!$B$46*('Commercial Inputs'!$B$24*$B$90+'Commercial Inputs'!$B$28)</x:f>
        <x:v>140426.7082884294</x:v>
      </x:c>
      <x:c r="AC68" s="58" t="n">
        <x:f>AC65/$B$84*'Commercial Inputs'!$B$46*('Commercial Inputs'!$B$24*$B$90+'Commercial Inputs'!$B$28)</x:f>
        <x:v>148708.36439385763</x:v>
      </x:c>
      <x:c r="AD68" s="58" t="n">
        <x:f>AD65/$B$84*'Commercial Inputs'!$B$46*('Commercial Inputs'!$B$24*$B$90+'Commercial Inputs'!$B$28)</x:f>
        <x:v>156662.69083873736</x:v>
      </x:c>
      <x:c r="AE68" s="58" t="n">
        <x:f>AE65/$B$84*'Commercial Inputs'!$B$46*('Commercial Inputs'!$B$24*$B$90+'Commercial Inputs'!$B$28)</x:f>
        <x:v>164318.81151873484</x:v>
      </x:c>
      <x:c r="AF68" s="58" t="n">
        <x:f>AF65/$B$84*'Commercial Inputs'!$B$46*('Commercial Inputs'!$B$24*$B$90+'Commercial Inputs'!$B$28)</x:f>
        <x:v>175577.19427301956</x:v>
      </x:c>
      <x:c r="AG68" s="58" t="n">
        <x:f>AG65/$B$84*'Commercial Inputs'!$B$46*('Commercial Inputs'!$B$24*$B$90+'Commercial Inputs'!$B$28)</x:f>
        <x:v>186574.70836026382</x:v>
      </x:c>
      <x:c r="AH68" s="58" t="n">
        <x:f>AH65/$B$84*'Commercial Inputs'!$B$46*('Commercial Inputs'!$B$24*$B$90+'Commercial Inputs'!$B$28)</x:f>
        <x:v>197351.12283207386</x:v>
      </x:c>
      <x:c r="AI68" s="58" t="n">
        <x:f>AI65/$B$84*'Commercial Inputs'!$B$46*('Commercial Inputs'!$B$24*$B$90+'Commercial Inputs'!$B$28)</x:f>
        <x:v>207950.5028885026</x:v>
      </x:c>
      <x:c r="AJ68" s="58" t="n">
        <x:f>AJ65/$B$84*'Commercial Inputs'!$B$46*('Commercial Inputs'!$B$24*$B$90+'Commercial Inputs'!$B$28)</x:f>
        <x:v>218421.64709056483</x:v>
      </x:c>
      <x:c r="AK68" s="58" t="n">
        <x:f>AK65/$B$84*'Commercial Inputs'!$B$46*('Commercial Inputs'!$B$24*$B$90+'Commercial Inputs'!$B$28)</x:f>
        <x:v>228818.5683581752</x:v>
      </x:c>
    </x:row>
    <x:row r="69" ht="18" customHeight="1">
      <x:c r="A69" s="4" t="str">
        <x:v>Forward liquidity buffer (INR)</x:v>
      </x:c>
      <x:c r="B69" s="58" t="n">
        <x:f>'Commercial Inputs'!$B$34*(SUM(B52:B54)+B47+B16)</x:f>
        <x:v>68079.15</x:v>
      </x:c>
      <x:c r="C69" s="58" t="n">
        <x:f>'Commercial Inputs'!$B$34*(SUM(C52:C54)+C47+C16)</x:f>
        <x:v>68520.10565943</x:v>
      </x:c>
      <x:c r="D69" s="58" t="n">
        <x:f>'Commercial Inputs'!$B$34*(SUM(D52:D54)+D47+D16)</x:f>
        <x:v>69043.96083567082</x:v>
      </x:c>
      <x:c r="E69" s="58" t="n">
        <x:f>'Commercial Inputs'!$B$34*(SUM(E52:E54)+E47+E16)</x:f>
        <x:v>92283.97504324361</x:v>
      </x:c>
      <x:c r="F69" s="58" t="n">
        <x:f>'Commercial Inputs'!$B$34*(SUM(F52:F54)+F47+F16)</x:f>
        <x:v>93047.46809288519</x:v>
      </x:c>
      <x:c r="G69" s="58" t="n">
        <x:f>'Commercial Inputs'!$B$34*(SUM(G52:G54)+G47+G16)</x:f>
        <x:v>93852.456165939</x:v>
      </x:c>
      <x:c r="H69" s="58" t="n">
        <x:f>'Commercial Inputs'!$B$34*(SUM(H52:H54)+H47+H16)</x:f>
        <x:v>143849.71137107117</x:v>
      </x:c>
      <x:c r="I69" s="58" t="n">
        <x:f>'Commercial Inputs'!$B$34*(SUM(I52:I54)+I47+I16)</x:f>
        <x:v>145117.045187102</x:v>
      </x:c>
      <x:c r="J69" s="58" t="n">
        <x:f>'Commercial Inputs'!$B$34*(SUM(J52:J54)+J47+J16)</x:f>
        <x:v>146438.44423757336</x:v>
      </x:c>
      <x:c r="K69" s="58" t="n">
        <x:f>'Commercial Inputs'!$B$34*(SUM(K52:K54)+K47+K16)</x:f>
        <x:v>147832.8803363299</x:v>
      </x:c>
      <x:c r="L69" s="58" t="n">
        <x:f>'Commercial Inputs'!$B$34*(SUM(L52:L54)+L47+L16)</x:f>
        <x:v>149311.77037183152</x:v>
      </x:c>
      <x:c r="M69" s="58" t="n">
        <x:f>'Commercial Inputs'!$B$34*(SUM(M52:M54)+M47+M16)</x:f>
        <x:v>180887.5129415471</x:v>
      </x:c>
      <x:c r="N69" s="58" t="n">
        <x:f>'Commercial Inputs'!$B$34*(SUM(N52:N54)+N47+N16)</x:f>
        <x:v>306614.7828744952</x:v>
      </x:c>
      <x:c r="O69" s="58" t="n">
        <x:f>'Commercial Inputs'!$B$34*(SUM(O52:O54)+O47+O16)</x:f>
        <x:v>308580.42949057935</x:v>
      </x:c>
      <x:c r="P69" s="58" t="n">
        <x:f>'Commercial Inputs'!$B$34*(SUM(P52:P54)+P47+P16)</x:f>
        <x:v>310580.0945601568</x:v>
      </x:c>
      <x:c r="Q69" s="58" t="n">
        <x:f>'Commercial Inputs'!$B$34*(SUM(Q52:Q54)+Q47+Q16)</x:f>
        <x:v>312538.1106554816</x:v>
      </x:c>
      <x:c r="R69" s="58" t="n">
        <x:f>'Commercial Inputs'!$B$34*(SUM(R52:R54)+R47+R16)</x:f>
        <x:v>314556.6687841228</x:v>
      </x:c>
      <x:c r="S69" s="58" t="n">
        <x:f>'Commercial Inputs'!$B$34*(SUM(S52:S54)+S47+S16)</x:f>
        <x:v>316642.2743224199</x:v>
      </x:c>
      <x:c r="T69" s="58" t="n">
        <x:f>'Commercial Inputs'!$B$34*(SUM(T52:T54)+T47+T16)</x:f>
        <x:v>413025.2123702379</x:v>
      </x:c>
      <x:c r="U69" s="58" t="n">
        <x:f>'Commercial Inputs'!$B$34*(SUM(U52:U54)+U47+U16)</x:f>
        <x:v>415666.95622675546</x:v>
      </x:c>
      <x:c r="V69" s="58" t="n">
        <x:f>'Commercial Inputs'!$B$34*(SUM(V52:V54)+V47+V16)</x:f>
        <x:v>418368.1501646342</x:v>
      </x:c>
      <x:c r="W69" s="58" t="n">
        <x:f>'Commercial Inputs'!$B$34*(SUM(W52:W54)+W47+W16)</x:f>
        <x:v>466151.77838441863</x:v>
      </x:c>
      <x:c r="X69" s="58" t="n">
        <x:f>'Commercial Inputs'!$B$34*(SUM(X52:X54)+X47+X16)</x:f>
        <x:v>469025.9954803051</x:v>
      </x:c>
      <x:c r="Y69" s="58" t="n">
        <x:f>'Commercial Inputs'!$B$34*(SUM(Y52:Y54)+Y47+Y16)</x:f>
        <x:v>471998.8125839977</x:v>
      </x:c>
      <x:c r="Z69" s="58" t="n">
        <x:f>'Commercial Inputs'!$B$34*(SUM(Z52:Z54)+Z47+Z16)</x:f>
        <x:v>613848.8462365422</x:v>
      </x:c>
      <x:c r="AA69" s="58" t="n">
        <x:f>'Commercial Inputs'!$B$34*(SUM(AA52:AA54)+AA47+AA16)</x:f>
        <x:v>616982.5860903319</x:v>
      </x:c>
      <x:c r="AB69" s="58" t="n">
        <x:f>'Commercial Inputs'!$B$34*(SUM(AB52:AB54)+AB47+AB16)</x:f>
        <x:v>620185.2031538672</x:v>
      </x:c>
      <x:c r="AC69" s="58" t="n">
        <x:f>'Commercial Inputs'!$B$34*(SUM(AC52:AC54)+AC47+AC16)</x:f>
        <x:v>623454.6997433277</x:v>
      </x:c>
      <x:c r="AD69" s="58" t="n">
        <x:f>'Commercial Inputs'!$B$34*(SUM(AD52:AD54)+AD47+AD16)</x:f>
        <x:v>626816.115481741</x:v>
      </x:c>
      <x:c r="AE69" s="58" t="n">
        <x:f>'Commercial Inputs'!$B$34*(SUM(AE52:AE54)+AE47+AE16)</x:f>
        <x:v>630275.9862552356</x:v>
      </x:c>
      <x:c r="AF69" s="58" t="n">
        <x:f>'Commercial Inputs'!$B$34*(SUM(AF52:AF54)+AF47+AF16)</x:f>
        <x:v>727807.9812729241</x:v>
      </x:c>
      <x:c r="AG69" s="58" t="n">
        <x:f>'Commercial Inputs'!$B$34*(SUM(AG52:AG54)+AG47+AG16)</x:f>
        <x:v>731636.3780228484</x:v>
      </x:c>
      <x:c r="AH69" s="58" t="n">
        <x:f>'Commercial Inputs'!$B$34*(SUM(AH52:AH54)+AH47+AH16)</x:f>
        <x:v>735557.4847699646</x:v>
      </x:c>
      <x:c r="AI69" s="58" t="n">
        <x:f>'Commercial Inputs'!$B$34*(SUM(AI52:AI54)+AI47+AI16)</x:f>
        <x:v>739592.3418946629</x:v>
      </x:c>
      <x:c r="AJ69" s="58" t="n">
        <x:f>'Commercial Inputs'!$B$34*(SUM(AJ52:AJ54)+AJ47+AJ16)</x:f>
        <x:v>743748.3834388795</x:v>
      </x:c>
      <x:c r="AK69" s="58" t="n">
        <x:f>'Commercial Inputs'!$B$34*(SUM(AK52:AK54)+AK47+AK16)</x:f>
        <x:v>748032.7858768012</x:v>
      </x:c>
    </x:row>
    <x:row r="70" ht="18" customHeight="1">
      <x:c r="A70" s="4" t="str">
        <x:v>Cash after service / liquidity reserves</x:v>
      </x:c>
      <x:c r="B70" s="58" t="n">
        <x:f>B64-B68-B69</x:f>
        <x:v>8554.364951398311</x:v>
      </x:c>
      <x:c r="C70" s="58" t="n">
        <x:f>C64-C68-C69</x:f>
        <x:v>28855.03531901569</x:v>
      </x:c>
      <x:c r="D70" s="58" t="n">
        <x:f>D64-D68-D69</x:f>
        <x:v>53324.12443075115</x:v>
      </x:c>
      <x:c r="E70" s="58" t="n">
        <x:f>E64-E68-E69</x:f>
        <x:v>58758.374796055374</x:v>
      </x:c>
      <x:c r="F70" s="58" t="n">
        <x:f>F64-F68-F69</x:f>
        <x:v>99456.19497534446</x:v>
      </x:c>
      <x:c r="G70" s="58" t="n">
        <x:f>G64-G68-G69</x:f>
        <x:v>145803.24196696182</x:v>
      </x:c>
      <x:c r="H70" s="58" t="n">
        <x:f>H64-H68-H69</x:f>
        <x:v>147316.5095355797</x:v>
      </x:c>
      <x:c r="I70" s="58" t="n">
        <x:f>I64-I68-I69</x:f>
        <x:v>221355.7407020615</x:v>
      </x:c>
      <x:c r="J70" s="58" t="n">
        <x:f>J64-J68-J69</x:f>
        <x:v>303414.05919819995</x:v>
      </x:c>
      <x:c r="K70" s="58" t="n">
        <x:f>K64-K68-K69</x:f>
        <x:v>394111.0874842701</x:v>
      </x:c>
      <x:c r="L70" s="58" t="n">
        <x:f>L64-L68-L69</x:f>
        <x:v>494263.2206393811</x:v>
      </x:c>
      <x:c r="M70" s="58" t="n">
        <x:f>M64-M68-M69</x:f>
        <x:v>564820.3555234706</x:v>
      </x:c>
      <x:c r="N70" s="58" t="n">
        <x:f>N64-N68-N69</x:f>
        <x:v>538014.9491395457</x:v>
      </x:c>
      <x:c r="O70" s="58" t="n">
        <x:f>O64-O68-O69</x:f>
        <x:v>677194.6145695581</x:v>
      </x:c>
      <x:c r="P70" s="58" t="n">
        <x:f>P64-P68-P69</x:f>
        <x:v>827652.0005278117</x:v>
      </x:c>
      <x:c r="Q70" s="58" t="n">
        <x:f>Q64-Q68-Q69</x:f>
        <x:v>991865.9731339869</x:v>
      </x:c>
      <x:c r="R70" s="58" t="n">
        <x:f>R64-R68-R69</x:f>
        <x:v>1170730.1996827042</x:v>
      </x:c>
      <x:c r="S70" s="58" t="n">
        <x:f>S64-S68-S69</x:f>
        <x:v>1362907.4425576087</x:v>
      </x:c>
      <x:c r="T70" s="58" t="n">
        <x:f>T64-T68-T69</x:f>
        <x:v>1473193.1536733601</x:v>
      </x:c>
      <x:c r="U70" s="58" t="n">
        <x:f>U64-U68-U69</x:f>
        <x:v>1727057.9936343557</x:v>
      </x:c>
      <x:c r="V70" s="58" t="n">
        <x:f>V64-V68-V69</x:f>
        <x:v>1998504.5526155399</x:v>
      </x:c>
      <x:c r="W70" s="58" t="n">
        <x:f>W64-W68-W69</x:f>
        <x:v>2228520.95096123</x:v>
      </x:c>
      <x:c r="X70" s="58" t="n">
        <x:f>X64-X68-X69</x:f>
        <x:v>2523378.4411241803</x:v>
      </x:c>
      <x:c r="Y70" s="58" t="n">
        <x:f>Y64-Y68-Y69</x:f>
        <x:v>2839510.5813767556</x:v>
      </x:c>
      <x:c r="Z70" s="58" t="n">
        <x:f>Z64-Z68-Z69</x:f>
        <x:v>3016222.683810448</x:v>
      </x:c>
      <x:c r="AA70" s="58" t="n">
        <x:f>AA64-AA68-AA69</x:f>
        <x:v>3380100.529382088</x:v>
      </x:c>
      <x:c r="AB70" s="58" t="n">
        <x:f>AB64-AB68-AB69</x:f>
        <x:v>3764706.045665389</x:v>
      </x:c>
      <x:c r="AC70" s="58" t="n">
        <x:f>AC64-AC68-AC69</x:f>
        <x:v>4171982.5317176506</x:v>
      </x:c>
      <x:c r="AD70" s="58" t="n">
        <x:f>AD64-AD68-AD69</x:f>
        <x:v>4603185.538407292</x:v>
      </x:c>
      <x:c r="AE70" s="58" t="n">
        <x:f>AE64-AE68-AE69</x:f>
        <x:v>5058409.55055492</x:v>
      </x:c>
      <x:c r="AF70" s="58" t="n">
        <x:f>AF64-AF68-AF69</x:f>
        <x:v>5446097.856036247</x:v>
      </x:c>
      <x:c r="AG70" s="58" t="n">
        <x:f>AG64-AG68-AG69</x:f>
        <x:v>5992285.479563563</x:v>
      </x:c>
      <x:c r="AH70" s="58" t="n">
        <x:f>AH64-AH68-AH69</x:f>
        <x:v>6568077.027662245</x:v>
      </x:c>
      <x:c r="AI70" s="58" t="n">
        <x:f>AI64-AI68-AI69</x:f>
        <x:v>7174952.8805516455</x:v>
      </x:c>
      <x:c r="AJ70" s="58" t="n">
        <x:f>AJ64-AJ68-AJ69</x:f>
        <x:v>7814668.490621781</x:v>
      </x:c>
      <x:c r="AK70" s="58" t="n">
        <x:f>AK64-AK68-AK69</x:f>
        <x:v>8489143.420478161</x:v>
      </x:c>
    </x:row>
    <x:row r="71" ht="18" customHeight="1">
      <x:c r="A71" s="4" t="str">
        <x:v>Cumulative earned operating profit (INR)</x:v>
      </x:c>
      <x:c r="B71" s="58" t="n">
        <x:f>0+B56</x:f>
        <x:v>-42556.24328385593</x:v>
      </x:c>
      <x:c r="C71" s="58" t="n">
        <x:f>B71+C56</x:f>
        <x:v>-60389.97824230838</x:v>
      </x:c>
      <x:c r="D71" s="58" t="n">
        <x:f>C71+D56</x:f>
        <x:v>-73445.45888718957</x:v>
      </x:c>
      <x:c r="E71" s="58" t="n">
        <x:f>D71+E56</x:f>
        <x:v>-88959.69979859648</x:v>
      </x:c>
      <x:c r="F71" s="58" t="n">
        <x:f>E71+F56</x:f>
        <x:v>-97454.2267383397</x:v>
      </x:c>
      <x:c r="G71" s="58" t="n">
        <x:f>F71+G56</x:f>
        <x:v>-98642.72642626826</x:v>
      </x:c>
      <x:c r="H71" s="58" t="n">
        <x:f>G71+H56</x:f>
        <x:v>-108391.76468319837</x:v>
      </x:c>
      <x:c r="I71" s="58" t="n">
        <x:f>H71+I56</x:f>
        <x:v>-106395.9195350648</x:v>
      </x:c>
      <x:c r="J71" s="58" t="n">
        <x:f>I71+J56</x:f>
        <x:v>-92313.11101770036</x:v>
      </x:c>
      <x:c r="K71" s="58" t="n">
        <x:f>J71+K56</x:f>
        <x:v>-65582.72718724953</x:v>
      </x:c>
      <x:c r="L71" s="58" t="n">
        <x:f>K71+L56</x:f>
        <x:v>-25539.17340782199</x:v>
      </x:c>
      <x:c r="M71" s="58" t="n">
        <x:f>L71+M56</x:f>
        <x:v>18595.204936067268</x:v>
      </x:c>
      <x:c r="N71" s="58" t="n">
        <x:f>M71+N56</x:f>
        <x:v>32249.72785482493</x:v>
      </x:c>
      <x:c r="O71" s="58" t="n">
        <x:f>N71+O56</x:f>
        <x:v>64174.00235545311</x:v>
      </x:c>
      <x:c r="P71" s="58" t="n">
        <x:f>O71+P56</x:f>
        <x:v>114469.79292063146</x:v>
      </x:c>
      <x:c r="Q71" s="58" t="n">
        <x:f>P71+Q56</x:f>
        <x:v>182041.62091700418</x:v>
      </x:c>
      <x:c r="R71" s="58" t="n">
        <x:f>Q71+R56</x:f>
        <x:v>267871.2069420778</x:v>
      </x:c>
      <x:c r="S71" s="58" t="n">
        <x:f>R71+S56</x:f>
        <x:v>372445.4441565091</x:v>
      </x:c>
      <x:c r="T71" s="58" t="n">
        <x:f>S71+T56</x:f>
        <x:v>461864.3767075566</x:v>
      </x:c>
      <x:c r="U71" s="58" t="n">
        <x:f>T71+U56</x:f>
        <x:v>575436.4116135883</x:v>
      </x:c>
      <x:c r="V71" s="58" t="n">
        <x:f>U71+V56</x:f>
        <x:v>713440.0333547095</x:v>
      </x:c>
      <x:c r="W71" s="58" t="n">
        <x:f>V71+W56</x:f>
        <x:v>861443.1650494833</x:v>
      </x:c>
      <x:c r="X71" s="58" t="n">
        <x:f>W71+X56</x:f>
        <x:v>1035090.3145663636</x:v>
      </x:c>
      <x:c r="Y71" s="58" t="n">
        <x:f>X71+Y56</x:f>
        <x:v>1235098.4641191228</x:v>
      </x:c>
      <x:c r="Z71" s="58" t="n">
        <x:f>Y71+Z56</x:f>
        <x:v>1410051.6436771988</x:v>
      </x:c>
      <x:c r="AA71" s="58" t="n">
        <x:f>Z71+AA56</x:f>
        <x:v>1613448.2381194073</x:v>
      </x:c>
      <x:c r="AB71" s="58" t="n">
        <x:f>AA71+AB56</x:f>
        <x:v>1845695.7477579347</x:v>
      </x:c>
      <x:c r="AC71" s="58" t="n">
        <x:f>AB71+AC56</x:f>
        <x:v>2106936.084955627</x:v>
      </x:c>
      <x:c r="AD71" s="58" t="n">
        <x:f>AC71+AD56</x:f>
        <x:v>2398143.928061218</x:v>
      </x:c>
      <x:c r="AE71" s="58" t="n">
        <x:f>AD71+AE56</x:f>
        <x:v>2720058.7381333387</x:v>
      </x:c>
      <x:c r="AF71" s="58" t="n">
        <x:f>AE71+AF56</x:f>
        <x:v>3035662.2676064656</x:v>
      </x:c>
      <x:c r="AG71" s="58" t="n">
        <x:f>AF71+AG56</x:f>
        <x:v>3385491.8682657564</x:v>
      </x:c>
      <x:c r="AH71" s="58" t="n">
        <x:f>AG71+AH56</x:f>
        <x:v>3770105.681529509</x:v>
      </x:c>
      <x:c r="AI71" s="58" t="n">
        <x:f>AH71+AI56</x:f>
        <x:v>4190325.2091073412</x:v>
      </x:c>
      <x:c r="AJ71" s="58" t="n">
        <x:f>AI71+AJ56</x:f>
        <x:v>4647040.582192283</x:v>
      </x:c>
      <x:c r="AK71" s="58" t="n">
        <x:f>AJ71+AK56</x:f>
        <x:v>5141205.606414687</x:v>
      </x:c>
    </x:row>
    <x:row r="72" ht="18" customHeight="1">
      <x:c r="A72" s="4" t="str">
        <x:v>Pre-tax retained-profit / liquidity cap</x:v>
      </x:c>
      <x:c r="B72" s="58" t="n">
        <x:f>MAX(0,MIN(B71,B70))</x:f>
        <x:v>0</x:v>
      </x:c>
      <x:c r="C72" s="58" t="n">
        <x:f>MAX(0,MIN(C71,C70))</x:f>
        <x:v>0</x:v>
      </x:c>
      <x:c r="D72" s="58" t="n">
        <x:f>MAX(0,MIN(D71,D70))</x:f>
        <x:v>0</x:v>
      </x:c>
      <x:c r="E72" s="58" t="n">
        <x:f>MAX(0,MIN(E71,E70))</x:f>
        <x:v>0</x:v>
      </x:c>
      <x:c r="F72" s="58" t="n">
        <x:f>MAX(0,MIN(F71,F70))</x:f>
        <x:v>0</x:v>
      </x:c>
      <x:c r="G72" s="58" t="n">
        <x:f>MAX(0,MIN(G71,G70))</x:f>
        <x:v>0</x:v>
      </x:c>
      <x:c r="H72" s="58" t="n">
        <x:f>MAX(0,MIN(H71,H70))</x:f>
        <x:v>0</x:v>
      </x:c>
      <x:c r="I72" s="58" t="n">
        <x:f>MAX(0,MIN(I71,I70))</x:f>
        <x:v>0</x:v>
      </x:c>
      <x:c r="J72" s="58" t="n">
        <x:f>MAX(0,MIN(J71,J70))</x:f>
        <x:v>0</x:v>
      </x:c>
      <x:c r="K72" s="58" t="n">
        <x:f>MAX(0,MIN(K71,K70))</x:f>
        <x:v>0</x:v>
      </x:c>
      <x:c r="L72" s="58" t="n">
        <x:f>MAX(0,MIN(L71,L70))</x:f>
        <x:v>0</x:v>
      </x:c>
      <x:c r="M72" s="58" t="n">
        <x:f>MAX(0,MIN(M71,M70))</x:f>
        <x:v>18595.204936067268</x:v>
      </x:c>
      <x:c r="N72" s="58" t="n">
        <x:f>MAX(0,MIN(N71,N70))</x:f>
        <x:v>32249.72785482493</x:v>
      </x:c>
      <x:c r="O72" s="58" t="n">
        <x:f>MAX(0,MIN(O71,O70))</x:f>
        <x:v>64174.00235545311</x:v>
      </x:c>
      <x:c r="P72" s="58" t="n">
        <x:f>MAX(0,MIN(P71,P70))</x:f>
        <x:v>114469.79292063146</x:v>
      </x:c>
      <x:c r="Q72" s="58" t="n">
        <x:f>MAX(0,MIN(Q71,Q70))</x:f>
        <x:v>182041.62091700418</x:v>
      </x:c>
      <x:c r="R72" s="58" t="n">
        <x:f>MAX(0,MIN(R71,R70))</x:f>
        <x:v>267871.2069420778</x:v>
      </x:c>
      <x:c r="S72" s="58" t="n">
        <x:f>MAX(0,MIN(S71,S70))</x:f>
        <x:v>372445.4441565091</x:v>
      </x:c>
      <x:c r="T72" s="58" t="n">
        <x:f>MAX(0,MIN(T71,T70))</x:f>
        <x:v>461864.3767075566</x:v>
      </x:c>
      <x:c r="U72" s="58" t="n">
        <x:f>MAX(0,MIN(U71,U70))</x:f>
        <x:v>575436.4116135883</x:v>
      </x:c>
      <x:c r="V72" s="58" t="n">
        <x:f>MAX(0,MIN(V71,V70))</x:f>
        <x:v>713440.0333547095</x:v>
      </x:c>
      <x:c r="W72" s="58" t="n">
        <x:f>MAX(0,MIN(W71,W70))</x:f>
        <x:v>861443.1650494833</x:v>
      </x:c>
      <x:c r="X72" s="58" t="n">
        <x:f>MAX(0,MIN(X71,X70))</x:f>
        <x:v>1035090.3145663636</x:v>
      </x:c>
      <x:c r="Y72" s="58" t="n">
        <x:f>MAX(0,MIN(Y71,Y70))</x:f>
        <x:v>1235098.4641191228</x:v>
      </x:c>
      <x:c r="Z72" s="58" t="n">
        <x:f>MAX(0,MIN(Z71,Z70))</x:f>
        <x:v>1410051.6436771988</x:v>
      </x:c>
      <x:c r="AA72" s="58" t="n">
        <x:f>MAX(0,MIN(AA71,AA70))</x:f>
        <x:v>1613448.2381194073</x:v>
      </x:c>
      <x:c r="AB72" s="58" t="n">
        <x:f>MAX(0,MIN(AB71,AB70))</x:f>
        <x:v>1845695.7477579347</x:v>
      </x:c>
      <x:c r="AC72" s="58" t="n">
        <x:f>MAX(0,MIN(AC71,AC70))</x:f>
        <x:v>2106936.084955627</x:v>
      </x:c>
      <x:c r="AD72" s="58" t="n">
        <x:f>MAX(0,MIN(AD71,AD70))</x:f>
        <x:v>2398143.928061218</x:v>
      </x:c>
      <x:c r="AE72" s="58" t="n">
        <x:f>MAX(0,MIN(AE71,AE70))</x:f>
        <x:v>2720058.7381333387</x:v>
      </x:c>
      <x:c r="AF72" s="58" t="n">
        <x:f>MAX(0,MIN(AF71,AF70))</x:f>
        <x:v>3035662.2676064656</x:v>
      </x:c>
      <x:c r="AG72" s="58" t="n">
        <x:f>MAX(0,MIN(AG71,AG70))</x:f>
        <x:v>3385491.8682657564</x:v>
      </x:c>
      <x:c r="AH72" s="58" t="n">
        <x:f>MAX(0,MIN(AH71,AH70))</x:f>
        <x:v>3770105.681529509</x:v>
      </x:c>
      <x:c r="AI72" s="58" t="n">
        <x:f>MAX(0,MIN(AI71,AI70))</x:f>
        <x:v>4190325.2091073412</x:v>
      </x:c>
      <x:c r="AJ72" s="58" t="n">
        <x:f>MAX(0,MIN(AJ71,AJ70))</x:f>
        <x:v>4647040.582192283</x:v>
      </x:c>
      <x:c r="AK72" s="58" t="n">
        <x:f>MAX(0,MIN(AK71,AK70))</x:f>
        <x:v>5141205.606414687</x:v>
      </x:c>
    </x:row>
    <x:row r="73" ht="18" customHeight="1">
      <x:c r="A73" s="74" t="str">
        <x:v>Revenue run rate: current month x 12</x:v>
      </x:c>
      <x:c r="B73" s="75" t="n">
        <x:f>B38*'Commercial Inputs'!$B$46</x:f>
        <x:v>74770.08377542373</x:v>
      </x:c>
      <x:c r="C73" s="75" t="n">
        <x:f>C38*'Commercial Inputs'!$B$46</x:f>
        <x:v>143980.95647536276</x:v>
      </x:c>
      <x:c r="D73" s="75" t="n">
        <x:f>D38*'Commercial Inputs'!$B$46</x:f>
        <x:v>214523.16242925037</x:v>
      </x:c>
      <x:c r="E73" s="75" t="n">
        <x:f>E38*'Commercial Inputs'!$B$46</x:f>
        <x:v>315381.42270190653</x:v>
      </x:c>
      <x:c r="F73" s="75" t="n">
        <x:f>F38*'Commercial Inputs'!$B$46</x:f>
        <x:v>417415.22961776314</x:v>
      </x:c>
      <x:c r="G73" s="75" t="n">
        <x:f>G38*'Commercial Inputs'!$B$46</x:f>
        <x:v>523976.7614918165</x:v>
      </x:c>
      <x:c r="H73" s="75" t="n">
        <x:f>H38*'Commercial Inputs'!$B$46</x:f>
        <x:v>693287.7971179027</x:v>
      </x:c>
      <x:c r="I73" s="75" t="n">
        <x:f>I38*'Commercial Inputs'!$B$46</x:f>
        <x:v>861523.362426244</x:v>
      </x:c>
      <x:c r="J73" s="75" t="n">
        <x:f>J38*'Commercial Inputs'!$B$46</x:f>
        <x:v>1035225.8782600112</x:v>
      </x:c>
      <x:c r="K73" s="75" t="n">
        <x:f>K38*'Commercial Inputs'!$B$46</x:f>
        <x:v>1217688.9352994768</x:v>
      </x:c>
      <x:c r="L73" s="75" t="n">
        <x:f>L38*'Commercial Inputs'!$B$46</x:f>
        <x:v>1410524.1938523445</x:v>
      </x:c>
      <x:c r="M73" s="75" t="n">
        <x:f>M38*'Commercial Inputs'!$B$46</x:f>
        <x:v>1615454.6715820972</x:v>
      </x:c>
      <x:c r="N73" s="75" t="n">
        <x:f>N38*'Commercial Inputs'!$B$46</x:f>
        <x:v>1882557.964536251</x:v>
      </x:c>
      <x:c r="O73" s="75" t="n">
        <x:f>O38*'Commercial Inputs'!$B$46</x:f>
        <x:v>2142368.215854519</x:v>
      </x:c>
      <x:c r="P73" s="75" t="n">
        <x:f>P38*'Commercial Inputs'!$B$46</x:f>
        <x:v>2404217.8173433347</x:v>
      </x:c>
      <x:c r="Q73" s="75" t="n">
        <x:f>Q38*'Commercial Inputs'!$B$46</x:f>
        <x:v>2660283.1174610006</x:v>
      </x:c>
      <x:c r="R73" s="75" t="n">
        <x:f>R38*'Commercial Inputs'!$B$46</x:f>
        <x:v>2923323.1888257456</x:v>
      </x:c>
      <x:c r="S73" s="75" t="n">
        <x:f>S38*'Commercial Inputs'!$B$46</x:f>
        <x:v>3194354.4966097176</x:v>
      </x:c>
      <x:c r="T73" s="75" t="n">
        <x:f>T38*'Commercial Inputs'!$B$46</x:f>
        <x:v>3547514.6273584794</x:v>
      </x:c>
      <x:c r="U73" s="75" t="n">
        <x:f>U38*'Commercial Inputs'!$B$46</x:f>
        <x:v>3895598.0871718535</x:v>
      </x:c>
      <x:c r="V73" s="75" t="n">
        <x:f>V38*'Commercial Inputs'!$B$46</x:f>
        <x:v>4248900.592099204</x:v>
      </x:c>
      <x:c r="W73" s="75" t="n">
        <x:f>W38*'Commercial Inputs'!$B$46</x:f>
        <x:v>4611859.734596961</x:v>
      </x:c>
      <x:c r="X73" s="75" t="n">
        <x:f>X38*'Commercial Inputs'!$B$46</x:f>
        <x:v>4985766.775507296</x:v>
      </x:c>
      <x:c r="Y73" s="75" t="n">
        <x:f>Y38*'Commercial Inputs'!$B$46</x:f>
        <x:v>5371870.8380125</x:v>
      </x:c>
      <x:c r="Z73" s="75" t="n">
        <x:f>Z38*'Commercial Inputs'!$B$46</x:f>
        <x:v>5782234.625793893</x:v>
      </x:c>
      <x:c r="AA73" s="75" t="n">
        <x:f>AA38*'Commercial Inputs'!$B$46</x:f>
        <x:v>6192361.980627025</x:v>
      </x:c>
      <x:c r="AB73" s="75" t="n">
        <x:f>AB38*'Commercial Inputs'!$B$46</x:f>
        <x:v>6609359.822959056</x:v>
      </x:c>
      <x:c r="AC73" s="75" t="n">
        <x:f>AC38*'Commercial Inputs'!$B$46</x:f>
        <x:v>7034098.537113188</x:v>
      </x:c>
      <x:c r="AD73" s="75" t="n">
        <x:f>AD38*'Commercial Inputs'!$B$46</x:f>
        <x:v>7469901.196748301</x:v>
      </x:c>
      <x:c r="AE73" s="75" t="n">
        <x:f>AE38*'Commercial Inputs'!$B$46</x:f>
        <x:v>7917798.650821508</x:v>
      </x:c>
      <x:c r="AF73" s="75" t="n">
        <x:f>AF38*'Commercial Inputs'!$B$46</x:f>
        <x:v>8419135.731746033</x:v>
      </x:c>
      <x:c r="AG73" s="75" t="n">
        <x:f>AG38*'Commercial Inputs'!$B$46</x:f>
        <x:v>8920847.768205041</x:v>
      </x:c>
      <x:c r="AH73" s="75" t="n">
        <x:f>AH38*'Commercial Inputs'!$B$46</x:f>
        <x:v>9432347.97500236</x:v>
      </x:c>
      <x:c r="AI73" s="75" t="n">
        <x:f>AI38*'Commercial Inputs'!$B$46</x:f>
        <x:v>9957706.198908813</x:v>
      </x:c>
      <x:c r="AJ73" s="75" t="n">
        <x:f>AJ38*'Commercial Inputs'!$B$46</x:f>
        <x:v>10498114.016153805</x:v>
      </x:c>
      <x:c r="AK73" s="75" t="n">
        <x:f>AK38*'Commercial Inputs'!$B$46</x:f>
        <x:v>11054706.529333733</x:v>
      </x:c>
    </x:row>
    <x:row r="74" ht="18" customHeight="1">
      <x:c r="A74" s="4" t="str"/>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c r="AA74" s="58"/>
      <x:c r="AB74" s="58"/>
      <x:c r="AC74" s="58"/>
      <x:c r="AD74" s="58"/>
      <x:c r="AE74" s="58"/>
      <x:c r="AF74" s="58"/>
      <x:c r="AG74" s="58"/>
      <x:c r="AH74" s="58"/>
      <x:c r="AI74" s="58"/>
      <x:c r="AJ74" s="58"/>
      <x:c r="AK74" s="58"/>
    </x:row>
    <x:row r="75" ht="18" customHeight="1">
      <x:c r="A75" s="4" t="str">
        <x:v>Annual entitlement balance check</x:v>
      </x:c>
      <x:c r="B75" s="58" t="n">
        <x:f>ROUND(B24-(0+SUM(B20:B22)-B23),6)</x:f>
        <x:v>0</x:v>
      </x:c>
      <x:c r="C75" s="58" t="n">
        <x:f>ROUND(C24-(B24+SUM(C20:C22)-C23),6)</x:f>
        <x:v>0</x:v>
      </x:c>
      <x:c r="D75" s="58" t="n">
        <x:f>ROUND(D24-(C24+SUM(D20:D22)-D23),6)</x:f>
        <x:v>0</x:v>
      </x:c>
      <x:c r="E75" s="58" t="n">
        <x:f>ROUND(E24-(D24+SUM(E20:E22)-E23),6)</x:f>
        <x:v>0</x:v>
      </x:c>
      <x:c r="F75" s="58" t="n">
        <x:f>ROUND(F24-(E24+SUM(F20:F22)-F23),6)</x:f>
        <x:v>0</x:v>
      </x:c>
      <x:c r="G75" s="58" t="n">
        <x:f>ROUND(G24-(F24+SUM(G20:G22)-G23),6)</x:f>
        <x:v>0</x:v>
      </x:c>
      <x:c r="H75" s="58" t="n">
        <x:f>ROUND(H24-(G24+SUM(H20:H22)-H23),6)</x:f>
        <x:v>0</x:v>
      </x:c>
      <x:c r="I75" s="58" t="n">
        <x:f>ROUND(I24-(H24+SUM(I20:I22)-I23),6)</x:f>
        <x:v>0</x:v>
      </x:c>
      <x:c r="J75" s="58" t="n">
        <x:f>ROUND(J24-(I24+SUM(J20:J22)-J23),6)</x:f>
        <x:v>0</x:v>
      </x:c>
      <x:c r="K75" s="58" t="n">
        <x:f>ROUND(K24-(J24+SUM(K20:K22)-K23),6)</x:f>
        <x:v>0</x:v>
      </x:c>
      <x:c r="L75" s="58" t="n">
        <x:f>ROUND(L24-(K24+SUM(L20:L22)-L23),6)</x:f>
        <x:v>0</x:v>
      </x:c>
      <x:c r="M75" s="58" t="n">
        <x:f>ROUND(M24-(L24+SUM(M20:M22)-M23),6)</x:f>
        <x:v>0</x:v>
      </x:c>
      <x:c r="N75" s="58" t="n">
        <x:f>ROUND(N24-(M24+SUM(N20:N22)-N23),6)</x:f>
        <x:v>0</x:v>
      </x:c>
      <x:c r="O75" s="58" t="n">
        <x:f>ROUND(O24-(N24+SUM(O20:O22)-O23),6)</x:f>
        <x:v>0</x:v>
      </x:c>
      <x:c r="P75" s="58" t="n">
        <x:f>ROUND(P24-(O24+SUM(P20:P22)-P23),6)</x:f>
        <x:v>0</x:v>
      </x:c>
      <x:c r="Q75" s="58" t="n">
        <x:f>ROUND(Q24-(P24+SUM(Q20:Q22)-Q23),6)</x:f>
        <x:v>0</x:v>
      </x:c>
      <x:c r="R75" s="58" t="n">
        <x:f>ROUND(R24-(Q24+SUM(R20:R22)-R23),6)</x:f>
        <x:v>0</x:v>
      </x:c>
      <x:c r="S75" s="58" t="n">
        <x:f>ROUND(S24-(R24+SUM(S20:S22)-S23),6)</x:f>
        <x:v>0</x:v>
      </x:c>
      <x:c r="T75" s="58" t="n">
        <x:f>ROUND(T24-(S24+SUM(T20:T22)-T23),6)</x:f>
        <x:v>0</x:v>
      </x:c>
      <x:c r="U75" s="58" t="n">
        <x:f>ROUND(U24-(T24+SUM(U20:U22)-U23),6)</x:f>
        <x:v>0</x:v>
      </x:c>
      <x:c r="V75" s="58" t="n">
        <x:f>ROUND(V24-(U24+SUM(V20:V22)-V23),6)</x:f>
        <x:v>0</x:v>
      </x:c>
      <x:c r="W75" s="58" t="n">
        <x:f>ROUND(W24-(V24+SUM(W20:W22)-W23),6)</x:f>
        <x:v>0</x:v>
      </x:c>
      <x:c r="X75" s="58" t="n">
        <x:f>ROUND(X24-(W24+SUM(X20:X22)-X23),6)</x:f>
        <x:v>0</x:v>
      </x:c>
      <x:c r="Y75" s="58" t="n">
        <x:f>ROUND(Y24-(X24+SUM(Y20:Y22)-Y23),6)</x:f>
        <x:v>0</x:v>
      </x:c>
      <x:c r="Z75" s="58" t="n">
        <x:f>ROUND(Z24-(Y24+SUM(Z20:Z22)-Z23),6)</x:f>
        <x:v>0</x:v>
      </x:c>
      <x:c r="AA75" s="58" t="n">
        <x:f>ROUND(AA24-(Z24+SUM(AA20:AA22)-AA23),6)</x:f>
        <x:v>0</x:v>
      </x:c>
      <x:c r="AB75" s="58" t="n">
        <x:f>ROUND(AB24-(AA24+SUM(AB20:AB22)-AB23),6)</x:f>
        <x:v>0</x:v>
      </x:c>
      <x:c r="AC75" s="58" t="n">
        <x:f>ROUND(AC24-(AB24+SUM(AC20:AC22)-AC23),6)</x:f>
        <x:v>0</x:v>
      </x:c>
      <x:c r="AD75" s="58" t="n">
        <x:f>ROUND(AD24-(AC24+SUM(AD20:AD22)-AD23),6)</x:f>
        <x:v>0</x:v>
      </x:c>
      <x:c r="AE75" s="58" t="n">
        <x:f>ROUND(AE24-(AD24+SUM(AE20:AE22)-AE23),6)</x:f>
        <x:v>0</x:v>
      </x:c>
      <x:c r="AF75" s="58" t="n">
        <x:f>ROUND(AF24-(AE24+SUM(AF20:AF22)-AF23),6)</x:f>
        <x:v>0</x:v>
      </x:c>
      <x:c r="AG75" s="58" t="n">
        <x:f>ROUND(AG24-(AF24+SUM(AG20:AG22)-AG23),6)</x:f>
        <x:v>0</x:v>
      </x:c>
      <x:c r="AH75" s="58" t="n">
        <x:f>ROUND(AH24-(AG24+SUM(AH20:AH22)-AH23),6)</x:f>
        <x:v>0</x:v>
      </x:c>
      <x:c r="AI75" s="58" t="n">
        <x:f>ROUND(AI24-(AH24+SUM(AI20:AI22)-AI23),6)</x:f>
        <x:v>0</x:v>
      </x:c>
      <x:c r="AJ75" s="58" t="n">
        <x:f>ROUND(AJ24-(AI24+SUM(AJ20:AJ22)-AJ23),6)</x:f>
        <x:v>0</x:v>
      </x:c>
      <x:c r="AK75" s="58" t="n">
        <x:f>ROUND(AK24-(AJ24+SUM(AK20:AK22)-AK23),6)</x:f>
        <x:v>0</x:v>
      </x:c>
    </x:row>
    <x:row r="76" ht="18" customHeight="1">
      <x:c r="A76" s="4" t="str">
        <x:v>Monthly charge / refund check</x:v>
      </x:c>
      <x:c r="B76" s="58" t="n">
        <x:f>ROUND(B31-B32*(1-'Scenario Inputs'!$C$29),6)</x:f>
        <x:v>0</x:v>
      </x:c>
      <x:c r="C76" s="58" t="n">
        <x:f>ROUND(C31-C32*(1-'Scenario Inputs'!$C$29),6)</x:f>
        <x:v>0</x:v>
      </x:c>
      <x:c r="D76" s="58" t="n">
        <x:f>ROUND(D31-D32*(1-'Scenario Inputs'!$C$29),6)</x:f>
        <x:v>0</x:v>
      </x:c>
      <x:c r="E76" s="58" t="n">
        <x:f>ROUND(E31-E32*(1-'Scenario Inputs'!$C$29),6)</x:f>
        <x:v>0</x:v>
      </x:c>
      <x:c r="F76" s="58" t="n">
        <x:f>ROUND(F31-F32*(1-'Scenario Inputs'!$C$29),6)</x:f>
        <x:v>0</x:v>
      </x:c>
      <x:c r="G76" s="58" t="n">
        <x:f>ROUND(G31-G32*(1-'Scenario Inputs'!$C$29),6)</x:f>
        <x:v>0</x:v>
      </x:c>
      <x:c r="H76" s="58" t="n">
        <x:f>ROUND(H31-H32*(1-'Scenario Inputs'!$C$29),6)</x:f>
        <x:v>0</x:v>
      </x:c>
      <x:c r="I76" s="58" t="n">
        <x:f>ROUND(I31-I32*(1-'Scenario Inputs'!$C$29),6)</x:f>
        <x:v>0</x:v>
      </x:c>
      <x:c r="J76" s="58" t="n">
        <x:f>ROUND(J31-J32*(1-'Scenario Inputs'!$C$29),6)</x:f>
        <x:v>0</x:v>
      </x:c>
      <x:c r="K76" s="58" t="n">
        <x:f>ROUND(K31-K32*(1-'Scenario Inputs'!$C$29),6)</x:f>
        <x:v>0</x:v>
      </x:c>
      <x:c r="L76" s="58" t="n">
        <x:f>ROUND(L31-L32*(1-'Scenario Inputs'!$C$29),6)</x:f>
        <x:v>0</x:v>
      </x:c>
      <x:c r="M76" s="58" t="n">
        <x:f>ROUND(M31-M32*(1-'Scenario Inputs'!$C$29),6)</x:f>
        <x:v>0</x:v>
      </x:c>
      <x:c r="N76" s="58" t="n">
        <x:f>ROUND(N31-N32*(1-'Scenario Inputs'!$C$29),6)</x:f>
        <x:v>0</x:v>
      </x:c>
      <x:c r="O76" s="58" t="n">
        <x:f>ROUND(O31-O32*(1-'Scenario Inputs'!$C$29),6)</x:f>
        <x:v>0</x:v>
      </x:c>
      <x:c r="P76" s="58" t="n">
        <x:f>ROUND(P31-P32*(1-'Scenario Inputs'!$C$29),6)</x:f>
        <x:v>0</x:v>
      </x:c>
      <x:c r="Q76" s="58" t="n">
        <x:f>ROUND(Q31-Q32*(1-'Scenario Inputs'!$C$29),6)</x:f>
        <x:v>0</x:v>
      </x:c>
      <x:c r="R76" s="58" t="n">
        <x:f>ROUND(R31-R32*(1-'Scenario Inputs'!$C$29),6)</x:f>
        <x:v>0</x:v>
      </x:c>
      <x:c r="S76" s="58" t="n">
        <x:f>ROUND(S31-S32*(1-'Scenario Inputs'!$C$29),6)</x:f>
        <x:v>0</x:v>
      </x:c>
      <x:c r="T76" s="58" t="n">
        <x:f>ROUND(T31-T32*(1-'Scenario Inputs'!$C$29),6)</x:f>
        <x:v>0</x:v>
      </x:c>
      <x:c r="U76" s="58" t="n">
        <x:f>ROUND(U31-U32*(1-'Scenario Inputs'!$C$29),6)</x:f>
        <x:v>0</x:v>
      </x:c>
      <x:c r="V76" s="58" t="n">
        <x:f>ROUND(V31-V32*(1-'Scenario Inputs'!$C$29),6)</x:f>
        <x:v>0</x:v>
      </x:c>
      <x:c r="W76" s="58" t="n">
        <x:f>ROUND(W31-W32*(1-'Scenario Inputs'!$C$29),6)</x:f>
        <x:v>0</x:v>
      </x:c>
      <x:c r="X76" s="58" t="n">
        <x:f>ROUND(X31-X32*(1-'Scenario Inputs'!$C$29),6)</x:f>
        <x:v>0</x:v>
      </x:c>
      <x:c r="Y76" s="58" t="n">
        <x:f>ROUND(Y31-Y32*(1-'Scenario Inputs'!$C$29),6)</x:f>
        <x:v>0</x:v>
      </x:c>
      <x:c r="Z76" s="58" t="n">
        <x:f>ROUND(Z31-Z32*(1-'Scenario Inputs'!$C$29),6)</x:f>
        <x:v>0</x:v>
      </x:c>
      <x:c r="AA76" s="58" t="n">
        <x:f>ROUND(AA31-AA32*(1-'Scenario Inputs'!$C$29),6)</x:f>
        <x:v>0</x:v>
      </x:c>
      <x:c r="AB76" s="58" t="n">
        <x:f>ROUND(AB31-AB32*(1-'Scenario Inputs'!$C$29),6)</x:f>
        <x:v>0</x:v>
      </x:c>
      <x:c r="AC76" s="58" t="n">
        <x:f>ROUND(AC31-AC32*(1-'Scenario Inputs'!$C$29),6)</x:f>
        <x:v>0</x:v>
      </x:c>
      <x:c r="AD76" s="58" t="n">
        <x:f>ROUND(AD31-AD32*(1-'Scenario Inputs'!$C$29),6)</x:f>
        <x:v>0</x:v>
      </x:c>
      <x:c r="AE76" s="58" t="n">
        <x:f>ROUND(AE31-AE32*(1-'Scenario Inputs'!$C$29),6)</x:f>
        <x:v>0</x:v>
      </x:c>
      <x:c r="AF76" s="58" t="n">
        <x:f>ROUND(AF31-AF32*(1-'Scenario Inputs'!$C$29),6)</x:f>
        <x:v>0</x:v>
      </x:c>
      <x:c r="AG76" s="58" t="n">
        <x:f>ROUND(AG31-AG32*(1-'Scenario Inputs'!$C$29),6)</x:f>
        <x:v>0</x:v>
      </x:c>
      <x:c r="AH76" s="58" t="n">
        <x:f>ROUND(AH31-AH32*(1-'Scenario Inputs'!$C$29),6)</x:f>
        <x:v>0</x:v>
      </x:c>
      <x:c r="AI76" s="58" t="n">
        <x:f>ROUND(AI31-AI32*(1-'Scenario Inputs'!$C$29),6)</x:f>
        <x:v>0</x:v>
      </x:c>
      <x:c r="AJ76" s="58" t="n">
        <x:f>ROUND(AJ31-AJ32*(1-'Scenario Inputs'!$C$29),6)</x:f>
        <x:v>0</x:v>
      </x:c>
      <x:c r="AK76" s="58" t="n">
        <x:f>ROUND(AK31-AK32*(1-'Scenario Inputs'!$C$29),6)</x:f>
        <x:v>0</x:v>
      </x:c>
    </x:row>
    <x:row r="77" ht="18"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row>
    <x:row r="78" ht="18"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row>
    <x:row r="79" ht="18"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row>
    <x:row r="80" ht="18"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row>
    <x:row r="81" ht="18"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row>
    <x:row r="82" ht="18"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row>
    <x:row r="83" ht="18"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row>
    <x:row r="84" ht="18" customHeight="1">
      <x:c r="A84" s="4" t="str">
        <x:v>Blended annual price, ex-tax (INR)</x:v>
      </x:c>
      <x:c r="B84" s="56" t="n">
        <x:f>'Scenario Inputs'!$C$28*'Commercial Inputs'!$B$6/(1+'Commercial Inputs'!$B$10)+(1-'Scenario Inputs'!$C$28)*('Commercial Inputs'!$B$8*'Commercial Inputs'!$B$5)/(1+'Commercial Inputs'!$B$11)</x:f>
        <x:v>2837.087118644068</x:v>
      </x:c>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row>
    <x:row r="85" ht="18" customHeight="1">
      <x:c r="A85" s="4" t="str">
        <x:v>Blended monthly price, ex-tax (INR)</x:v>
      </x:c>
      <x:c r="B85" s="56" t="n">
        <x:f>'Scenario Inputs'!$C$28*'Commercial Inputs'!$B$7/(1+'Commercial Inputs'!$B$10)+(1-'Scenario Inputs'!$C$28)*('Commercial Inputs'!$B$9*'Commercial Inputs'!$B$5)/(1+'Commercial Inputs'!$B$11)</x:f>
        <x:v>407.86677966101695</x:v>
      </x:c>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row>
    <x:row r="86" ht="18" customHeight="1">
      <x:c r="A86" s="4" t="str">
        <x:v>Fee per annual charge (INR)</x:v>
      </x:c>
      <x:c r="B86" s="56" t="n">
        <x:f>'Scenario Inputs'!$C$28*('Commercial Inputs'!$B$12*'Commercial Inputs'!$B$6*'Commercial Inputs'!$B$14+(1-'Commercial Inputs'!$B$12)*'Commercial Inputs'!$B$6/(1+'Commercial Inputs'!$B$10)*'Commercial Inputs'!$B$13)+(1-'Scenario Inputs'!$C$28)*('Commercial Inputs'!$B$12*(('Commercial Inputs'!$B$8*'Commercial Inputs'!$B$5)*'Commercial Inputs'!$B$15+'Commercial Inputs'!$B$16*'Commercial Inputs'!$B$5)+(1-'Commercial Inputs'!$B$12)*('Commercial Inputs'!$B$8*'Commercial Inputs'!$B$5)/(1+'Commercial Inputs'!$B$11)*'Commercial Inputs'!$B$13)</x:f>
        <x:v>289.70331389830505</x:v>
      </x:c>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row>
    <x:row r="87" ht="18" customHeight="1">
      <x:c r="A87" s="4" t="str">
        <x:v>Fee per monthly charge (INR)</x:v>
      </x:c>
      <x:c r="B87" s="56" t="n">
        <x:f>'Scenario Inputs'!$C$28*('Commercial Inputs'!$B$12*'Commercial Inputs'!$B$7*'Commercial Inputs'!$B$14+(1-'Commercial Inputs'!$B$12)*'Commercial Inputs'!$B$7/(1+'Commercial Inputs'!$B$10)*'Commercial Inputs'!$B$13)+(1-'Scenario Inputs'!$C$28)*('Commercial Inputs'!$B$12*(('Commercial Inputs'!$B$9*'Commercial Inputs'!$B$5)*'Commercial Inputs'!$B$15+'Commercial Inputs'!$B$16*'Commercial Inputs'!$B$5)+(1-'Commercial Inputs'!$B$12)*('Commercial Inputs'!$B$9*'Commercial Inputs'!$B$5)/(1+'Commercial Inputs'!$B$11)*'Commercial Inputs'!$B$13)</x:f>
        <x:v>53.35178847457627</x:v>
      </x:c>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row>
    <x:row r="88" ht="18" customHeight="1">
      <x:c r="A88" s="4" t="str">
        <x:v>Billing reserve per annual charge (INR)</x:v>
      </x:c>
      <x:c r="B88" s="56" t="n">
        <x:f>('Scenario Inputs'!$C$28*'Commercial Inputs'!$B$6+(1-'Scenario Inputs'!$C$28)*('Commercial Inputs'!$B$8*'Commercial Inputs'!$B$5))*'Commercial Inputs'!$B$17</x:f>
        <x:v>29.5906</x:v>
      </x:c>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row>
    <x:row r="89" ht="18" customHeight="1">
      <x:c r="A89" s="4" t="str">
        <x:v>Billing reserve per monthly charge (INR)</x:v>
      </x:c>
      <x:c r="B89" s="56" t="n">
        <x:f>('Scenario Inputs'!$C$28*'Commercial Inputs'!$B$7+(1-'Scenario Inputs'!$C$28)*('Commercial Inputs'!$B$9*'Commercial Inputs'!$B$5))*'Commercial Inputs'!$B$17</x:f>
        <x:v>4.2306</x:v>
      </x:c>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row>
    <x:row r="90" ht="18" customHeight="1">
      <x:c r="A90" s="4" t="str">
        <x:v>Budgeted AI cost per job (INR)</x:v>
      </x:c>
      <x:c r="B90" s="56" t="n">
        <x:f>('Commercial Inputs'!$B$20*'Commercial Inputs'!$B$18+'Commercial Inputs'!$B$21*'Commercial Inputs'!$B$19)/'Commercial Inputs'!$B$47*'Commercial Inputs'!$B$22*'Commercial Inputs'!$B$5*(1+'Commercial Inputs'!$B$23)</x:f>
        <x:v>0.1287</x:v>
      </x:c>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row>
    <x:row r="91" ht="18"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row>
    <x:row r="92" ht="18"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row>
  </x:sheetData>
  <x:mergeCells>
    <x:mergeCell ref="A1:AK1"/>
    <x:mergeCell ref="A2:AK2"/>
  </x:mergeCells>
  <x:conditionalFormatting sqref="B67:AK67">
    <x:cfRule type="cellIs" dxfId="3" priority="1" operator="notEqual">
      <x:formula>0</x:formula>
    </x:cfRule>
  </x:conditionalFormatting>
  <x:conditionalFormatting sqref="B75:AK75">
    <x:cfRule type="cellIs" dxfId="4" priority="2" operator="notEqual">
      <x:formula>0</x:formula>
    </x:cfRule>
  </x:conditionalFormatting>
  <x:conditionalFormatting sqref="B76:AK76">
    <x:cfRule type="cellIs" dxfId="5" priority="3" operator="notEqual">
      <x:formula>0</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5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s>
  <x:sheetData>
    <x:row r="1" ht="29" customHeight="1">
      <x:c r="A1" s="50" t="str">
        <x:v>STRONG | MONTHLY COHORT MODEL</x:v>
      </x:c>
      <x:c r="B1" s="50"/>
      <x:c r="C1" s="50"/>
      <x:c r="D1" s="50"/>
      <x:c r="E1" s="50"/>
      <x:c r="F1" s="50"/>
      <x:c r="G1" s="50"/>
      <x:c r="H1" s="50"/>
      <x:c r="I1" s="50"/>
      <x:c r="J1" s="50"/>
      <x:c r="K1" s="50"/>
      <x:c r="L1" s="50"/>
      <x:c r="M1" s="50"/>
      <x:c r="N1" s="50"/>
      <x:c r="O1" s="50"/>
      <x:c r="P1" s="50"/>
      <x:c r="Q1" s="50"/>
      <x:c r="R1" s="50"/>
      <x:c r="S1" s="50"/>
      <x:c r="T1" s="50"/>
      <x:c r="U1" s="50"/>
      <x:c r="V1" s="50"/>
      <x:c r="W1" s="50"/>
      <x:c r="X1" s="50"/>
      <x:c r="Y1" s="50"/>
      <x:c r="Z1" s="50"/>
      <x:c r="AA1" s="50"/>
      <x:c r="AB1" s="50"/>
      <x:c r="AC1" s="50"/>
      <x:c r="AD1" s="50"/>
      <x:c r="AE1" s="50"/>
      <x:c r="AF1" s="50"/>
      <x:c r="AG1" s="50"/>
      <x:c r="AH1" s="50"/>
      <x:c r="AI1" s="50"/>
      <x:c r="AJ1" s="50"/>
      <x:c r="AK1" s="50"/>
    </x:row>
    <x:row r="2" ht="24" customHeight="1">
      <x:c r="A2" s="11" t="str">
        <x:v>INR unless stated. Purchases occur at month start; annual revenue is earned over 12 months. No founder salary or income tax in the base case.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row>
    <x:row r="3" ht="18"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row>
    <x:row r="4" ht="18"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row>
    <x:row r="5" ht="30" customHeight="1">
      <x:c r="A5" s="16" t="str">
        <x:v>Month after paid launch</x:v>
      </x:c>
      <x:c r="B5" s="16" t="n">
        <x:v>1</x:v>
      </x:c>
      <x:c r="C5" s="16" t="n">
        <x:v>2</x:v>
      </x:c>
      <x:c r="D5" s="16" t="n">
        <x:v>3</x:v>
      </x:c>
      <x:c r="E5" s="16" t="n">
        <x:v>4</x:v>
      </x:c>
      <x:c r="F5" s="16" t="n">
        <x:v>5</x:v>
      </x:c>
      <x:c r="G5" s="16" t="n">
        <x:v>6</x:v>
      </x:c>
      <x:c r="H5" s="16" t="n">
        <x:v>7</x:v>
      </x:c>
      <x:c r="I5" s="16" t="n">
        <x:v>8</x:v>
      </x:c>
      <x:c r="J5" s="16" t="n">
        <x:v>9</x:v>
      </x:c>
      <x:c r="K5" s="16" t="n">
        <x:v>10</x:v>
      </x:c>
      <x:c r="L5" s="16" t="n">
        <x:v>11</x:v>
      </x:c>
      <x:c r="M5" s="16" t="n">
        <x:v>12</x:v>
      </x:c>
      <x:c r="N5" s="16" t="n">
        <x:v>13</x:v>
      </x:c>
      <x:c r="O5" s="16" t="n">
        <x:v>14</x:v>
      </x:c>
      <x:c r="P5" s="16" t="n">
        <x:v>15</x:v>
      </x:c>
      <x:c r="Q5" s="16" t="n">
        <x:v>16</x:v>
      </x:c>
      <x:c r="R5" s="16" t="n">
        <x:v>17</x:v>
      </x:c>
      <x:c r="S5" s="16" t="n">
        <x:v>18</x:v>
      </x:c>
      <x:c r="T5" s="16" t="n">
        <x:v>19</x:v>
      </x:c>
      <x:c r="U5" s="16" t="n">
        <x:v>20</x:v>
      </x:c>
      <x:c r="V5" s="16" t="n">
        <x:v>21</x:v>
      </x:c>
      <x:c r="W5" s="16" t="n">
        <x:v>22</x:v>
      </x:c>
      <x:c r="X5" s="16" t="n">
        <x:v>23</x:v>
      </x:c>
      <x:c r="Y5" s="16" t="n">
        <x:v>24</x:v>
      </x:c>
      <x:c r="Z5" s="16" t="n">
        <x:v>25</x:v>
      </x:c>
      <x:c r="AA5" s="16" t="n">
        <x:v>26</x:v>
      </x:c>
      <x:c r="AB5" s="16" t="n">
        <x:v>27</x:v>
      </x:c>
      <x:c r="AC5" s="16" t="n">
        <x:v>28</x:v>
      </x:c>
      <x:c r="AD5" s="16" t="n">
        <x:v>29</x:v>
      </x:c>
      <x:c r="AE5" s="16" t="n">
        <x:v>30</x:v>
      </x:c>
      <x:c r="AF5" s="16" t="n">
        <x:v>31</x:v>
      </x:c>
      <x:c r="AG5" s="16" t="n">
        <x:v>32</x:v>
      </x:c>
      <x:c r="AH5" s="16" t="n">
        <x:v>33</x:v>
      </x:c>
      <x:c r="AI5" s="16" t="n">
        <x:v>34</x:v>
      </x:c>
      <x:c r="AJ5" s="16" t="n">
        <x:v>35</x:v>
      </x:c>
      <x:c r="AK5" s="16" t="n">
        <x:v>36</x:v>
      </x:c>
    </x:row>
    <x:row r="6" ht="18" customHeight="1">
      <x:c r="A6" s="4" t="str">
        <x:v>Qualified organic prospects</x:v>
      </x:c>
      <x:c r="B6" s="58" t="n">
        <x:f>'Scenario Inputs'!$D$5</x:f>
        <x:v>1500</x:v>
      </x:c>
      <x:c r="C6" s="58" t="n">
        <x:f>B6*(1+'Scenario Inputs'!$D$6)</x:f>
        <x:v>1724.9999999999998</x:v>
      </x:c>
      <x:c r="D6" s="58" t="n">
        <x:f>C6*(1+'Scenario Inputs'!$D$6)</x:f>
        <x:v>1983.7499999999995</x:v>
      </x:c>
      <x:c r="E6" s="58" t="n">
        <x:f>D6*(1+'Scenario Inputs'!$D$6)</x:f>
        <x:v>2281.312499999999</x:v>
      </x:c>
      <x:c r="F6" s="58" t="n">
        <x:f>E6*(1+'Scenario Inputs'!$D$6)</x:f>
        <x:v>2623.5093749999987</x:v>
      </x:c>
      <x:c r="G6" s="58" t="n">
        <x:f>F6*(1+'Scenario Inputs'!$D$6)</x:f>
        <x:v>3017.0357812499983</x:v>
      </x:c>
      <x:c r="H6" s="58" t="n">
        <x:f>G6*(1+'Scenario Inputs'!$D$6)</x:f>
        <x:v>3469.591148437498</x:v>
      </x:c>
      <x:c r="I6" s="58" t="n">
        <x:f>H6*(1+'Scenario Inputs'!$D$6)</x:f>
        <x:v>3990.0298207031224</x:v>
      </x:c>
      <x:c r="J6" s="58" t="n">
        <x:f>I6*(1+'Scenario Inputs'!$D$6)</x:f>
        <x:v>4588.5342938085905</x:v>
      </x:c>
      <x:c r="K6" s="58" t="n">
        <x:f>J6*(1+'Scenario Inputs'!$D$6)</x:f>
        <x:v>5276.814437879879</x:v>
      </x:c>
      <x:c r="L6" s="58" t="n">
        <x:f>K6*(1+'Scenario Inputs'!$D$6)</x:f>
        <x:v>6068.33660356186</x:v>
      </x:c>
      <x:c r="M6" s="58" t="n">
        <x:f>L6*(1+'Scenario Inputs'!$D$6)</x:f>
        <x:v>6978.587094096139</x:v>
      </x:c>
      <x:c r="N6" s="58" t="n">
        <x:f>M6*(1+'Scenario Inputs'!$D$7)</x:f>
        <x:v>7816.017545387676</x:v>
      </x:c>
      <x:c r="O6" s="58" t="n">
        <x:f>N6*(1+'Scenario Inputs'!$D$7)</x:f>
        <x:v>8753.939650834198</x:v>
      </x:c>
      <x:c r="P6" s="58" t="n">
        <x:f>O6*(1+'Scenario Inputs'!$D$7)</x:f>
        <x:v>9804.412408934302</x:v>
      </x:c>
      <x:c r="Q6" s="58" t="n">
        <x:f>P6*(1+'Scenario Inputs'!$D$7)</x:f>
        <x:v>10980.94189800642</x:v>
      </x:c>
      <x:c r="R6" s="58" t="n">
        <x:f>Q6*(1+'Scenario Inputs'!$D$7)</x:f>
        <x:v>12298.654925767192</x:v>
      </x:c>
      <x:c r="S6" s="58" t="n">
        <x:f>R6*(1+'Scenario Inputs'!$D$7)</x:f>
        <x:v>13774.493516859256</x:v>
      </x:c>
      <x:c r="T6" s="58" t="n">
        <x:f>S6*(1+'Scenario Inputs'!$D$7)</x:f>
        <x:v>15427.43273888237</x:v>
      </x:c>
      <x:c r="U6" s="58" t="n">
        <x:f>T6*(1+'Scenario Inputs'!$D$7)</x:f>
        <x:v>17278.724667548257</x:v>
      </x:c>
      <x:c r="V6" s="58" t="n">
        <x:f>U6*(1+'Scenario Inputs'!$D$7)</x:f>
        <x:v>19352.17162765405</x:v>
      </x:c>
      <x:c r="W6" s="58" t="n">
        <x:f>V6*(1+'Scenario Inputs'!$D$7)</x:f>
        <x:v>21674.432222972537</x:v>
      </x:c>
      <x:c r="X6" s="58" t="n">
        <x:f>W6*(1+'Scenario Inputs'!$D$7)</x:f>
        <x:v>24275.364089729243</x:v>
      </x:c>
      <x:c r="Y6" s="58" t="n">
        <x:f>X6*(1+'Scenario Inputs'!$D$7)</x:f>
        <x:v>27188.407780496753</x:v>
      </x:c>
      <x:c r="Z6" s="58" t="n">
        <x:f>Y6*(1+'Scenario Inputs'!$D$8)</x:f>
        <x:v>29363.480402936493</x:v>
      </x:c>
      <x:c r="AA6" s="58" t="n">
        <x:f>Z6*(1+'Scenario Inputs'!$D$8)</x:f>
        <x:v>31712.558835171414</x:v>
      </x:c>
      <x:c r="AB6" s="58" t="n">
        <x:f>AA6*(1+'Scenario Inputs'!$D$8)</x:f>
        <x:v>34249.56354198513</x:v>
      </x:c>
      <x:c r="AC6" s="58" t="n">
        <x:f>AB6*(1+'Scenario Inputs'!$D$8)</x:f>
        <x:v>36989.52862534394</x:v>
      </x:c>
      <x:c r="AD6" s="58" t="n">
        <x:f>AC6*(1+'Scenario Inputs'!$D$8)</x:f>
        <x:v>39948.69091537146</x:v>
      </x:c>
      <x:c r="AE6" s="58" t="n">
        <x:f>AD6*(1+'Scenario Inputs'!$D$8)</x:f>
        <x:v>43144.58618860118</x:v>
      </x:c>
      <x:c r="AF6" s="58" t="n">
        <x:f>AE6*(1+'Scenario Inputs'!$D$8)</x:f>
        <x:v>46596.15308368928</x:v>
      </x:c>
      <x:c r="AG6" s="58" t="n">
        <x:f>AF6*(1+'Scenario Inputs'!$D$8)</x:f>
        <x:v>50323.84533038442</x:v>
      </x:c>
      <x:c r="AH6" s="58" t="n">
        <x:f>AG6*(1+'Scenario Inputs'!$D$8)</x:f>
        <x:v>54349.75295681518</x:v>
      </x:c>
      <x:c r="AI6" s="58" t="n">
        <x:f>AH6*(1+'Scenario Inputs'!$D$8)</x:f>
        <x:v>58697.7331933604</x:v>
      </x:c>
      <x:c r="AJ6" s="58" t="n">
        <x:f>AI6*(1+'Scenario Inputs'!$D$8)</x:f>
        <x:v>63393.55184882924</x:v>
      </x:c>
      <x:c r="AK6" s="58" t="n">
        <x:f>AJ6*(1+'Scenario Inputs'!$D$8)</x:f>
        <x:v>68465.03599673558</x:v>
      </x:c>
    </x:row>
    <x:row r="7" ht="18" customHeight="1">
      <x:c r="A7" s="4" t="str">
        <x:v>Paid media spend (INR)</x:v>
      </x:c>
      <x:c r="B7" s="60" t="n">
        <x:f>'Scenario Inputs'!$D$14</x:f>
        <x:v>10000</x:v>
      </x:c>
      <x:c r="C7" s="60" t="n">
        <x:f>'Scenario Inputs'!$D$14</x:f>
        <x:v>10000</x:v>
      </x:c>
      <x:c r="D7" s="60" t="n">
        <x:f>'Scenario Inputs'!$D$14</x:f>
        <x:v>10000</x:v>
      </x:c>
      <x:c r="E7" s="60" t="n">
        <x:f>'Scenario Inputs'!$D$15</x:f>
        <x:v>20000</x:v>
      </x:c>
      <x:c r="F7" s="60" t="n">
        <x:f>'Scenario Inputs'!$D$15</x:f>
        <x:v>20000</x:v>
      </x:c>
      <x:c r="G7" s="60" t="n">
        <x:f>'Scenario Inputs'!$D$15</x:f>
        <x:v>20000</x:v>
      </x:c>
      <x:c r="H7" s="60" t="n">
        <x:f>'Scenario Inputs'!$D$16</x:f>
        <x:v>50000</x:v>
      </x:c>
      <x:c r="I7" s="60" t="n">
        <x:f>'Scenario Inputs'!$D$16</x:f>
        <x:v>50000</x:v>
      </x:c>
      <x:c r="J7" s="60" t="n">
        <x:f>'Scenario Inputs'!$D$16</x:f>
        <x:v>50000</x:v>
      </x:c>
      <x:c r="K7" s="60" t="n">
        <x:f>'Scenario Inputs'!$D$16</x:f>
        <x:v>50000</x:v>
      </x:c>
      <x:c r="L7" s="60" t="n">
        <x:f>'Scenario Inputs'!$D$16</x:f>
        <x:v>50000</x:v>
      </x:c>
      <x:c r="M7" s="60" t="n">
        <x:f>'Scenario Inputs'!$D$16</x:f>
        <x:v>50000</x:v>
      </x:c>
      <x:c r="N7" s="60" t="n">
        <x:f>'Scenario Inputs'!$D$17</x:f>
        <x:v>100000</x:v>
      </x:c>
      <x:c r="O7" s="60" t="n">
        <x:f>'Scenario Inputs'!$D$17</x:f>
        <x:v>100000</x:v>
      </x:c>
      <x:c r="P7" s="60" t="n">
        <x:f>'Scenario Inputs'!$D$17</x:f>
        <x:v>100000</x:v>
      </x:c>
      <x:c r="Q7" s="60" t="n">
        <x:f>'Scenario Inputs'!$D$17</x:f>
        <x:v>100000</x:v>
      </x:c>
      <x:c r="R7" s="60" t="n">
        <x:f>'Scenario Inputs'!$D$17</x:f>
        <x:v>100000</x:v>
      </x:c>
      <x:c r="S7" s="60" t="n">
        <x:f>'Scenario Inputs'!$D$17</x:f>
        <x:v>100000</x:v>
      </x:c>
      <x:c r="T7" s="60" t="n">
        <x:f>'Scenario Inputs'!$D$18</x:f>
        <x:v>150000</x:v>
      </x:c>
      <x:c r="U7" s="60" t="n">
        <x:f>'Scenario Inputs'!$D$18</x:f>
        <x:v>150000</x:v>
      </x:c>
      <x:c r="V7" s="60" t="n">
        <x:f>'Scenario Inputs'!$D$18</x:f>
        <x:v>150000</x:v>
      </x:c>
      <x:c r="W7" s="60" t="n">
        <x:f>'Scenario Inputs'!$D$18</x:f>
        <x:v>150000</x:v>
      </x:c>
      <x:c r="X7" s="60" t="n">
        <x:f>'Scenario Inputs'!$D$18</x:f>
        <x:v>150000</x:v>
      </x:c>
      <x:c r="Y7" s="60" t="n">
        <x:f>'Scenario Inputs'!$D$18</x:f>
        <x:v>150000</x:v>
      </x:c>
      <x:c r="Z7" s="60" t="n">
        <x:f>'Scenario Inputs'!$D$19</x:f>
        <x:v>250000</x:v>
      </x:c>
      <x:c r="AA7" s="60" t="n">
        <x:f>'Scenario Inputs'!$D$19</x:f>
        <x:v>250000</x:v>
      </x:c>
      <x:c r="AB7" s="60" t="n">
        <x:f>'Scenario Inputs'!$D$19</x:f>
        <x:v>250000</x:v>
      </x:c>
      <x:c r="AC7" s="60" t="n">
        <x:f>'Scenario Inputs'!$D$19</x:f>
        <x:v>250000</x:v>
      </x:c>
      <x:c r="AD7" s="60" t="n">
        <x:f>'Scenario Inputs'!$D$19</x:f>
        <x:v>250000</x:v>
      </x:c>
      <x:c r="AE7" s="60" t="n">
        <x:f>'Scenario Inputs'!$D$19</x:f>
        <x:v>250000</x:v>
      </x:c>
      <x:c r="AF7" s="60" t="n">
        <x:f>'Scenario Inputs'!$D$20</x:f>
        <x:v>400000</x:v>
      </x:c>
      <x:c r="AG7" s="60" t="n">
        <x:f>'Scenario Inputs'!$D$20</x:f>
        <x:v>400000</x:v>
      </x:c>
      <x:c r="AH7" s="60" t="n">
        <x:f>'Scenario Inputs'!$D$20</x:f>
        <x:v>400000</x:v>
      </x:c>
      <x:c r="AI7" s="60" t="n">
        <x:f>'Scenario Inputs'!$D$20</x:f>
        <x:v>400000</x:v>
      </x:c>
      <x:c r="AJ7" s="60" t="n">
        <x:f>'Scenario Inputs'!$D$20</x:f>
        <x:v>400000</x:v>
      </x:c>
      <x:c r="AK7" s="60" t="n">
        <x:f>'Scenario Inputs'!$D$20</x:f>
        <x:v>400000</x:v>
      </x:c>
    </x:row>
    <x:row r="8" ht="18" customHeight="1">
      <x:c r="A8" s="4" t="str">
        <x:v>Paid CPC (INR)</x:v>
      </x:c>
      <x:c r="B8" s="64" t="n">
        <x:f>'Scenario Inputs'!$D$10*(1+'Scenario Inputs'!$D$11)^0</x:f>
        <x:v>18</x:v>
      </x:c>
      <x:c r="C8" s="64" t="n">
        <x:f>'Scenario Inputs'!$D$10*(1+'Scenario Inputs'!$D$11)^0</x:f>
        <x:v>18</x:v>
      </x:c>
      <x:c r="D8" s="64" t="n">
        <x:f>'Scenario Inputs'!$D$10*(1+'Scenario Inputs'!$D$11)^0</x:f>
        <x:v>18</x:v>
      </x:c>
      <x:c r="E8" s="64" t="n">
        <x:f>'Scenario Inputs'!$D$10*(1+'Scenario Inputs'!$D$11)^0</x:f>
        <x:v>18</x:v>
      </x:c>
      <x:c r="F8" s="64" t="n">
        <x:f>'Scenario Inputs'!$D$10*(1+'Scenario Inputs'!$D$11)^0</x:f>
        <x:v>18</x:v>
      </x:c>
      <x:c r="G8" s="64" t="n">
        <x:f>'Scenario Inputs'!$D$10*(1+'Scenario Inputs'!$D$11)^0</x:f>
        <x:v>18</x:v>
      </x:c>
      <x:c r="H8" s="64" t="n">
        <x:f>'Scenario Inputs'!$D$10*(1+'Scenario Inputs'!$D$11)^0</x:f>
        <x:v>18</x:v>
      </x:c>
      <x:c r="I8" s="64" t="n">
        <x:f>'Scenario Inputs'!$D$10*(1+'Scenario Inputs'!$D$11)^0</x:f>
        <x:v>18</x:v>
      </x:c>
      <x:c r="J8" s="64" t="n">
        <x:f>'Scenario Inputs'!$D$10*(1+'Scenario Inputs'!$D$11)^0</x:f>
        <x:v>18</x:v>
      </x:c>
      <x:c r="K8" s="64" t="n">
        <x:f>'Scenario Inputs'!$D$10*(1+'Scenario Inputs'!$D$11)^0</x:f>
        <x:v>18</x:v>
      </x:c>
      <x:c r="L8" s="64" t="n">
        <x:f>'Scenario Inputs'!$D$10*(1+'Scenario Inputs'!$D$11)^0</x:f>
        <x:v>18</x:v>
      </x:c>
      <x:c r="M8" s="64" t="n">
        <x:f>'Scenario Inputs'!$D$10*(1+'Scenario Inputs'!$D$11)^0</x:f>
        <x:v>18</x:v>
      </x:c>
      <x:c r="N8" s="64" t="n">
        <x:f>'Scenario Inputs'!$D$10*(1+'Scenario Inputs'!$D$11)^1</x:f>
        <x:v>19.8</x:v>
      </x:c>
      <x:c r="O8" s="64" t="n">
        <x:f>'Scenario Inputs'!$D$10*(1+'Scenario Inputs'!$D$11)^1</x:f>
        <x:v>19.8</x:v>
      </x:c>
      <x:c r="P8" s="64" t="n">
        <x:f>'Scenario Inputs'!$D$10*(1+'Scenario Inputs'!$D$11)^1</x:f>
        <x:v>19.8</x:v>
      </x:c>
      <x:c r="Q8" s="64" t="n">
        <x:f>'Scenario Inputs'!$D$10*(1+'Scenario Inputs'!$D$11)^1</x:f>
        <x:v>19.8</x:v>
      </x:c>
      <x:c r="R8" s="64" t="n">
        <x:f>'Scenario Inputs'!$D$10*(1+'Scenario Inputs'!$D$11)^1</x:f>
        <x:v>19.8</x:v>
      </x:c>
      <x:c r="S8" s="64" t="n">
        <x:f>'Scenario Inputs'!$D$10*(1+'Scenario Inputs'!$D$11)^1</x:f>
        <x:v>19.8</x:v>
      </x:c>
      <x:c r="T8" s="64" t="n">
        <x:f>'Scenario Inputs'!$D$10*(1+'Scenario Inputs'!$D$11)^1</x:f>
        <x:v>19.8</x:v>
      </x:c>
      <x:c r="U8" s="64" t="n">
        <x:f>'Scenario Inputs'!$D$10*(1+'Scenario Inputs'!$D$11)^1</x:f>
        <x:v>19.8</x:v>
      </x:c>
      <x:c r="V8" s="64" t="n">
        <x:f>'Scenario Inputs'!$D$10*(1+'Scenario Inputs'!$D$11)^1</x:f>
        <x:v>19.8</x:v>
      </x:c>
      <x:c r="W8" s="64" t="n">
        <x:f>'Scenario Inputs'!$D$10*(1+'Scenario Inputs'!$D$11)^1</x:f>
        <x:v>19.8</x:v>
      </x:c>
      <x:c r="X8" s="64" t="n">
        <x:f>'Scenario Inputs'!$D$10*(1+'Scenario Inputs'!$D$11)^1</x:f>
        <x:v>19.8</x:v>
      </x:c>
      <x:c r="Y8" s="64" t="n">
        <x:f>'Scenario Inputs'!$D$10*(1+'Scenario Inputs'!$D$11)^1</x:f>
        <x:v>19.8</x:v>
      </x:c>
      <x:c r="Z8" s="64" t="n">
        <x:f>'Scenario Inputs'!$D$10*(1+'Scenario Inputs'!$D$11)^2</x:f>
        <x:v>21.780000000000005</x:v>
      </x:c>
      <x:c r="AA8" s="64" t="n">
        <x:f>'Scenario Inputs'!$D$10*(1+'Scenario Inputs'!$D$11)^2</x:f>
        <x:v>21.780000000000005</x:v>
      </x:c>
      <x:c r="AB8" s="64" t="n">
        <x:f>'Scenario Inputs'!$D$10*(1+'Scenario Inputs'!$D$11)^2</x:f>
        <x:v>21.780000000000005</x:v>
      </x:c>
      <x:c r="AC8" s="64" t="n">
        <x:f>'Scenario Inputs'!$D$10*(1+'Scenario Inputs'!$D$11)^2</x:f>
        <x:v>21.780000000000005</x:v>
      </x:c>
      <x:c r="AD8" s="64" t="n">
        <x:f>'Scenario Inputs'!$D$10*(1+'Scenario Inputs'!$D$11)^2</x:f>
        <x:v>21.780000000000005</x:v>
      </x:c>
      <x:c r="AE8" s="64" t="n">
        <x:f>'Scenario Inputs'!$D$10*(1+'Scenario Inputs'!$D$11)^2</x:f>
        <x:v>21.780000000000005</x:v>
      </x:c>
      <x:c r="AF8" s="64" t="n">
        <x:f>'Scenario Inputs'!$D$10*(1+'Scenario Inputs'!$D$11)^2</x:f>
        <x:v>21.780000000000005</x:v>
      </x:c>
      <x:c r="AG8" s="64" t="n">
        <x:f>'Scenario Inputs'!$D$10*(1+'Scenario Inputs'!$D$11)^2</x:f>
        <x:v>21.780000000000005</x:v>
      </x:c>
      <x:c r="AH8" s="64" t="n">
        <x:f>'Scenario Inputs'!$D$10*(1+'Scenario Inputs'!$D$11)^2</x:f>
        <x:v>21.780000000000005</x:v>
      </x:c>
      <x:c r="AI8" s="64" t="n">
        <x:f>'Scenario Inputs'!$D$10*(1+'Scenario Inputs'!$D$11)^2</x:f>
        <x:v>21.780000000000005</x:v>
      </x:c>
      <x:c r="AJ8" s="64" t="n">
        <x:f>'Scenario Inputs'!$D$10*(1+'Scenario Inputs'!$D$11)^2</x:f>
        <x:v>21.780000000000005</x:v>
      </x:c>
      <x:c r="AK8" s="64" t="n">
        <x:f>'Scenario Inputs'!$D$10*(1+'Scenario Inputs'!$D$11)^2</x:f>
        <x:v>21.780000000000005</x:v>
      </x:c>
    </x:row>
    <x:row r="9" ht="18" customHeight="1">
      <x:c r="A9" s="4" t="str">
        <x:v>Paid clicks / prospect equivalents</x:v>
      </x:c>
      <x:c r="B9" s="58" t="n">
        <x:f>B7/B8</x:f>
        <x:v>555.5555555555555</x:v>
      </x:c>
      <x:c r="C9" s="58" t="n">
        <x:f>C7/C8</x:f>
        <x:v>555.5555555555555</x:v>
      </x:c>
      <x:c r="D9" s="58" t="n">
        <x:f>D7/D8</x:f>
        <x:v>555.5555555555555</x:v>
      </x:c>
      <x:c r="E9" s="58" t="n">
        <x:f>E7/E8</x:f>
        <x:v>1111.111111111111</x:v>
      </x:c>
      <x:c r="F9" s="58" t="n">
        <x:f>F7/F8</x:f>
        <x:v>1111.111111111111</x:v>
      </x:c>
      <x:c r="G9" s="58" t="n">
        <x:f>G7/G8</x:f>
        <x:v>1111.111111111111</x:v>
      </x:c>
      <x:c r="H9" s="58" t="n">
        <x:f>H7/H8</x:f>
        <x:v>2777.777777777778</x:v>
      </x:c>
      <x:c r="I9" s="58" t="n">
        <x:f>I7/I8</x:f>
        <x:v>2777.777777777778</x:v>
      </x:c>
      <x:c r="J9" s="58" t="n">
        <x:f>J7/J8</x:f>
        <x:v>2777.777777777778</x:v>
      </x:c>
      <x:c r="K9" s="58" t="n">
        <x:f>K7/K8</x:f>
        <x:v>2777.777777777778</x:v>
      </x:c>
      <x:c r="L9" s="58" t="n">
        <x:f>L7/L8</x:f>
        <x:v>2777.777777777778</x:v>
      </x:c>
      <x:c r="M9" s="58" t="n">
        <x:f>M7/M8</x:f>
        <x:v>2777.777777777778</x:v>
      </x:c>
      <x:c r="N9" s="58" t="n">
        <x:f>N7/N8</x:f>
        <x:v>5050.50505050505</x:v>
      </x:c>
      <x:c r="O9" s="58" t="n">
        <x:f>O7/O8</x:f>
        <x:v>5050.50505050505</x:v>
      </x:c>
      <x:c r="P9" s="58" t="n">
        <x:f>P7/P8</x:f>
        <x:v>5050.50505050505</x:v>
      </x:c>
      <x:c r="Q9" s="58" t="n">
        <x:f>Q7/Q8</x:f>
        <x:v>5050.50505050505</x:v>
      </x:c>
      <x:c r="R9" s="58" t="n">
        <x:f>R7/R8</x:f>
        <x:v>5050.50505050505</x:v>
      </x:c>
      <x:c r="S9" s="58" t="n">
        <x:f>S7/S8</x:f>
        <x:v>5050.50505050505</x:v>
      </x:c>
      <x:c r="T9" s="58" t="n">
        <x:f>T7/T8</x:f>
        <x:v>7575.757575757575</x:v>
      </x:c>
      <x:c r="U9" s="58" t="n">
        <x:f>U7/U8</x:f>
        <x:v>7575.757575757575</x:v>
      </x:c>
      <x:c r="V9" s="58" t="n">
        <x:f>V7/V8</x:f>
        <x:v>7575.757575757575</x:v>
      </x:c>
      <x:c r="W9" s="58" t="n">
        <x:f>W7/W8</x:f>
        <x:v>7575.757575757575</x:v>
      </x:c>
      <x:c r="X9" s="58" t="n">
        <x:f>X7/X8</x:f>
        <x:v>7575.757575757575</x:v>
      </x:c>
      <x:c r="Y9" s="58" t="n">
        <x:f>Y7/Y8</x:f>
        <x:v>7575.757575757575</x:v>
      </x:c>
      <x:c r="Z9" s="58" t="n">
        <x:f>Z7/Z8</x:f>
        <x:v>11478.420569329657</x:v>
      </x:c>
      <x:c r="AA9" s="58" t="n">
        <x:f>AA7/AA8</x:f>
        <x:v>11478.420569329657</x:v>
      </x:c>
      <x:c r="AB9" s="58" t="n">
        <x:f>AB7/AB8</x:f>
        <x:v>11478.420569329657</x:v>
      </x:c>
      <x:c r="AC9" s="58" t="n">
        <x:f>AC7/AC8</x:f>
        <x:v>11478.420569329657</x:v>
      </x:c>
      <x:c r="AD9" s="58" t="n">
        <x:f>AD7/AD8</x:f>
        <x:v>11478.420569329657</x:v>
      </x:c>
      <x:c r="AE9" s="58" t="n">
        <x:f>AE7/AE8</x:f>
        <x:v>11478.420569329657</x:v>
      </x:c>
      <x:c r="AF9" s="58" t="n">
        <x:f>AF7/AF8</x:f>
        <x:v>18365.472910927452</x:v>
      </x:c>
      <x:c r="AG9" s="58" t="n">
        <x:f>AG7/AG8</x:f>
        <x:v>18365.472910927452</x:v>
      </x:c>
      <x:c r="AH9" s="58" t="n">
        <x:f>AH7/AH8</x:f>
        <x:v>18365.472910927452</x:v>
      </x:c>
      <x:c r="AI9" s="58" t="n">
        <x:f>AI7/AI8</x:f>
        <x:v>18365.472910927452</x:v>
      </x:c>
      <x:c r="AJ9" s="58" t="n">
        <x:f>AJ7/AJ8</x:f>
        <x:v>18365.472910927452</x:v>
      </x:c>
      <x:c r="AK9" s="58" t="n">
        <x:f>AK7/AK8</x:f>
        <x:v>18365.472910927452</x:v>
      </x:c>
    </x:row>
    <x:row r="10" ht="18" customHeight="1">
      <x:c r="A10" s="4" t="str">
        <x:v>New gross buyers: organic</x:v>
      </x:c>
      <x:c r="B10" s="58" t="n">
        <x:f>B6*'Scenario Inputs'!$D$9</x:f>
        <x:v>30</x:v>
      </x:c>
      <x:c r="C10" s="58" t="n">
        <x:f>C6*'Scenario Inputs'!$D$9</x:f>
        <x:v>34.49999999999999</x:v>
      </x:c>
      <x:c r="D10" s="58" t="n">
        <x:f>D6*'Scenario Inputs'!$D$9</x:f>
        <x:v>39.67499999999999</x:v>
      </x:c>
      <x:c r="E10" s="58" t="n">
        <x:f>E6*'Scenario Inputs'!$D$9</x:f>
        <x:v>45.626249999999985</x:v>
      </x:c>
      <x:c r="F10" s="58" t="n">
        <x:f>F6*'Scenario Inputs'!$D$9</x:f>
        <x:v>52.47018749999997</x:v>
      </x:c>
      <x:c r="G10" s="58" t="n">
        <x:f>G6*'Scenario Inputs'!$D$9</x:f>
        <x:v>60.340715624999966</x:v>
      </x:c>
      <x:c r="H10" s="58" t="n">
        <x:f>H6*'Scenario Inputs'!$D$9</x:f>
        <x:v>69.39182296874996</x:v>
      </x:c>
      <x:c r="I10" s="58" t="n">
        <x:f>I6*'Scenario Inputs'!$D$9</x:f>
        <x:v>79.80059641406245</x:v>
      </x:c>
      <x:c r="J10" s="58" t="n">
        <x:f>J6*'Scenario Inputs'!$D$9</x:f>
        <x:v>91.77068587617181</x:v>
      </x:c>
      <x:c r="K10" s="58" t="n">
        <x:f>K6*'Scenario Inputs'!$D$9</x:f>
        <x:v>105.53628875759757</x:v>
      </x:c>
      <x:c r="L10" s="58" t="n">
        <x:f>L6*'Scenario Inputs'!$D$9</x:f>
        <x:v>121.36673207123721</x:v>
      </x:c>
      <x:c r="M10" s="58" t="n">
        <x:f>M6*'Scenario Inputs'!$D$9</x:f>
        <x:v>139.57174188192278</x:v>
      </x:c>
      <x:c r="N10" s="58" t="n">
        <x:f>N6*'Scenario Inputs'!$D$9</x:f>
        <x:v>156.32035090775352</x:v>
      </x:c>
      <x:c r="O10" s="58" t="n">
        <x:f>O6*'Scenario Inputs'!$D$9</x:f>
        <x:v>175.07879301668396</x:v>
      </x:c>
      <x:c r="P10" s="58" t="n">
        <x:f>P6*'Scenario Inputs'!$D$9</x:f>
        <x:v>196.08824817868606</x:v>
      </x:c>
      <x:c r="Q10" s="58" t="n">
        <x:f>Q6*'Scenario Inputs'!$D$9</x:f>
        <x:v>219.61883796012842</x:v>
      </x:c>
      <x:c r="R10" s="58" t="n">
        <x:f>R6*'Scenario Inputs'!$D$9</x:f>
        <x:v>245.97309851534385</x:v>
      </x:c>
      <x:c r="S10" s="58" t="n">
        <x:f>S6*'Scenario Inputs'!$D$9</x:f>
        <x:v>275.48987033718515</x:v>
      </x:c>
      <x:c r="T10" s="58" t="n">
        <x:f>T6*'Scenario Inputs'!$D$9</x:f>
        <x:v>308.5486547776474</x:v>
      </x:c>
      <x:c r="U10" s="58" t="n">
        <x:f>U6*'Scenario Inputs'!$D$9</x:f>
        <x:v>345.57449335096516</x:v>
      </x:c>
      <x:c r="V10" s="58" t="n">
        <x:f>V6*'Scenario Inputs'!$D$9</x:f>
        <x:v>387.043432553081</x:v>
      </x:c>
      <x:c r="W10" s="58" t="n">
        <x:f>W6*'Scenario Inputs'!$D$9</x:f>
        <x:v>433.48864445945077</x:v>
      </x:c>
      <x:c r="X10" s="58" t="n">
        <x:f>X6*'Scenario Inputs'!$D$9</x:f>
        <x:v>485.50728179458486</x:v>
      </x:c>
      <x:c r="Y10" s="58" t="n">
        <x:f>Y6*'Scenario Inputs'!$D$9</x:f>
        <x:v>543.7681556099351</x:v>
      </x:c>
      <x:c r="Z10" s="58" t="n">
        <x:f>Z6*'Scenario Inputs'!$D$9</x:f>
        <x:v>587.2696080587299</x:v>
      </x:c>
      <x:c r="AA10" s="58" t="n">
        <x:f>AA6*'Scenario Inputs'!$D$9</x:f>
        <x:v>634.2511767034283</x:v>
      </x:c>
      <x:c r="AB10" s="58" t="n">
        <x:f>AB6*'Scenario Inputs'!$D$9</x:f>
        <x:v>684.9912708397027</x:v>
      </x:c>
      <x:c r="AC10" s="58" t="n">
        <x:f>AC6*'Scenario Inputs'!$D$9</x:f>
        <x:v>739.7905725068788</x:v>
      </x:c>
      <x:c r="AD10" s="58" t="n">
        <x:f>AD6*'Scenario Inputs'!$D$9</x:f>
        <x:v>798.9738183074292</x:v>
      </x:c>
      <x:c r="AE10" s="58" t="n">
        <x:f>AE6*'Scenario Inputs'!$D$9</x:f>
        <x:v>862.8917237720235</x:v>
      </x:c>
      <x:c r="AF10" s="58" t="n">
        <x:f>AF6*'Scenario Inputs'!$D$9</x:f>
        <x:v>931.9230616737856</x:v>
      </x:c>
      <x:c r="AG10" s="58" t="n">
        <x:f>AG6*'Scenario Inputs'!$D$9</x:f>
        <x:v>1006.4769066076884</x:v>
      </x:c>
      <x:c r="AH10" s="58" t="n">
        <x:f>AH6*'Scenario Inputs'!$D$9</x:f>
        <x:v>1086.9950591363036</x:v>
      </x:c>
      <x:c r="AI10" s="58" t="n">
        <x:f>AI6*'Scenario Inputs'!$D$9</x:f>
        <x:v>1173.954663867208</x:v>
      </x:c>
      <x:c r="AJ10" s="58" t="n">
        <x:f>AJ6*'Scenario Inputs'!$D$9</x:f>
        <x:v>1267.8710369765847</x:v>
      </x:c>
      <x:c r="AK10" s="58" t="n">
        <x:f>AK6*'Scenario Inputs'!$D$9</x:f>
        <x:v>1369.3007199347117</x:v>
      </x:c>
    </x:row>
    <x:row r="11" ht="18" customHeight="1">
      <x:c r="A11" s="4" t="str">
        <x:v>New gross buyers: paid</x:v>
      </x:c>
      <x:c r="B11" s="58" t="n">
        <x:f>B9*'Scenario Inputs'!$D$12</x:f>
        <x:v>16.666666666666664</x:v>
      </x:c>
      <x:c r="C11" s="58" t="n">
        <x:f>C9*'Scenario Inputs'!$D$12</x:f>
        <x:v>16.666666666666664</x:v>
      </x:c>
      <x:c r="D11" s="58" t="n">
        <x:f>D9*'Scenario Inputs'!$D$12</x:f>
        <x:v>16.666666666666664</x:v>
      </x:c>
      <x:c r="E11" s="58" t="n">
        <x:f>E9*'Scenario Inputs'!$D$12</x:f>
        <x:v>33.33333333333333</x:v>
      </x:c>
      <x:c r="F11" s="58" t="n">
        <x:f>F9*'Scenario Inputs'!$D$12</x:f>
        <x:v>33.33333333333333</x:v>
      </x:c>
      <x:c r="G11" s="58" t="n">
        <x:f>G9*'Scenario Inputs'!$D$12</x:f>
        <x:v>33.33333333333333</x:v>
      </x:c>
      <x:c r="H11" s="58" t="n">
        <x:f>H9*'Scenario Inputs'!$D$12</x:f>
        <x:v>83.33333333333333</x:v>
      </x:c>
      <x:c r="I11" s="58" t="n">
        <x:f>I9*'Scenario Inputs'!$D$12</x:f>
        <x:v>83.33333333333333</x:v>
      </x:c>
      <x:c r="J11" s="58" t="n">
        <x:f>J9*'Scenario Inputs'!$D$12</x:f>
        <x:v>83.33333333333333</x:v>
      </x:c>
      <x:c r="K11" s="58" t="n">
        <x:f>K9*'Scenario Inputs'!$D$12</x:f>
        <x:v>83.33333333333333</x:v>
      </x:c>
      <x:c r="L11" s="58" t="n">
        <x:f>L9*'Scenario Inputs'!$D$12</x:f>
        <x:v>83.33333333333333</x:v>
      </x:c>
      <x:c r="M11" s="58" t="n">
        <x:f>M9*'Scenario Inputs'!$D$12</x:f>
        <x:v>83.33333333333333</x:v>
      </x:c>
      <x:c r="N11" s="58" t="n">
        <x:f>N9*'Scenario Inputs'!$D$12</x:f>
        <x:v>151.5151515151515</x:v>
      </x:c>
      <x:c r="O11" s="58" t="n">
        <x:f>O9*'Scenario Inputs'!$D$12</x:f>
        <x:v>151.5151515151515</x:v>
      </x:c>
      <x:c r="P11" s="58" t="n">
        <x:f>P9*'Scenario Inputs'!$D$12</x:f>
        <x:v>151.5151515151515</x:v>
      </x:c>
      <x:c r="Q11" s="58" t="n">
        <x:f>Q9*'Scenario Inputs'!$D$12</x:f>
        <x:v>151.5151515151515</x:v>
      </x:c>
      <x:c r="R11" s="58" t="n">
        <x:f>R9*'Scenario Inputs'!$D$12</x:f>
        <x:v>151.5151515151515</x:v>
      </x:c>
      <x:c r="S11" s="58" t="n">
        <x:f>S9*'Scenario Inputs'!$D$12</x:f>
        <x:v>151.5151515151515</x:v>
      </x:c>
      <x:c r="T11" s="58" t="n">
        <x:f>T9*'Scenario Inputs'!$D$12</x:f>
        <x:v>227.27272727272725</x:v>
      </x:c>
      <x:c r="U11" s="58" t="n">
        <x:f>U9*'Scenario Inputs'!$D$12</x:f>
        <x:v>227.27272727272725</x:v>
      </x:c>
      <x:c r="V11" s="58" t="n">
        <x:f>V9*'Scenario Inputs'!$D$12</x:f>
        <x:v>227.27272727272725</x:v>
      </x:c>
      <x:c r="W11" s="58" t="n">
        <x:f>W9*'Scenario Inputs'!$D$12</x:f>
        <x:v>227.27272727272725</x:v>
      </x:c>
      <x:c r="X11" s="58" t="n">
        <x:f>X9*'Scenario Inputs'!$D$12</x:f>
        <x:v>227.27272727272725</x:v>
      </x:c>
      <x:c r="Y11" s="58" t="n">
        <x:f>Y9*'Scenario Inputs'!$D$12</x:f>
        <x:v>227.27272727272725</x:v>
      </x:c>
      <x:c r="Z11" s="58" t="n">
        <x:f>Z9*'Scenario Inputs'!$D$12</x:f>
        <x:v>344.3526170798897</x:v>
      </x:c>
      <x:c r="AA11" s="58" t="n">
        <x:f>AA9*'Scenario Inputs'!$D$12</x:f>
        <x:v>344.3526170798897</x:v>
      </x:c>
      <x:c r="AB11" s="58" t="n">
        <x:f>AB9*'Scenario Inputs'!$D$12</x:f>
        <x:v>344.3526170798897</x:v>
      </x:c>
      <x:c r="AC11" s="58" t="n">
        <x:f>AC9*'Scenario Inputs'!$D$12</x:f>
        <x:v>344.3526170798897</x:v>
      </x:c>
      <x:c r="AD11" s="58" t="n">
        <x:f>AD9*'Scenario Inputs'!$D$12</x:f>
        <x:v>344.3526170798897</x:v>
      </x:c>
      <x:c r="AE11" s="58" t="n">
        <x:f>AE9*'Scenario Inputs'!$D$12</x:f>
        <x:v>344.3526170798897</x:v>
      </x:c>
      <x:c r="AF11" s="58" t="n">
        <x:f>AF9*'Scenario Inputs'!$D$12</x:f>
        <x:v>550.9641873278235</x:v>
      </x:c>
      <x:c r="AG11" s="58" t="n">
        <x:f>AG9*'Scenario Inputs'!$D$12</x:f>
        <x:v>550.9641873278235</x:v>
      </x:c>
      <x:c r="AH11" s="58" t="n">
        <x:f>AH9*'Scenario Inputs'!$D$12</x:f>
        <x:v>550.9641873278235</x:v>
      </x:c>
      <x:c r="AI11" s="58" t="n">
        <x:f>AI9*'Scenario Inputs'!$D$12</x:f>
        <x:v>550.9641873278235</x:v>
      </x:c>
      <x:c r="AJ11" s="58" t="n">
        <x:f>AJ9*'Scenario Inputs'!$D$12</x:f>
        <x:v>550.9641873278235</x:v>
      </x:c>
      <x:c r="AK11" s="58" t="n">
        <x:f>AK9*'Scenario Inputs'!$D$12</x:f>
        <x:v>550.9641873278235</x:v>
      </x:c>
    </x:row>
    <x:row r="12" ht="18" customHeight="1">
      <x:c r="A12" s="4" t="str">
        <x:v>Total new gross buyers</x:v>
      </x:c>
      <x:c r="B12" s="58" t="n">
        <x:f>SUM(B10:B11)</x:f>
        <x:v>46.666666666666664</x:v>
      </x:c>
      <x:c r="C12" s="58" t="n">
        <x:f>SUM(C10:C11)</x:f>
        <x:v>51.16666666666666</x:v>
      </x:c>
      <x:c r="D12" s="58" t="n">
        <x:f>SUM(D10:D11)</x:f>
        <x:v>56.341666666666654</x:v>
      </x:c>
      <x:c r="E12" s="58" t="n">
        <x:f>SUM(E10:E11)</x:f>
        <x:v>78.95958333333331</x:v>
      </x:c>
      <x:c r="F12" s="58" t="n">
        <x:f>SUM(F10:F11)</x:f>
        <x:v>85.8035208333333</x:v>
      </x:c>
      <x:c r="G12" s="58" t="n">
        <x:f>SUM(G10:G11)</x:f>
        <x:v>93.67404895833329</x:v>
      </x:c>
      <x:c r="H12" s="58" t="n">
        <x:f>SUM(H10:H11)</x:f>
        <x:v>152.7251563020833</x:v>
      </x:c>
      <x:c r="I12" s="58" t="n">
        <x:f>SUM(I10:I11)</x:f>
        <x:v>163.13392974739577</x:v>
      </x:c>
      <x:c r="J12" s="58" t="n">
        <x:f>SUM(J10:J11)</x:f>
        <x:v>175.10401920950514</x:v>
      </x:c>
      <x:c r="K12" s="58" t="n">
        <x:f>SUM(K10:K11)</x:f>
        <x:v>188.8696220909309</x:v>
      </x:c>
      <x:c r="L12" s="58" t="n">
        <x:f>SUM(L10:L11)</x:f>
        <x:v>204.70006540457052</x:v>
      </x:c>
      <x:c r="M12" s="58" t="n">
        <x:f>SUM(M10:M11)</x:f>
        <x:v>222.9050752152561</x:v>
      </x:c>
      <x:c r="N12" s="58" t="n">
        <x:f>SUM(N10:N11)</x:f>
        <x:v>307.83550242290505</x:v>
      </x:c>
      <x:c r="O12" s="58" t="n">
        <x:f>SUM(O10:O11)</x:f>
        <x:v>326.59394453183546</x:v>
      </x:c>
      <x:c r="P12" s="58" t="n">
        <x:f>SUM(P10:P11)</x:f>
        <x:v>347.60339969383756</x:v>
      </x:c>
      <x:c r="Q12" s="58" t="n">
        <x:f>SUM(Q10:Q11)</x:f>
        <x:v>371.1339894752799</x:v>
      </x:c>
      <x:c r="R12" s="58" t="n">
        <x:f>SUM(R10:R11)</x:f>
        <x:v>397.48825003049535</x:v>
      </x:c>
      <x:c r="S12" s="58" t="n">
        <x:f>SUM(S10:S11)</x:f>
        <x:v>427.00502185233665</x:v>
      </x:c>
      <x:c r="T12" s="58" t="n">
        <x:f>SUM(T10:T11)</x:f>
        <x:v>535.8213820503747</x:v>
      </x:c>
      <x:c r="U12" s="58" t="n">
        <x:f>SUM(U10:U11)</x:f>
        <x:v>572.8472206236925</x:v>
      </x:c>
      <x:c r="V12" s="58" t="n">
        <x:f>SUM(V10:V11)</x:f>
        <x:v>614.3161598258082</x:v>
      </x:c>
      <x:c r="W12" s="58" t="n">
        <x:f>SUM(W10:W11)</x:f>
        <x:v>660.7613717321781</x:v>
      </x:c>
      <x:c r="X12" s="58" t="n">
        <x:f>SUM(X10:X11)</x:f>
        <x:v>712.7800090673121</x:v>
      </x:c>
      <x:c r="Y12" s="58" t="n">
        <x:f>SUM(Y10:Y11)</x:f>
        <x:v>771.0408828826623</x:v>
      </x:c>
      <x:c r="Z12" s="58" t="n">
        <x:f>SUM(Z10:Z11)</x:f>
        <x:v>931.6222251386196</x:v>
      </x:c>
      <x:c r="AA12" s="58" t="n">
        <x:f>SUM(AA10:AA11)</x:f>
        <x:v>978.603793783318</x:v>
      </x:c>
      <x:c r="AB12" s="58" t="n">
        <x:f>SUM(AB10:AB11)</x:f>
        <x:v>1029.3438879195924</x:v>
      </x:c>
      <x:c r="AC12" s="58" t="n">
        <x:f>SUM(AC10:AC11)</x:f>
        <x:v>1084.1431895867686</x:v>
      </x:c>
      <x:c r="AD12" s="58" t="n">
        <x:f>SUM(AD10:AD11)</x:f>
        <x:v>1143.3264353873187</x:v>
      </x:c>
      <x:c r="AE12" s="58" t="n">
        <x:f>SUM(AE10:AE11)</x:f>
        <x:v>1207.2443408519132</x:v>
      </x:c>
      <x:c r="AF12" s="58" t="n">
        <x:f>SUM(AF10:AF11)</x:f>
        <x:v>1482.8872490016092</x:v>
      </x:c>
      <x:c r="AG12" s="58" t="n">
        <x:f>SUM(AG10:AG11)</x:f>
        <x:v>1557.441093935512</x:v>
      </x:c>
      <x:c r="AH12" s="58" t="n">
        <x:f>SUM(AH10:AH11)</x:f>
        <x:v>1637.959246464127</x:v>
      </x:c>
      <x:c r="AI12" s="58" t="n">
        <x:f>SUM(AI10:AI11)</x:f>
        <x:v>1724.9188511950315</x:v>
      </x:c>
      <x:c r="AJ12" s="58" t="n">
        <x:f>SUM(AJ10:AJ11)</x:f>
        <x:v>1818.8352243044083</x:v>
      </x:c>
      <x:c r="AK12" s="58" t="n">
        <x:f>SUM(AK10:AK11)</x:f>
        <x:v>1920.2649072625352</x:v>
      </x:c>
    </x:row>
    <x:row r="13" ht="18" customHeight="1">
      <x:c r="A13" s="4" t="str">
        <x:v>New buyers after refunds</x:v>
      </x:c>
      <x:c r="B13" s="58" t="n">
        <x:f>B12*(1-'Scenario Inputs'!$D$29)</x:f>
        <x:v>45.73333333333333</x:v>
      </x:c>
      <x:c r="C13" s="58" t="n">
        <x:f>C12*(1-'Scenario Inputs'!$D$29)</x:f>
        <x:v>50.143333333333324</x:v>
      </x:c>
      <x:c r="D13" s="58" t="n">
        <x:f>D12*(1-'Scenario Inputs'!$D$29)</x:f>
        <x:v>55.21483333333332</x:v>
      </x:c>
      <x:c r="E13" s="58" t="n">
        <x:f>E12*(1-'Scenario Inputs'!$D$29)</x:f>
        <x:v>77.38039166666664</x:v>
      </x:c>
      <x:c r="F13" s="58" t="n">
        <x:f>F12*(1-'Scenario Inputs'!$D$29)</x:f>
        <x:v>84.08745041666663</x:v>
      </x:c>
      <x:c r="G13" s="58" t="n">
        <x:f>G12*(1-'Scenario Inputs'!$D$29)</x:f>
        <x:v>91.80056797916662</x:v>
      </x:c>
      <x:c r="H13" s="58" t="n">
        <x:f>H12*(1-'Scenario Inputs'!$D$29)</x:f>
        <x:v>149.6706531760416</x:v>
      </x:c>
      <x:c r="I13" s="58" t="n">
        <x:f>I12*(1-'Scenario Inputs'!$D$29)</x:f>
        <x:v>159.87125115244785</x:v>
      </x:c>
      <x:c r="J13" s="58" t="n">
        <x:f>J12*(1-'Scenario Inputs'!$D$29)</x:f>
        <x:v>171.60193882531505</x:v>
      </x:c>
      <x:c r="K13" s="58" t="n">
        <x:f>K12*(1-'Scenario Inputs'!$D$29)</x:f>
        <x:v>185.09222964911228</x:v>
      </x:c>
      <x:c r="L13" s="58" t="n">
        <x:f>L12*(1-'Scenario Inputs'!$D$29)</x:f>
        <x:v>200.60606409647912</x:v>
      </x:c>
      <x:c r="M13" s="58" t="n">
        <x:f>M12*(1-'Scenario Inputs'!$D$29)</x:f>
        <x:v>218.44697371095097</x:v>
      </x:c>
      <x:c r="N13" s="58" t="n">
        <x:f>N12*(1-'Scenario Inputs'!$D$29)</x:f>
        <x:v>301.67879237444697</x:v>
      </x:c>
      <x:c r="O13" s="58" t="n">
        <x:f>O12*(1-'Scenario Inputs'!$D$29)</x:f>
        <x:v>320.0620656411987</x:v>
      </x:c>
      <x:c r="P13" s="58" t="n">
        <x:f>P12*(1-'Scenario Inputs'!$D$29)</x:f>
        <x:v>340.6513316999608</x:v>
      </x:c>
      <x:c r="Q13" s="58" t="n">
        <x:f>Q12*(1-'Scenario Inputs'!$D$29)</x:f>
        <x:v>363.7113096857743</x:v>
      </x:c>
      <x:c r="R13" s="58" t="n">
        <x:f>R12*(1-'Scenario Inputs'!$D$29)</x:f>
        <x:v>389.53848502988546</x:v>
      </x:c>
      <x:c r="S13" s="58" t="n">
        <x:f>S12*(1-'Scenario Inputs'!$D$29)</x:f>
        <x:v>418.4649214152899</x:v>
      </x:c>
      <x:c r="T13" s="58" t="n">
        <x:f>T12*(1-'Scenario Inputs'!$D$29)</x:f>
        <x:v>525.1049544093672</x:v>
      </x:c>
      <x:c r="U13" s="58" t="n">
        <x:f>U12*(1-'Scenario Inputs'!$D$29)</x:f>
        <x:v>561.3902762112186</x:v>
      </x:c>
      <x:c r="V13" s="58" t="n">
        <x:f>V12*(1-'Scenario Inputs'!$D$29)</x:f>
        <x:v>602.029836629292</x:v>
      </x:c>
      <x:c r="W13" s="58" t="n">
        <x:f>W12*(1-'Scenario Inputs'!$D$29)</x:f>
        <x:v>647.5461442975345</x:v>
      </x:c>
      <x:c r="X13" s="58" t="n">
        <x:f>X12*(1-'Scenario Inputs'!$D$29)</x:f>
        <x:v>698.5244088859658</x:v>
      </x:c>
      <x:c r="Y13" s="58" t="n">
        <x:f>Y12*(1-'Scenario Inputs'!$D$29)</x:f>
        <x:v>755.6200652250091</x:v>
      </x:c>
      <x:c r="Z13" s="58" t="n">
        <x:f>Z12*(1-'Scenario Inputs'!$D$29)</x:f>
        <x:v>912.9897806358472</x:v>
      </x:c>
      <x:c r="AA13" s="58" t="n">
        <x:f>AA12*(1-'Scenario Inputs'!$D$29)</x:f>
        <x:v>959.0317179076516</x:v>
      </x:c>
      <x:c r="AB13" s="58" t="n">
        <x:f>AB12*(1-'Scenario Inputs'!$D$29)</x:f>
        <x:v>1008.7570101612005</x:v>
      </x:c>
      <x:c r="AC13" s="58" t="n">
        <x:f>AC12*(1-'Scenario Inputs'!$D$29)</x:f>
        <x:v>1062.4603257950332</x:v>
      </x:c>
      <x:c r="AD13" s="58" t="n">
        <x:f>AD12*(1-'Scenario Inputs'!$D$29)</x:f>
        <x:v>1120.4599066795724</x:v>
      </x:c>
      <x:c r="AE13" s="58" t="n">
        <x:f>AE12*(1-'Scenario Inputs'!$D$29)</x:f>
        <x:v>1183.099454034875</x:v>
      </x:c>
      <x:c r="AF13" s="58" t="n">
        <x:f>AF12*(1-'Scenario Inputs'!$D$29)</x:f>
        <x:v>1453.229504021577</x:v>
      </x:c>
      <x:c r="AG13" s="58" t="n">
        <x:f>AG12*(1-'Scenario Inputs'!$D$29)</x:f>
        <x:v>1526.2922720568017</x:v>
      </x:c>
      <x:c r="AH13" s="58" t="n">
        <x:f>AH12*(1-'Scenario Inputs'!$D$29)</x:f>
        <x:v>1605.2000615348445</x:v>
      </x:c>
      <x:c r="AI13" s="58" t="n">
        <x:f>AI12*(1-'Scenario Inputs'!$D$29)</x:f>
        <x:v>1690.4204741711308</x:v>
      </x:c>
      <x:c r="AJ13" s="58" t="n">
        <x:f>AJ12*(1-'Scenario Inputs'!$D$29)</x:f>
        <x:v>1782.4585198183202</x:v>
      </x:c>
      <x:c r="AK13" s="58" t="n">
        <x:f>AK12*(1-'Scenario Inputs'!$D$29)</x:f>
        <x:v>1881.8596091172844</x:v>
      </x:c>
    </x:row>
    <x:row r="14" ht="18" customHeight="1">
      <x:c r="A14" s="4" t="str">
        <x:v>Paid creative allowance (INR)</x:v>
      </x:c>
      <x:c r="B14" s="58" t="n">
        <x:f>B7*'Scenario Inputs'!$D$13</x:f>
        <x:v>2500</x:v>
      </x:c>
      <x:c r="C14" s="58" t="n">
        <x:f>C7*'Scenario Inputs'!$D$13</x:f>
        <x:v>2500</x:v>
      </x:c>
      <x:c r="D14" s="58" t="n">
        <x:f>D7*'Scenario Inputs'!$D$13</x:f>
        <x:v>2500</x:v>
      </x:c>
      <x:c r="E14" s="58" t="n">
        <x:f>E7*'Scenario Inputs'!$D$13</x:f>
        <x:v>5000</x:v>
      </x:c>
      <x:c r="F14" s="58" t="n">
        <x:f>F7*'Scenario Inputs'!$D$13</x:f>
        <x:v>5000</x:v>
      </x:c>
      <x:c r="G14" s="58" t="n">
        <x:f>G7*'Scenario Inputs'!$D$13</x:f>
        <x:v>5000</x:v>
      </x:c>
      <x:c r="H14" s="58" t="n">
        <x:f>H7*'Scenario Inputs'!$D$13</x:f>
        <x:v>12500</x:v>
      </x:c>
      <x:c r="I14" s="58" t="n">
        <x:f>I7*'Scenario Inputs'!$D$13</x:f>
        <x:v>12500</x:v>
      </x:c>
      <x:c r="J14" s="58" t="n">
        <x:f>J7*'Scenario Inputs'!$D$13</x:f>
        <x:v>12500</x:v>
      </x:c>
      <x:c r="K14" s="58" t="n">
        <x:f>K7*'Scenario Inputs'!$D$13</x:f>
        <x:v>12500</x:v>
      </x:c>
      <x:c r="L14" s="58" t="n">
        <x:f>L7*'Scenario Inputs'!$D$13</x:f>
        <x:v>12500</x:v>
      </x:c>
      <x:c r="M14" s="58" t="n">
        <x:f>M7*'Scenario Inputs'!$D$13</x:f>
        <x:v>12500</x:v>
      </x:c>
      <x:c r="N14" s="58" t="n">
        <x:f>N7*'Scenario Inputs'!$D$13</x:f>
        <x:v>25000</x:v>
      </x:c>
      <x:c r="O14" s="58" t="n">
        <x:f>O7*'Scenario Inputs'!$D$13</x:f>
        <x:v>25000</x:v>
      </x:c>
      <x:c r="P14" s="58" t="n">
        <x:f>P7*'Scenario Inputs'!$D$13</x:f>
        <x:v>25000</x:v>
      </x:c>
      <x:c r="Q14" s="58" t="n">
        <x:f>Q7*'Scenario Inputs'!$D$13</x:f>
        <x:v>25000</x:v>
      </x:c>
      <x:c r="R14" s="58" t="n">
        <x:f>R7*'Scenario Inputs'!$D$13</x:f>
        <x:v>25000</x:v>
      </x:c>
      <x:c r="S14" s="58" t="n">
        <x:f>S7*'Scenario Inputs'!$D$13</x:f>
        <x:v>25000</x:v>
      </x:c>
      <x:c r="T14" s="58" t="n">
        <x:f>T7*'Scenario Inputs'!$D$13</x:f>
        <x:v>37500</x:v>
      </x:c>
      <x:c r="U14" s="58" t="n">
        <x:f>U7*'Scenario Inputs'!$D$13</x:f>
        <x:v>37500</x:v>
      </x:c>
      <x:c r="V14" s="58" t="n">
        <x:f>V7*'Scenario Inputs'!$D$13</x:f>
        <x:v>37500</x:v>
      </x:c>
      <x:c r="W14" s="58" t="n">
        <x:f>W7*'Scenario Inputs'!$D$13</x:f>
        <x:v>37500</x:v>
      </x:c>
      <x:c r="X14" s="58" t="n">
        <x:f>X7*'Scenario Inputs'!$D$13</x:f>
        <x:v>37500</x:v>
      </x:c>
      <x:c r="Y14" s="58" t="n">
        <x:f>Y7*'Scenario Inputs'!$D$13</x:f>
        <x:v>37500</x:v>
      </x:c>
      <x:c r="Z14" s="58" t="n">
        <x:f>Z7*'Scenario Inputs'!$D$13</x:f>
        <x:v>62500</x:v>
      </x:c>
      <x:c r="AA14" s="58" t="n">
        <x:f>AA7*'Scenario Inputs'!$D$13</x:f>
        <x:v>62500</x:v>
      </x:c>
      <x:c r="AB14" s="58" t="n">
        <x:f>AB7*'Scenario Inputs'!$D$13</x:f>
        <x:v>62500</x:v>
      </x:c>
      <x:c r="AC14" s="58" t="n">
        <x:f>AC7*'Scenario Inputs'!$D$13</x:f>
        <x:v>62500</x:v>
      </x:c>
      <x:c r="AD14" s="58" t="n">
        <x:f>AD7*'Scenario Inputs'!$D$13</x:f>
        <x:v>62500</x:v>
      </x:c>
      <x:c r="AE14" s="58" t="n">
        <x:f>AE7*'Scenario Inputs'!$D$13</x:f>
        <x:v>62500</x:v>
      </x:c>
      <x:c r="AF14" s="58" t="n">
        <x:f>AF7*'Scenario Inputs'!$D$13</x:f>
        <x:v>100000</x:v>
      </x:c>
      <x:c r="AG14" s="58" t="n">
        <x:f>AG7*'Scenario Inputs'!$D$13</x:f>
        <x:v>100000</x:v>
      </x:c>
      <x:c r="AH14" s="58" t="n">
        <x:f>AH7*'Scenario Inputs'!$D$13</x:f>
        <x:v>100000</x:v>
      </x:c>
      <x:c r="AI14" s="58" t="n">
        <x:f>AI7*'Scenario Inputs'!$D$13</x:f>
        <x:v>100000</x:v>
      </x:c>
      <x:c r="AJ14" s="58" t="n">
        <x:f>AJ7*'Scenario Inputs'!$D$13</x:f>
        <x:v>100000</x:v>
      </x:c>
      <x:c r="AK14" s="58" t="n">
        <x:f>AK7*'Scenario Inputs'!$D$13</x:f>
        <x:v>100000</x:v>
      </x:c>
    </x:row>
    <x:row r="15" ht="18" customHeight="1">
      <x:c r="A15" s="4" t="str">
        <x:v>Organic / partner content cash (INR)</x:v>
      </x:c>
      <x:c r="B15" s="60" t="n">
        <x:f>'Scenario Inputs'!$D$21</x:f>
        <x:v>7500</x:v>
      </x:c>
      <x:c r="C15" s="60" t="n">
        <x:f>'Scenario Inputs'!$D$21</x:f>
        <x:v>7500</x:v>
      </x:c>
      <x:c r="D15" s="60" t="n">
        <x:f>'Scenario Inputs'!$D$21</x:f>
        <x:v>7500</x:v>
      </x:c>
      <x:c r="E15" s="60" t="n">
        <x:f>'Scenario Inputs'!$D$21</x:f>
        <x:v>7500</x:v>
      </x:c>
      <x:c r="F15" s="60" t="n">
        <x:f>'Scenario Inputs'!$D$21</x:f>
        <x:v>7500</x:v>
      </x:c>
      <x:c r="G15" s="60" t="n">
        <x:f>'Scenario Inputs'!$D$21</x:f>
        <x:v>7500</x:v>
      </x:c>
      <x:c r="H15" s="60" t="n">
        <x:f>'Scenario Inputs'!$D$21</x:f>
        <x:v>7500</x:v>
      </x:c>
      <x:c r="I15" s="60" t="n">
        <x:f>'Scenario Inputs'!$D$21</x:f>
        <x:v>7500</x:v>
      </x:c>
      <x:c r="J15" s="60" t="n">
        <x:f>'Scenario Inputs'!$D$21</x:f>
        <x:v>7500</x:v>
      </x:c>
      <x:c r="K15" s="60" t="n">
        <x:f>'Scenario Inputs'!$D$21</x:f>
        <x:v>7500</x:v>
      </x:c>
      <x:c r="L15" s="60" t="n">
        <x:f>'Scenario Inputs'!$D$21</x:f>
        <x:v>7500</x:v>
      </x:c>
      <x:c r="M15" s="60" t="n">
        <x:f>'Scenario Inputs'!$D$21</x:f>
        <x:v>7500</x:v>
      </x:c>
      <x:c r="N15" s="60" t="n">
        <x:f>'Scenario Inputs'!$D$22</x:f>
        <x:v>15000</x:v>
      </x:c>
      <x:c r="O15" s="60" t="n">
        <x:f>'Scenario Inputs'!$D$22</x:f>
        <x:v>15000</x:v>
      </x:c>
      <x:c r="P15" s="60" t="n">
        <x:f>'Scenario Inputs'!$D$22</x:f>
        <x:v>15000</x:v>
      </x:c>
      <x:c r="Q15" s="60" t="n">
        <x:f>'Scenario Inputs'!$D$22</x:f>
        <x:v>15000</x:v>
      </x:c>
      <x:c r="R15" s="60" t="n">
        <x:f>'Scenario Inputs'!$D$22</x:f>
        <x:v>15000</x:v>
      </x:c>
      <x:c r="S15" s="60" t="n">
        <x:f>'Scenario Inputs'!$D$22</x:f>
        <x:v>15000</x:v>
      </x:c>
      <x:c r="T15" s="60" t="n">
        <x:f>'Scenario Inputs'!$D$22</x:f>
        <x:v>15000</x:v>
      </x:c>
      <x:c r="U15" s="60" t="n">
        <x:f>'Scenario Inputs'!$D$22</x:f>
        <x:v>15000</x:v>
      </x:c>
      <x:c r="V15" s="60" t="n">
        <x:f>'Scenario Inputs'!$D$22</x:f>
        <x:v>15000</x:v>
      </x:c>
      <x:c r="W15" s="60" t="n">
        <x:f>'Scenario Inputs'!$D$22</x:f>
        <x:v>15000</x:v>
      </x:c>
      <x:c r="X15" s="60" t="n">
        <x:f>'Scenario Inputs'!$D$22</x:f>
        <x:v>15000</x:v>
      </x:c>
      <x:c r="Y15" s="60" t="n">
        <x:f>'Scenario Inputs'!$D$22</x:f>
        <x:v>15000</x:v>
      </x:c>
      <x:c r="Z15" s="60" t="n">
        <x:f>'Scenario Inputs'!$D$23</x:f>
        <x:v>25000</x:v>
      </x:c>
      <x:c r="AA15" s="60" t="n">
        <x:f>'Scenario Inputs'!$D$23</x:f>
        <x:v>25000</x:v>
      </x:c>
      <x:c r="AB15" s="60" t="n">
        <x:f>'Scenario Inputs'!$D$23</x:f>
        <x:v>25000</x:v>
      </x:c>
      <x:c r="AC15" s="60" t="n">
        <x:f>'Scenario Inputs'!$D$23</x:f>
        <x:v>25000</x:v>
      </x:c>
      <x:c r="AD15" s="60" t="n">
        <x:f>'Scenario Inputs'!$D$23</x:f>
        <x:v>25000</x:v>
      </x:c>
      <x:c r="AE15" s="60" t="n">
        <x:f>'Scenario Inputs'!$D$23</x:f>
        <x:v>25000</x:v>
      </x:c>
      <x:c r="AF15" s="60" t="n">
        <x:f>'Scenario Inputs'!$D$23</x:f>
        <x:v>25000</x:v>
      </x:c>
      <x:c r="AG15" s="60" t="n">
        <x:f>'Scenario Inputs'!$D$23</x:f>
        <x:v>25000</x:v>
      </x:c>
      <x:c r="AH15" s="60" t="n">
        <x:f>'Scenario Inputs'!$D$23</x:f>
        <x:v>25000</x:v>
      </x:c>
      <x:c r="AI15" s="60" t="n">
        <x:f>'Scenario Inputs'!$D$23</x:f>
        <x:v>25000</x:v>
      </x:c>
      <x:c r="AJ15" s="60" t="n">
        <x:f>'Scenario Inputs'!$D$23</x:f>
        <x:v>25000</x:v>
      </x:c>
      <x:c r="AK15" s="60" t="n">
        <x:f>'Scenario Inputs'!$D$23</x:f>
        <x:v>25000</x:v>
      </x:c>
    </x:row>
    <x:row r="16" ht="18" customHeight="1">
      <x:c r="A16" s="74" t="str">
        <x:v>TOTAL ACQUISITION SPEND (INR)</x:v>
      </x:c>
      <x:c r="B16" s="75" t="n">
        <x:f>B7+SUM(B14:B15)</x:f>
        <x:v>20000</x:v>
      </x:c>
      <x:c r="C16" s="75" t="n">
        <x:f>C7+SUM(C14:C15)</x:f>
        <x:v>20000</x:v>
      </x:c>
      <x:c r="D16" s="75" t="n">
        <x:f>D7+SUM(D14:D15)</x:f>
        <x:v>20000</x:v>
      </x:c>
      <x:c r="E16" s="75" t="n">
        <x:f>E7+SUM(E14:E15)</x:f>
        <x:v>32500</x:v>
      </x:c>
      <x:c r="F16" s="75" t="n">
        <x:f>F7+SUM(F14:F15)</x:f>
        <x:v>32500</x:v>
      </x:c>
      <x:c r="G16" s="75" t="n">
        <x:f>G7+SUM(G14:G15)</x:f>
        <x:v>32500</x:v>
      </x:c>
      <x:c r="H16" s="75" t="n">
        <x:f>H7+SUM(H14:H15)</x:f>
        <x:v>70000</x:v>
      </x:c>
      <x:c r="I16" s="75" t="n">
        <x:f>I7+SUM(I14:I15)</x:f>
        <x:v>70000</x:v>
      </x:c>
      <x:c r="J16" s="75" t="n">
        <x:f>J7+SUM(J14:J15)</x:f>
        <x:v>70000</x:v>
      </x:c>
      <x:c r="K16" s="75" t="n">
        <x:f>K7+SUM(K14:K15)</x:f>
        <x:v>70000</x:v>
      </x:c>
      <x:c r="L16" s="75" t="n">
        <x:f>L7+SUM(L14:L15)</x:f>
        <x:v>70000</x:v>
      </x:c>
      <x:c r="M16" s="75" t="n">
        <x:f>M7+SUM(M14:M15)</x:f>
        <x:v>70000</x:v>
      </x:c>
      <x:c r="N16" s="75" t="n">
        <x:f>N7+SUM(N14:N15)</x:f>
        <x:v>140000</x:v>
      </x:c>
      <x:c r="O16" s="75" t="n">
        <x:f>O7+SUM(O14:O15)</x:f>
        <x:v>140000</x:v>
      </x:c>
      <x:c r="P16" s="75" t="n">
        <x:f>P7+SUM(P14:P15)</x:f>
        <x:v>140000</x:v>
      </x:c>
      <x:c r="Q16" s="75" t="n">
        <x:f>Q7+SUM(Q14:Q15)</x:f>
        <x:v>140000</x:v>
      </x:c>
      <x:c r="R16" s="75" t="n">
        <x:f>R7+SUM(R14:R15)</x:f>
        <x:v>140000</x:v>
      </x:c>
      <x:c r="S16" s="75" t="n">
        <x:f>S7+SUM(S14:S15)</x:f>
        <x:v>140000</x:v>
      </x:c>
      <x:c r="T16" s="75" t="n">
        <x:f>T7+SUM(T14:T15)</x:f>
        <x:v>202500</x:v>
      </x:c>
      <x:c r="U16" s="75" t="n">
        <x:f>U7+SUM(U14:U15)</x:f>
        <x:v>202500</x:v>
      </x:c>
      <x:c r="V16" s="75" t="n">
        <x:f>V7+SUM(V14:V15)</x:f>
        <x:v>202500</x:v>
      </x:c>
      <x:c r="W16" s="75" t="n">
        <x:f>W7+SUM(W14:W15)</x:f>
        <x:v>202500</x:v>
      </x:c>
      <x:c r="X16" s="75" t="n">
        <x:f>X7+SUM(X14:X15)</x:f>
        <x:v>202500</x:v>
      </x:c>
      <x:c r="Y16" s="75" t="n">
        <x:f>Y7+SUM(Y14:Y15)</x:f>
        <x:v>202500</x:v>
      </x:c>
      <x:c r="Z16" s="75" t="n">
        <x:f>Z7+SUM(Z14:Z15)</x:f>
        <x:v>337500</x:v>
      </x:c>
      <x:c r="AA16" s="75" t="n">
        <x:f>AA7+SUM(AA14:AA15)</x:f>
        <x:v>337500</x:v>
      </x:c>
      <x:c r="AB16" s="75" t="n">
        <x:f>AB7+SUM(AB14:AB15)</x:f>
        <x:v>337500</x:v>
      </x:c>
      <x:c r="AC16" s="75" t="n">
        <x:f>AC7+SUM(AC14:AC15)</x:f>
        <x:v>337500</x:v>
      </x:c>
      <x:c r="AD16" s="75" t="n">
        <x:f>AD7+SUM(AD14:AD15)</x:f>
        <x:v>337500</x:v>
      </x:c>
      <x:c r="AE16" s="75" t="n">
        <x:f>AE7+SUM(AE14:AE15)</x:f>
        <x:v>337500</x:v>
      </x:c>
      <x:c r="AF16" s="75" t="n">
        <x:f>AF7+SUM(AF14:AF15)</x:f>
        <x:v>525000</x:v>
      </x:c>
      <x:c r="AG16" s="75" t="n">
        <x:f>AG7+SUM(AG14:AG15)</x:f>
        <x:v>525000</x:v>
      </x:c>
      <x:c r="AH16" s="75" t="n">
        <x:f>AH7+SUM(AH14:AH15)</x:f>
        <x:v>525000</x:v>
      </x:c>
      <x:c r="AI16" s="75" t="n">
        <x:f>AI7+SUM(AI14:AI15)</x:f>
        <x:v>525000</x:v>
      </x:c>
      <x:c r="AJ16" s="75" t="n">
        <x:f>AJ7+SUM(AJ14:AJ15)</x:f>
        <x:v>525000</x:v>
      </x:c>
      <x:c r="AK16" s="75" t="n">
        <x:f>AK7+SUM(AK14:AK15)</x:f>
        <x:v>525000</x:v>
      </x:c>
    </x:row>
    <x:row r="17" ht="18" customHeight="1">
      <x:c r="A17" s="4" t="str">
        <x:v>Blended cash CAC (INR / gross buyer)</x:v>
      </x:c>
      <x:c r="B17" s="64" t="n">
        <x:f>IFERROR(B16/B12,0)</x:f>
        <x:v>428.5714285714286</x:v>
      </x:c>
      <x:c r="C17" s="64" t="n">
        <x:f>IFERROR(C16/C12,0)</x:f>
        <x:v>390.87947882736165</x:v>
      </x:c>
      <x:c r="D17" s="64" t="n">
        <x:f>IFERROR(D16/D12,0)</x:f>
        <x:v>354.9770743972786</x:v>
      </x:c>
      <x:c r="E17" s="64" t="n">
        <x:f>IFERROR(E16/E12,0)</x:f>
        <x:v>411.6029825385351</x:v>
      </x:c>
      <x:c r="F17" s="64" t="n">
        <x:f>IFERROR(F16/F12,0)</x:f>
        <x:v>378.7723357311728</x:v>
      </x:c>
      <x:c r="G17" s="64" t="n">
        <x:f>IFERROR(G16/G12,0)</x:f>
        <x:v>346.94774445434905</x:v>
      </x:c>
      <x:c r="H17" s="64" t="n">
        <x:f>IFERROR(H16/H12,0)</x:f>
        <x:v>458.3396847965455</x:v>
      </x:c>
      <x:c r="I17" s="64" t="n">
        <x:f>IFERROR(I16/I12,0)</x:f>
        <x:v>429.09528452107594</x:v>
      </x:c>
      <x:c r="J17" s="64" t="n">
        <x:f>IFERROR(J16/J12,0)</x:f>
        <x:v>399.76238304528994</x:v>
      </x:c>
      <x:c r="K17" s="64" t="n">
        <x:f>IFERROR(K16/K12,0)</x:f>
        <x:v>370.6260394077489</x:v>
      </x:c>
      <x:c r="L17" s="64" t="n">
        <x:f>IFERROR(L16/L12,0)</x:f>
        <x:v>341.9637402736123</x:v>
      </x:c>
      <x:c r="M17" s="64" t="n">
        <x:f>IFERROR(M16/M12,0)</x:f>
        <x:v>314.0350211066394</x:v>
      </x:c>
      <x:c r="N17" s="64" t="n">
        <x:f>IFERROR(N16/N12,0)</x:f>
        <x:v>454.78834929074463</x:v>
      </x:c>
      <x:c r="O17" s="64" t="n">
        <x:f>IFERROR(O16/O12,0)</x:f>
        <x:v>428.6668578643937</x:v>
      </x:c>
      <x:c r="P17" s="64" t="n">
        <x:f>IFERROR(P16/P12,0)</x:f>
        <x:v>402.7578560028738</x:v>
      </x:c>
      <x:c r="Q17" s="64" t="n">
        <x:f>IFERROR(Q16/Q12,0)</x:f>
        <x:v>377.222253876386</x:v>
      </x:c>
      <x:c r="R17" s="64" t="n">
        <x:f>IFERROR(R16/R12,0)</x:f>
        <x:v>352.21166912294683</x:v>
      </x:c>
      <x:c r="S17" s="64" t="n">
        <x:f>IFERROR(S16/S12,0)</x:f>
        <x:v>327.8649965114781</x:v>
      </x:c>
      <x:c r="T17" s="64" t="n">
        <x:f>IFERROR(T16/T12,0)</x:f>
        <x:v>377.9244479291089</x:v>
      </x:c>
      <x:c r="U17" s="64" t="n">
        <x:f>IFERROR(U16/U12,0)</x:f>
        <x:v>353.4973946099037</x:v>
      </x:c>
      <x:c r="V17" s="64" t="n">
        <x:f>IFERROR(V16/V12,0)</x:f>
        <x:v>329.6348252623204</x:v>
      </x:c>
      <x:c r="W17" s="64" t="n">
        <x:f>IFERROR(W16/W12,0)</x:f>
        <x:v>306.4646461840659</x:v>
      </x:c>
      <x:c r="X17" s="64" t="n">
        <x:f>IFERROR(X16/X12,0)</x:f>
        <x:v>284.0988768259306</x:v>
      </x:c>
      <x:c r="Y17" s="64" t="n">
        <x:f>IFERROR(Y16/Y12,0)</x:f>
        <x:v>262.63198812872366</x:v>
      </x:c>
      <x:c r="Z17" s="64" t="n">
        <x:f>IFERROR(Z16/Z12,0)</x:f>
        <x:v>362.2713057857568</x:v>
      </x:c>
      <x:c r="AA17" s="64" t="n">
        <x:f>IFERROR(AA16/AA12,0)</x:f>
        <x:v>344.87910443838837</x:v>
      </x:c>
      <x:c r="AB17" s="64" t="n">
        <x:f>IFERROR(AB16/AB12,0)</x:f>
        <x:v>327.87876234648996</x:v>
      </x:c>
      <x:c r="AC17" s="64" t="n">
        <x:f>IFERROR(AC16/AC12,0)</x:f>
        <x:v>311.3057419367651</x:v>
      </x:c>
      <x:c r="AD17" s="64" t="n">
        <x:f>IFERROR(AD16/AD12,0)</x:f>
        <x:v>295.19128531797384</x:v>
      </x:c>
      <x:c r="AE17" s="64" t="n">
        <x:f>IFERROR(AE16/AE12,0)</x:f>
        <x:v>279.5622961975015</x:v>
      </x:c>
      <x:c r="AF17" s="64" t="n">
        <x:f>IFERROR(AF16/AF12,0)</x:f>
        <x:v>354.0390547922435</x:v>
      </x:c>
      <x:c r="AG17" s="64" t="n">
        <x:f>IFERROR(AG16/AG12,0)</x:f>
        <x:v>337.09140078831024</x:v>
      </x:c>
      <x:c r="AH17" s="64" t="n">
        <x:f>IFERROR(AH16/AH12,0)</x:f>
        <x:v>320.5207950889626</x:v>
      </x:c>
      <x:c r="AI17" s="64" t="n">
        <x:f>IFERROR(AI16/AI12,0)</x:f>
        <x:v>304.3621441300138</x:v>
      </x:c>
      <x:c r="AJ17" s="64" t="n">
        <x:f>IFERROR(AJ16/AJ12,0)</x:f>
        <x:v>288.64626821859576</x:v>
      </x:c>
      <x:c r="AK17" s="64" t="n">
        <x:f>IFERROR(AK16/AK12,0)</x:f>
        <x:v>273.3997783401782</x:v>
      </x:c>
    </x:row>
    <x:row r="18" ht="18" customHeight="1">
      <x:c r="A18" s="4" t="str">
        <x:v>Loaded paid-channel CAC (INR)</x:v>
      </x:c>
      <x:c r="B18" s="64" t="n">
        <x:f>IFERROR((B7+B14)/B11,0)</x:f>
        <x:v>750.0000000000001</x:v>
      </x:c>
      <x:c r="C18" s="64" t="n">
        <x:f>IFERROR((C7+C14)/C11,0)</x:f>
        <x:v>750.0000000000001</x:v>
      </x:c>
      <x:c r="D18" s="64" t="n">
        <x:f>IFERROR((D7+D14)/D11,0)</x:f>
        <x:v>750.0000000000001</x:v>
      </x:c>
      <x:c r="E18" s="64" t="n">
        <x:f>IFERROR((E7+E14)/E11,0)</x:f>
        <x:v>750.0000000000001</x:v>
      </x:c>
      <x:c r="F18" s="64" t="n">
        <x:f>IFERROR((F7+F14)/F11,0)</x:f>
        <x:v>750.0000000000001</x:v>
      </x:c>
      <x:c r="G18" s="64" t="n">
        <x:f>IFERROR((G7+G14)/G11,0)</x:f>
        <x:v>750.0000000000001</x:v>
      </x:c>
      <x:c r="H18" s="64" t="n">
        <x:f>IFERROR((H7+H14)/H11,0)</x:f>
        <x:v>750</x:v>
      </x:c>
      <x:c r="I18" s="64" t="n">
        <x:f>IFERROR((I7+I14)/I11,0)</x:f>
        <x:v>750</x:v>
      </x:c>
      <x:c r="J18" s="64" t="n">
        <x:f>IFERROR((J7+J14)/J11,0)</x:f>
        <x:v>750</x:v>
      </x:c>
      <x:c r="K18" s="64" t="n">
        <x:f>IFERROR((K7+K14)/K11,0)</x:f>
        <x:v>750</x:v>
      </x:c>
      <x:c r="L18" s="64" t="n">
        <x:f>IFERROR((L7+L14)/L11,0)</x:f>
        <x:v>750</x:v>
      </x:c>
      <x:c r="M18" s="64" t="n">
        <x:f>IFERROR((M7+M14)/M11,0)</x:f>
        <x:v>750</x:v>
      </x:c>
      <x:c r="N18" s="64" t="n">
        <x:f>IFERROR((N7+N14)/N11,0)</x:f>
        <x:v>825.0000000000001</x:v>
      </x:c>
      <x:c r="O18" s="64" t="n">
        <x:f>IFERROR((O7+O14)/O11,0)</x:f>
        <x:v>825.0000000000001</x:v>
      </x:c>
      <x:c r="P18" s="64" t="n">
        <x:f>IFERROR((P7+P14)/P11,0)</x:f>
        <x:v>825.0000000000001</x:v>
      </x:c>
      <x:c r="Q18" s="64" t="n">
        <x:f>IFERROR((Q7+Q14)/Q11,0)</x:f>
        <x:v>825.0000000000001</x:v>
      </x:c>
      <x:c r="R18" s="64" t="n">
        <x:f>IFERROR((R7+R14)/R11,0)</x:f>
        <x:v>825.0000000000001</x:v>
      </x:c>
      <x:c r="S18" s="64" t="n">
        <x:f>IFERROR((S7+S14)/S11,0)</x:f>
        <x:v>825.0000000000001</x:v>
      </x:c>
      <x:c r="T18" s="64" t="n">
        <x:f>IFERROR((T7+T14)/T11,0)</x:f>
        <x:v>825.0000000000001</x:v>
      </x:c>
      <x:c r="U18" s="64" t="n">
        <x:f>IFERROR((U7+U14)/U11,0)</x:f>
        <x:v>825.0000000000001</x:v>
      </x:c>
      <x:c r="V18" s="64" t="n">
        <x:f>IFERROR((V7+V14)/V11,0)</x:f>
        <x:v>825.0000000000001</x:v>
      </x:c>
      <x:c r="W18" s="64" t="n">
        <x:f>IFERROR((W7+W14)/W11,0)</x:f>
        <x:v>825.0000000000001</x:v>
      </x:c>
      <x:c r="X18" s="64" t="n">
        <x:f>IFERROR((X7+X14)/X11,0)</x:f>
        <x:v>825.0000000000001</x:v>
      </x:c>
      <x:c r="Y18" s="64" t="n">
        <x:f>IFERROR((Y7+Y14)/Y11,0)</x:f>
        <x:v>825.0000000000001</x:v>
      </x:c>
      <x:c r="Z18" s="64" t="n">
        <x:f>IFERROR((Z7+Z14)/Z11,0)</x:f>
        <x:v>907.5000000000003</x:v>
      </x:c>
      <x:c r="AA18" s="64" t="n">
        <x:f>IFERROR((AA7+AA14)/AA11,0)</x:f>
        <x:v>907.5000000000003</x:v>
      </x:c>
      <x:c r="AB18" s="64" t="n">
        <x:f>IFERROR((AB7+AB14)/AB11,0)</x:f>
        <x:v>907.5000000000003</x:v>
      </x:c>
      <x:c r="AC18" s="64" t="n">
        <x:f>IFERROR((AC7+AC14)/AC11,0)</x:f>
        <x:v>907.5000000000003</x:v>
      </x:c>
      <x:c r="AD18" s="64" t="n">
        <x:f>IFERROR((AD7+AD14)/AD11,0)</x:f>
        <x:v>907.5000000000003</x:v>
      </x:c>
      <x:c r="AE18" s="64" t="n">
        <x:f>IFERROR((AE7+AE14)/AE11,0)</x:f>
        <x:v>907.5000000000003</x:v>
      </x:c>
      <x:c r="AF18" s="64" t="n">
        <x:f>IFERROR((AF7+AF14)/AF11,0)</x:f>
        <x:v>907.5000000000002</x:v>
      </x:c>
      <x:c r="AG18" s="64" t="n">
        <x:f>IFERROR((AG7+AG14)/AG11,0)</x:f>
        <x:v>907.5000000000002</x:v>
      </x:c>
      <x:c r="AH18" s="64" t="n">
        <x:f>IFERROR((AH7+AH14)/AH11,0)</x:f>
        <x:v>907.5000000000002</x:v>
      </x:c>
      <x:c r="AI18" s="64" t="n">
        <x:f>IFERROR((AI7+AI14)/AI11,0)</x:f>
        <x:v>907.5000000000002</x:v>
      </x:c>
      <x:c r="AJ18" s="64" t="n">
        <x:f>IFERROR((AJ7+AJ14)/AJ11,0)</x:f>
        <x:v>907.5000000000002</x:v>
      </x:c>
      <x:c r="AK18" s="64" t="n">
        <x:f>IFERROR((AK7+AK14)/AK11,0)</x:f>
        <x:v>907.5000000000002</x:v>
      </x:c>
    </x:row>
    <x:row r="19" ht="18" customHeight="1">
      <x:c r="A19" s="4" t="str"/>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row>
    <x:row r="20" ht="18" customHeight="1">
      <x:c r="A20" s="4" t="str">
        <x:v>New annual payers after refunds</x:v>
      </x:c>
      <x:c r="B20" s="58" t="n">
        <x:f>B12*'Scenario Inputs'!$D$27*(1-'Scenario Inputs'!$D$29)</x:f>
        <x:v>36.586666666666666</x:v>
      </x:c>
      <x:c r="C20" s="58" t="n">
        <x:f>C12*'Scenario Inputs'!$D$27*(1-'Scenario Inputs'!$D$29)</x:f>
        <x:v>40.114666666666665</x:v>
      </x:c>
      <x:c r="D20" s="58" t="n">
        <x:f>D12*'Scenario Inputs'!$D$27*(1-'Scenario Inputs'!$D$29)</x:f>
        <x:v>44.17186666666666</x:v>
      </x:c>
      <x:c r="E20" s="58" t="n">
        <x:f>E12*'Scenario Inputs'!$D$27*(1-'Scenario Inputs'!$D$29)</x:f>
        <x:v>61.90431333333332</x:v>
      </x:c>
      <x:c r="F20" s="58" t="n">
        <x:f>F12*'Scenario Inputs'!$D$27*(1-'Scenario Inputs'!$D$29)</x:f>
        <x:v>67.2699603333333</x:v>
      </x:c>
      <x:c r="G20" s="58" t="n">
        <x:f>G12*'Scenario Inputs'!$D$27*(1-'Scenario Inputs'!$D$29)</x:f>
        <x:v>73.4404543833333</x:v>
      </x:c>
      <x:c r="H20" s="58" t="n">
        <x:f>H12*'Scenario Inputs'!$D$27*(1-'Scenario Inputs'!$D$29)</x:f>
        <x:v>119.7365225408333</x:v>
      </x:c>
      <x:c r="I20" s="58" t="n">
        <x:f>I12*'Scenario Inputs'!$D$27*(1-'Scenario Inputs'!$D$29)</x:f>
        <x:v>127.8970009219583</x:v>
      </x:c>
      <x:c r="J20" s="58" t="n">
        <x:f>J12*'Scenario Inputs'!$D$27*(1-'Scenario Inputs'!$D$29)</x:f>
        <x:v>137.281551060252</x:v>
      </x:c>
      <x:c r="K20" s="58" t="n">
        <x:f>K12*'Scenario Inputs'!$D$27*(1-'Scenario Inputs'!$D$29)</x:f>
        <x:v>148.07378371928985</x:v>
      </x:c>
      <x:c r="L20" s="58" t="n">
        <x:f>L12*'Scenario Inputs'!$D$27*(1-'Scenario Inputs'!$D$29)</x:f>
        <x:v>160.48485127718328</x:v>
      </x:c>
      <x:c r="M20" s="58" t="n">
        <x:f>M12*'Scenario Inputs'!$D$27*(1-'Scenario Inputs'!$D$29)</x:f>
        <x:v>174.75757896876078</x:v>
      </x:c>
      <x:c r="N20" s="58" t="n">
        <x:f>N12*'Scenario Inputs'!$D$27*(1-'Scenario Inputs'!$D$29)</x:f>
        <x:v>241.34303389955755</x:v>
      </x:c>
      <x:c r="O20" s="58" t="n">
        <x:f>O12*'Scenario Inputs'!$D$27*(1-'Scenario Inputs'!$D$29)</x:f>
        <x:v>256.04965251295897</x:v>
      </x:c>
      <x:c r="P20" s="58" t="n">
        <x:f>P12*'Scenario Inputs'!$D$27*(1-'Scenario Inputs'!$D$29)</x:f>
        <x:v>272.52106535996865</x:v>
      </x:c>
      <x:c r="Q20" s="58" t="n">
        <x:f>Q12*'Scenario Inputs'!$D$27*(1-'Scenario Inputs'!$D$29)</x:f>
        <x:v>290.96904774861946</x:v>
      </x:c>
      <x:c r="R20" s="58" t="n">
        <x:f>R12*'Scenario Inputs'!$D$27*(1-'Scenario Inputs'!$D$29)</x:f>
        <x:v>311.6307880239084</x:v>
      </x:c>
      <x:c r="S20" s="58" t="n">
        <x:f>S12*'Scenario Inputs'!$D$27*(1-'Scenario Inputs'!$D$29)</x:f>
        <x:v>334.7719371322319</x:v>
      </x:c>
      <x:c r="T20" s="58" t="n">
        <x:f>T12*'Scenario Inputs'!$D$27*(1-'Scenario Inputs'!$D$29)</x:f>
        <x:v>420.0839635274938</x:v>
      </x:c>
      <x:c r="U20" s="58" t="n">
        <x:f>U12*'Scenario Inputs'!$D$27*(1-'Scenario Inputs'!$D$29)</x:f>
        <x:v>449.1122209689749</x:v>
      </x:c>
      <x:c r="V20" s="58" t="n">
        <x:f>V12*'Scenario Inputs'!$D$27*(1-'Scenario Inputs'!$D$29)</x:f>
        <x:v>481.62386930343365</x:v>
      </x:c>
      <x:c r="W20" s="58" t="n">
        <x:f>W12*'Scenario Inputs'!$D$27*(1-'Scenario Inputs'!$D$29)</x:f>
        <x:v>518.0369154380277</x:v>
      </x:c>
      <x:c r="X20" s="58" t="n">
        <x:f>X12*'Scenario Inputs'!$D$27*(1-'Scenario Inputs'!$D$29)</x:f>
        <x:v>558.8195271087726</x:v>
      </x:c>
      <x:c r="Y20" s="58" t="n">
        <x:f>Y12*'Scenario Inputs'!$D$27*(1-'Scenario Inputs'!$D$29)</x:f>
        <x:v>604.4960521800073</x:v>
      </x:c>
      <x:c r="Z20" s="58" t="n">
        <x:f>Z12*'Scenario Inputs'!$D$27*(1-'Scenario Inputs'!$D$29)</x:f>
        <x:v>730.3918245086778</x:v>
      </x:c>
      <x:c r="AA20" s="58" t="n">
        <x:f>AA12*'Scenario Inputs'!$D$27*(1-'Scenario Inputs'!$D$29)</x:f>
        <x:v>767.2253743261213</x:v>
      </x:c>
      <x:c r="AB20" s="58" t="n">
        <x:f>AB12*'Scenario Inputs'!$D$27*(1-'Scenario Inputs'!$D$29)</x:f>
        <x:v>807.0056081289604</x:v>
      </x:c>
      <x:c r="AC20" s="58" t="n">
        <x:f>AC12*'Scenario Inputs'!$D$27*(1-'Scenario Inputs'!$D$29)</x:f>
        <x:v>849.9682606360266</x:v>
      </x:c>
      <x:c r="AD20" s="58" t="n">
        <x:f>AD12*'Scenario Inputs'!$D$27*(1-'Scenario Inputs'!$D$29)</x:f>
        <x:v>896.3679253436578</x:v>
      </x:c>
      <x:c r="AE20" s="58" t="n">
        <x:f>AE12*'Scenario Inputs'!$D$27*(1-'Scenario Inputs'!$D$29)</x:f>
        <x:v>946.4795632278999</x:v>
      </x:c>
      <x:c r="AF20" s="58" t="n">
        <x:f>AF12*'Scenario Inputs'!$D$27*(1-'Scenario Inputs'!$D$29)</x:f>
        <x:v>1162.5836032172617</x:v>
      </x:c>
      <x:c r="AG20" s="58" t="n">
        <x:f>AG12*'Scenario Inputs'!$D$27*(1-'Scenario Inputs'!$D$29)</x:f>
        <x:v>1221.0338176454416</x:v>
      </x:c>
      <x:c r="AH20" s="58" t="n">
        <x:f>AH12*'Scenario Inputs'!$D$27*(1-'Scenario Inputs'!$D$29)</x:f>
        <x:v>1284.1600492278756</x:v>
      </x:c>
      <x:c r="AI20" s="58" t="n">
        <x:f>AI12*'Scenario Inputs'!$D$27*(1-'Scenario Inputs'!$D$29)</x:f>
        <x:v>1352.3363793369049</x:v>
      </x:c>
      <x:c r="AJ20" s="58" t="n">
        <x:f>AJ12*'Scenario Inputs'!$D$27*(1-'Scenario Inputs'!$D$29)</x:f>
        <x:v>1425.9668158546563</x:v>
      </x:c>
      <x:c r="AK20" s="58" t="n">
        <x:f>AK12*'Scenario Inputs'!$D$27*(1-'Scenario Inputs'!$D$29)</x:f>
        <x:v>1505.4876872938278</x:v>
      </x:c>
    </x:row>
    <x:row r="21" ht="18" customHeight="1">
      <x:c r="A21" s="4" t="str">
        <x:v>First annual renewals after refunds</x:v>
      </x:c>
      <x:c r="B21" s="58" t="n">
        <x:f>0*'Scenario Inputs'!$D$30*(1-'Scenario Inputs'!$D$29)</x:f>
        <x:v>0</x:v>
      </x:c>
      <x:c r="C21" s="58" t="n">
        <x:f>0*'Scenario Inputs'!$D$30*(1-'Scenario Inputs'!$D$29)</x:f>
        <x:v>0</x:v>
      </x:c>
      <x:c r="D21" s="58" t="n">
        <x:f>0*'Scenario Inputs'!$D$30*(1-'Scenario Inputs'!$D$29)</x:f>
        <x:v>0</x:v>
      </x:c>
      <x:c r="E21" s="58" t="n">
        <x:f>0*'Scenario Inputs'!$D$30*(1-'Scenario Inputs'!$D$29)</x:f>
        <x:v>0</x:v>
      </x:c>
      <x:c r="F21" s="58" t="n">
        <x:f>0*'Scenario Inputs'!$D$30*(1-'Scenario Inputs'!$D$29)</x:f>
        <x:v>0</x:v>
      </x:c>
      <x:c r="G21" s="58" t="n">
        <x:f>0*'Scenario Inputs'!$D$30*(1-'Scenario Inputs'!$D$29)</x:f>
        <x:v>0</x:v>
      </x:c>
      <x:c r="H21" s="58" t="n">
        <x:f>0*'Scenario Inputs'!$D$30*(1-'Scenario Inputs'!$D$29)</x:f>
        <x:v>0</x:v>
      </x:c>
      <x:c r="I21" s="58" t="n">
        <x:f>0*'Scenario Inputs'!$D$30*(1-'Scenario Inputs'!$D$29)</x:f>
        <x:v>0</x:v>
      </x:c>
      <x:c r="J21" s="58" t="n">
        <x:f>0*'Scenario Inputs'!$D$30*(1-'Scenario Inputs'!$D$29)</x:f>
        <x:v>0</x:v>
      </x:c>
      <x:c r="K21" s="58" t="n">
        <x:f>0*'Scenario Inputs'!$D$30*(1-'Scenario Inputs'!$D$29)</x:f>
        <x:v>0</x:v>
      </x:c>
      <x:c r="L21" s="58" t="n">
        <x:f>0*'Scenario Inputs'!$D$30*(1-'Scenario Inputs'!$D$29)</x:f>
        <x:v>0</x:v>
      </x:c>
      <x:c r="M21" s="58" t="n">
        <x:f>0*'Scenario Inputs'!$D$30*(1-'Scenario Inputs'!$D$29)</x:f>
        <x:v>0</x:v>
      </x:c>
      <x:c r="N21" s="58" t="n">
        <x:f>B20*'Scenario Inputs'!$D$30*(1-'Scenario Inputs'!$D$29)</x:f>
        <x:v>16.134719999999998</x:v>
      </x:c>
      <x:c r="O21" s="58" t="n">
        <x:f>C20*'Scenario Inputs'!$D$30*(1-'Scenario Inputs'!$D$29)</x:f>
        <x:v>17.690568</x:v>
      </x:c>
      <x:c r="P21" s="58" t="n">
        <x:f>D20*'Scenario Inputs'!$D$30*(1-'Scenario Inputs'!$D$29)</x:f>
        <x:v>19.479793199999996</x:v>
      </x:c>
      <x:c r="Q21" s="58" t="n">
        <x:f>E20*'Scenario Inputs'!$D$30*(1-'Scenario Inputs'!$D$29)</x:f>
        <x:v>27.299802179999997</x:v>
      </x:c>
      <x:c r="R21" s="58" t="n">
        <x:f>F20*'Scenario Inputs'!$D$30*(1-'Scenario Inputs'!$D$29)</x:f>
        <x:v>29.666052506999986</x:v>
      </x:c>
      <x:c r="S21" s="58" t="n">
        <x:f>G20*'Scenario Inputs'!$D$30*(1-'Scenario Inputs'!$D$29)</x:f>
        <x:v>32.38724038304999</x:v>
      </x:c>
      <x:c r="T21" s="58" t="n">
        <x:f>H20*'Scenario Inputs'!$D$30*(1-'Scenario Inputs'!$D$29)</x:f>
        <x:v>52.803806440507486</x:v>
      </x:c>
      <x:c r="U21" s="58" t="n">
        <x:f>I20*'Scenario Inputs'!$D$30*(1-'Scenario Inputs'!$D$29)</x:f>
        <x:v>56.40257740658361</x:v>
      </x:c>
      <x:c r="V21" s="58" t="n">
        <x:f>J20*'Scenario Inputs'!$D$30*(1-'Scenario Inputs'!$D$29)</x:f>
        <x:v>60.54116401757114</x:v>
      </x:c>
      <x:c r="W21" s="58" t="n">
        <x:f>K20*'Scenario Inputs'!$D$30*(1-'Scenario Inputs'!$D$29)</x:f>
        <x:v>65.30053862020682</x:v>
      </x:c>
      <x:c r="X21" s="58" t="n">
        <x:f>L20*'Scenario Inputs'!$D$30*(1-'Scenario Inputs'!$D$29)</x:f>
        <x:v>70.77381941323783</x:v>
      </x:c>
      <x:c r="Y21" s="58" t="n">
        <x:f>M20*'Scenario Inputs'!$D$30*(1-'Scenario Inputs'!$D$29)</x:f>
        <x:v>77.0680923252235</x:v>
      </x:c>
      <x:c r="Z21" s="58" t="n">
        <x:f>N20*'Scenario Inputs'!$D$30*(1-'Scenario Inputs'!$D$29)</x:f>
        <x:v>106.43227794970488</x:v>
      </x:c>
      <x:c r="AA21" s="58" t="n">
        <x:f>O20*'Scenario Inputs'!$D$30*(1-'Scenario Inputs'!$D$29)</x:f>
        <x:v>112.91789675821491</x:v>
      </x:c>
      <x:c r="AB21" s="58" t="n">
        <x:f>P20*'Scenario Inputs'!$D$30*(1-'Scenario Inputs'!$D$29)</x:f>
        <x:v>120.18178982374617</x:v>
      </x:c>
      <x:c r="AC21" s="58" t="n">
        <x:f>Q20*'Scenario Inputs'!$D$30*(1-'Scenario Inputs'!$D$29)</x:f>
        <x:v>128.3173500571412</x:v>
      </x:c>
      <x:c r="AD21" s="58" t="n">
        <x:f>R20*'Scenario Inputs'!$D$30*(1-'Scenario Inputs'!$D$29)</x:f>
        <x:v>137.4291775185436</x:v>
      </x:c>
      <x:c r="AE21" s="58" t="n">
        <x:f>S20*'Scenario Inputs'!$D$30*(1-'Scenario Inputs'!$D$29)</x:f>
        <x:v>147.63442427531427</x:v>
      </x:c>
      <x:c r="AF21" s="58" t="n">
        <x:f>T20*'Scenario Inputs'!$D$30*(1-'Scenario Inputs'!$D$29)</x:f>
        <x:v>185.25702791562478</x:v>
      </x:c>
      <x:c r="AG21" s="58" t="n">
        <x:f>U20*'Scenario Inputs'!$D$30*(1-'Scenario Inputs'!$D$29)</x:f>
        <x:v>198.05848944731795</x:v>
      </x:c>
      <x:c r="AH21" s="58" t="n">
        <x:f>V20*'Scenario Inputs'!$D$30*(1-'Scenario Inputs'!$D$29)</x:f>
        <x:v>212.39612636281424</x:v>
      </x:c>
      <x:c r="AI21" s="58" t="n">
        <x:f>W20*'Scenario Inputs'!$D$30*(1-'Scenario Inputs'!$D$29)</x:f>
        <x:v>228.45427970817022</x:v>
      </x:c>
      <x:c r="AJ21" s="58" t="n">
        <x:f>X20*'Scenario Inputs'!$D$30*(1-'Scenario Inputs'!$D$29)</x:f>
        <x:v>246.4394114549687</x:v>
      </x:c>
      <x:c r="AK21" s="58" t="n">
        <x:f>Y20*'Scenario Inputs'!$D$30*(1-'Scenario Inputs'!$D$29)</x:f>
        <x:v>266.58275901138325</x:v>
      </x:c>
    </x:row>
    <x:row r="22" ht="18" customHeight="1">
      <x:c r="A22" s="4" t="str">
        <x:v>Second annual renewals after refunds</x:v>
      </x:c>
      <x:c r="B22" s="58" t="n">
        <x:f>0*'Scenario Inputs'!$D$31*(1-'Scenario Inputs'!$D$29)</x:f>
        <x:v>0</x:v>
      </x:c>
      <x:c r="C22" s="58" t="n">
        <x:f>0*'Scenario Inputs'!$D$31*(1-'Scenario Inputs'!$D$29)</x:f>
        <x:v>0</x:v>
      </x:c>
      <x:c r="D22" s="58" t="n">
        <x:f>0*'Scenario Inputs'!$D$31*(1-'Scenario Inputs'!$D$29)</x:f>
        <x:v>0</x:v>
      </x:c>
      <x:c r="E22" s="58" t="n">
        <x:f>0*'Scenario Inputs'!$D$31*(1-'Scenario Inputs'!$D$29)</x:f>
        <x:v>0</x:v>
      </x:c>
      <x:c r="F22" s="58" t="n">
        <x:f>0*'Scenario Inputs'!$D$31*(1-'Scenario Inputs'!$D$29)</x:f>
        <x:v>0</x:v>
      </x:c>
      <x:c r="G22" s="58" t="n">
        <x:f>0*'Scenario Inputs'!$D$31*(1-'Scenario Inputs'!$D$29)</x:f>
        <x:v>0</x:v>
      </x:c>
      <x:c r="H22" s="58" t="n">
        <x:f>0*'Scenario Inputs'!$D$31*(1-'Scenario Inputs'!$D$29)</x:f>
        <x:v>0</x:v>
      </x:c>
      <x:c r="I22" s="58" t="n">
        <x:f>0*'Scenario Inputs'!$D$31*(1-'Scenario Inputs'!$D$29)</x:f>
        <x:v>0</x:v>
      </x:c>
      <x:c r="J22" s="58" t="n">
        <x:f>0*'Scenario Inputs'!$D$31*(1-'Scenario Inputs'!$D$29)</x:f>
        <x:v>0</x:v>
      </x:c>
      <x:c r="K22" s="58" t="n">
        <x:f>0*'Scenario Inputs'!$D$31*(1-'Scenario Inputs'!$D$29)</x:f>
        <x:v>0</x:v>
      </x:c>
      <x:c r="L22" s="58" t="n">
        <x:f>0*'Scenario Inputs'!$D$31*(1-'Scenario Inputs'!$D$29)</x:f>
        <x:v>0</x:v>
      </x:c>
      <x:c r="M22" s="58" t="n">
        <x:f>0*'Scenario Inputs'!$D$31*(1-'Scenario Inputs'!$D$29)</x:f>
        <x:v>0</x:v>
      </x:c>
      <x:c r="N22" s="58" t="n">
        <x:f>B21*'Scenario Inputs'!$D$31*(1-'Scenario Inputs'!$D$29)</x:f>
        <x:v>0</x:v>
      </x:c>
      <x:c r="O22" s="58" t="n">
        <x:f>C21*'Scenario Inputs'!$D$31*(1-'Scenario Inputs'!$D$29)</x:f>
        <x:v>0</x:v>
      </x:c>
      <x:c r="P22" s="58" t="n">
        <x:f>D21*'Scenario Inputs'!$D$31*(1-'Scenario Inputs'!$D$29)</x:f>
        <x:v>0</x:v>
      </x:c>
      <x:c r="Q22" s="58" t="n">
        <x:f>E21*'Scenario Inputs'!$D$31*(1-'Scenario Inputs'!$D$29)</x:f>
        <x:v>0</x:v>
      </x:c>
      <x:c r="R22" s="58" t="n">
        <x:f>F21*'Scenario Inputs'!$D$31*(1-'Scenario Inputs'!$D$29)</x:f>
        <x:v>0</x:v>
      </x:c>
      <x:c r="S22" s="58" t="n">
        <x:f>G21*'Scenario Inputs'!$D$31*(1-'Scenario Inputs'!$D$29)</x:f>
        <x:v>0</x:v>
      </x:c>
      <x:c r="T22" s="58" t="n">
        <x:f>H21*'Scenario Inputs'!$D$31*(1-'Scenario Inputs'!$D$29)</x:f>
        <x:v>0</x:v>
      </x:c>
      <x:c r="U22" s="58" t="n">
        <x:f>I21*'Scenario Inputs'!$D$31*(1-'Scenario Inputs'!$D$29)</x:f>
        <x:v>0</x:v>
      </x:c>
      <x:c r="V22" s="58" t="n">
        <x:f>J21*'Scenario Inputs'!$D$31*(1-'Scenario Inputs'!$D$29)</x:f>
        <x:v>0</x:v>
      </x:c>
      <x:c r="W22" s="58" t="n">
        <x:f>K21*'Scenario Inputs'!$D$31*(1-'Scenario Inputs'!$D$29)</x:f>
        <x:v>0</x:v>
      </x:c>
      <x:c r="X22" s="58" t="n">
        <x:f>L21*'Scenario Inputs'!$D$31*(1-'Scenario Inputs'!$D$29)</x:f>
        <x:v>0</x:v>
      </x:c>
      <x:c r="Y22" s="58" t="n">
        <x:f>M21*'Scenario Inputs'!$D$31*(1-'Scenario Inputs'!$D$29)</x:f>
        <x:v>0</x:v>
      </x:c>
      <x:c r="Z22" s="58" t="n">
        <x:f>N21*'Scenario Inputs'!$D$31*(1-'Scenario Inputs'!$D$29)</x:f>
        <x:v>10.27781664</x:v>
      </x:c>
      <x:c r="AA22" s="58" t="n">
        <x:f>O21*'Scenario Inputs'!$D$31*(1-'Scenario Inputs'!$D$29)</x:f>
        <x:v>11.268891816</x:v>
      </x:c>
      <x:c r="AB22" s="58" t="n">
        <x:f>P21*'Scenario Inputs'!$D$31*(1-'Scenario Inputs'!$D$29)</x:f>
        <x:v>12.408628268399998</x:v>
      </x:c>
      <x:c r="AC22" s="58" t="n">
        <x:f>Q21*'Scenario Inputs'!$D$31*(1-'Scenario Inputs'!$D$29)</x:f>
        <x:v>17.38997398866</x:v>
      </x:c>
      <x:c r="AD22" s="58" t="n">
        <x:f>R21*'Scenario Inputs'!$D$31*(1-'Scenario Inputs'!$D$29)</x:f>
        <x:v>18.897275446958993</x:v>
      </x:c>
      <x:c r="AE22" s="58" t="n">
        <x:f>S21*'Scenario Inputs'!$D$31*(1-'Scenario Inputs'!$D$29)</x:f>
        <x:v>20.630672124002846</x:v>
      </x:c>
      <x:c r="AF22" s="58" t="n">
        <x:f>T21*'Scenario Inputs'!$D$31*(1-'Scenario Inputs'!$D$29)</x:f>
        <x:v>33.63602470260327</x:v>
      </x:c>
      <x:c r="AG22" s="58" t="n">
        <x:f>U21*'Scenario Inputs'!$D$31*(1-'Scenario Inputs'!$D$29)</x:f>
        <x:v>35.928441807993764</x:v>
      </x:c>
      <x:c r="AH22" s="58" t="n">
        <x:f>V21*'Scenario Inputs'!$D$31*(1-'Scenario Inputs'!$D$29)</x:f>
        <x:v>38.56472147919282</x:v>
      </x:c>
      <x:c r="AI22" s="58" t="n">
        <x:f>W21*'Scenario Inputs'!$D$31*(1-'Scenario Inputs'!$D$29)</x:f>
        <x:v>41.59644310107175</x:v>
      </x:c>
      <x:c r="AJ22" s="58" t="n">
        <x:f>X21*'Scenario Inputs'!$D$31*(1-'Scenario Inputs'!$D$29)</x:f>
        <x:v>45.082922966232495</x:v>
      </x:c>
      <x:c r="AK22" s="58" t="n">
        <x:f>Y21*'Scenario Inputs'!$D$31*(1-'Scenario Inputs'!$D$29)</x:f>
        <x:v>49.092374811167375</x:v>
      </x:c>
    </x:row>
    <x:row r="23" ht="18" customHeight="1">
      <x:c r="A23" s="4" t="str">
        <x:v>Annual terms ending this month</x:v>
      </x:c>
      <x:c r="B23" s="58" t="n">
        <x:f>0+0+0</x:f>
        <x:v>0</x:v>
      </x:c>
      <x:c r="C23" s="58" t="n">
        <x:f>0+0+0</x:f>
        <x:v>0</x:v>
      </x:c>
      <x:c r="D23" s="58" t="n">
        <x:f>0+0+0</x:f>
        <x:v>0</x:v>
      </x:c>
      <x:c r="E23" s="58" t="n">
        <x:f>0+0+0</x:f>
        <x:v>0</x:v>
      </x:c>
      <x:c r="F23" s="58" t="n">
        <x:f>0+0+0</x:f>
        <x:v>0</x:v>
      </x:c>
      <x:c r="G23" s="58" t="n">
        <x:f>0+0+0</x:f>
        <x:v>0</x:v>
      </x:c>
      <x:c r="H23" s="58" t="n">
        <x:f>0+0+0</x:f>
        <x:v>0</x:v>
      </x:c>
      <x:c r="I23" s="58" t="n">
        <x:f>0+0+0</x:f>
        <x:v>0</x:v>
      </x:c>
      <x:c r="J23" s="58" t="n">
        <x:f>0+0+0</x:f>
        <x:v>0</x:v>
      </x:c>
      <x:c r="K23" s="58" t="n">
        <x:f>0+0+0</x:f>
        <x:v>0</x:v>
      </x:c>
      <x:c r="L23" s="58" t="n">
        <x:f>0+0+0</x:f>
        <x:v>0</x:v>
      </x:c>
      <x:c r="M23" s="58" t="n">
        <x:f>0+0+0</x:f>
        <x:v>0</x:v>
      </x:c>
      <x:c r="N23" s="58" t="n">
        <x:f>B20+B21+B22</x:f>
        <x:v>36.586666666666666</x:v>
      </x:c>
      <x:c r="O23" s="58" t="n">
        <x:f>C20+C21+C22</x:f>
        <x:v>40.114666666666665</x:v>
      </x:c>
      <x:c r="P23" s="58" t="n">
        <x:f>D20+D21+D22</x:f>
        <x:v>44.17186666666666</x:v>
      </x:c>
      <x:c r="Q23" s="58" t="n">
        <x:f>E20+E21+E22</x:f>
        <x:v>61.90431333333332</x:v>
      </x:c>
      <x:c r="R23" s="58" t="n">
        <x:f>F20+F21+F22</x:f>
        <x:v>67.2699603333333</x:v>
      </x:c>
      <x:c r="S23" s="58" t="n">
        <x:f>G20+G21+G22</x:f>
        <x:v>73.4404543833333</x:v>
      </x:c>
      <x:c r="T23" s="58" t="n">
        <x:f>H20+H21+H22</x:f>
        <x:v>119.7365225408333</x:v>
      </x:c>
      <x:c r="U23" s="58" t="n">
        <x:f>I20+I21+I22</x:f>
        <x:v>127.8970009219583</x:v>
      </x:c>
      <x:c r="V23" s="58" t="n">
        <x:f>J20+J21+J22</x:f>
        <x:v>137.281551060252</x:v>
      </x:c>
      <x:c r="W23" s="58" t="n">
        <x:f>K20+K21+K22</x:f>
        <x:v>148.07378371928985</x:v>
      </x:c>
      <x:c r="X23" s="58" t="n">
        <x:f>L20+L21+L22</x:f>
        <x:v>160.48485127718328</x:v>
      </x:c>
      <x:c r="Y23" s="58" t="n">
        <x:f>M20+M21+M22</x:f>
        <x:v>174.75757896876078</x:v>
      </x:c>
      <x:c r="Z23" s="58" t="n">
        <x:f>N20+N21+N22</x:f>
        <x:v>257.47775389955757</x:v>
      </x:c>
      <x:c r="AA23" s="58" t="n">
        <x:f>O20+O21+O22</x:f>
        <x:v>273.74022051295896</x:v>
      </x:c>
      <x:c r="AB23" s="58" t="n">
        <x:f>P20+P21+P22</x:f>
        <x:v>292.00085855996866</x:v>
      </x:c>
      <x:c r="AC23" s="58" t="n">
        <x:f>Q20+Q21+Q22</x:f>
        <x:v>318.26884992861943</x:v>
      </x:c>
      <x:c r="AD23" s="58" t="n">
        <x:f>R20+R21+R22</x:f>
        <x:v>341.29684053090836</x:v>
      </x:c>
      <x:c r="AE23" s="58" t="n">
        <x:f>S20+S21+S22</x:f>
        <x:v>367.1591775152819</x:v>
      </x:c>
      <x:c r="AF23" s="58" t="n">
        <x:f>T20+T21+T22</x:f>
        <x:v>472.8877699680013</x:v>
      </x:c>
      <x:c r="AG23" s="58" t="n">
        <x:f>U20+U21+U22</x:f>
        <x:v>505.5147983755585</x:v>
      </x:c>
      <x:c r="AH23" s="58" t="n">
        <x:f>V20+V21+V22</x:f>
        <x:v>542.1650333210048</x:v>
      </x:c>
      <x:c r="AI23" s="58" t="n">
        <x:f>W20+W21+W22</x:f>
        <x:v>583.3374540582345</x:v>
      </x:c>
      <x:c r="AJ23" s="58" t="n">
        <x:f>X20+X21+X22</x:f>
        <x:v>629.5933465220104</x:v>
      </x:c>
      <x:c r="AK23" s="58" t="n">
        <x:f>Y20+Y21+Y22</x:f>
        <x:v>681.5641445052307</x:v>
      </x:c>
    </x:row>
    <x:row r="24" ht="18" customHeight="1">
      <x:c r="A24" s="74" t="str">
        <x:v>ACTIVE ANNUAL SUBSCRIBERS</x:v>
      </x:c>
      <x:c r="B24" s="75" t="n">
        <x:f>0+SUM(B20:B22)-B23</x:f>
        <x:v>36.586666666666666</x:v>
      </x:c>
      <x:c r="C24" s="75" t="n">
        <x:f>B24+SUM(C20:C22)-C23</x:f>
        <x:v>76.70133333333334</x:v>
      </x:c>
      <x:c r="D24" s="75" t="n">
        <x:f>C24+SUM(D20:D22)-D23</x:f>
        <x:v>120.8732</x:v>
      </x:c>
      <x:c r="E24" s="75" t="n">
        <x:f>D24+SUM(E20:E22)-E23</x:f>
        <x:v>182.77751333333333</x:v>
      </x:c>
      <x:c r="F24" s="75" t="n">
        <x:f>E24+SUM(F20:F22)-F23</x:f>
        <x:v>250.04747366666663</x:v>
      </x:c>
      <x:c r="G24" s="75" t="n">
        <x:f>F24+SUM(G20:G22)-G23</x:f>
        <x:v>323.48792804999994</x:v>
      </x:c>
      <x:c r="H24" s="75" t="n">
        <x:f>G24+SUM(H20:H22)-H23</x:f>
        <x:v>443.22445059083327</x:v>
      </x:c>
      <x:c r="I24" s="75" t="n">
        <x:f>H24+SUM(I20:I22)-I23</x:f>
        <x:v>571.1214515127915</x:v>
      </x:c>
      <x:c r="J24" s="75" t="n">
        <x:f>I24+SUM(J20:J22)-J23</x:f>
        <x:v>708.4030025730435</x:v>
      </x:c>
      <x:c r="K24" s="75" t="n">
        <x:f>J24+SUM(K20:K22)-K23</x:f>
        <x:v>856.4767862923334</x:v>
      </x:c>
      <x:c r="L24" s="75" t="n">
        <x:f>K24+SUM(L20:L22)-L23</x:f>
        <x:v>1016.9616375695166</x:v>
      </x:c>
      <x:c r="M24" s="75" t="n">
        <x:f>L24+SUM(M20:M22)-M23</x:f>
        <x:v>1191.7192165382774</x:v>
      </x:c>
      <x:c r="N24" s="75" t="n">
        <x:f>M24+SUM(N20:N22)-N23</x:f>
        <x:v>1412.6103037711682</x:v>
      </x:c>
      <x:c r="O24" s="75" t="n">
        <x:f>N24+SUM(O20:O22)-O23</x:f>
        <x:v>1646.2358576174606</x:v>
      </x:c>
      <x:c r="P24" s="75" t="n">
        <x:f>O24+SUM(P20:P22)-P23</x:f>
        <x:v>1894.0648495107628</x:v>
      </x:c>
      <x:c r="Q24" s="75" t="n">
        <x:f>P24+SUM(Q20:Q22)-Q23</x:f>
        <x:v>2150.4293861060487</x:v>
      </x:c>
      <x:c r="R24" s="75" t="n">
        <x:f>Q24+SUM(R20:R22)-R23</x:f>
        <x:v>2424.456266303624</x:v>
      </x:c>
      <x:c r="S24" s="75" t="n">
        <x:f>R24+SUM(S20:S22)-S23</x:f>
        <x:v>2718.1749894355726</x:v>
      </x:c>
      <x:c r="T24" s="75" t="n">
        <x:f>S24+SUM(T20:T22)-T23</x:f>
        <x:v>3071.3262368627406</x:v>
      </x:c>
      <x:c r="U24" s="75" t="n">
        <x:f>T24+SUM(U20:U22)-U23</x:f>
        <x:v>3448.9440343163405</x:v>
      </x:c>
      <x:c r="V24" s="75" t="n">
        <x:f>U24+SUM(V20:V22)-V23</x:f>
        <x:v>3853.827516577093</x:v>
      </x:c>
      <x:c r="W24" s="75" t="n">
        <x:f>V24+SUM(W20:W22)-W23</x:f>
        <x:v>4289.091186916037</x:v>
      </x:c>
      <x:c r="X24" s="75" t="n">
        <x:f>W24+SUM(X20:X22)-X23</x:f>
        <x:v>4758.1996821608645</x:v>
      </x:c>
      <x:c r="Y24" s="75" t="n">
        <x:f>X24+SUM(Y20:Y22)-Y23</x:f>
        <x:v>5265.006247697334</x:v>
      </x:c>
      <x:c r="Z24" s="75" t="n">
        <x:f>Y24+SUM(Z20:Z22)-Z23</x:f>
        <x:v>5854.630412896159</x:v>
      </x:c>
      <x:c r="AA24" s="75" t="n">
        <x:f>Z24+SUM(AA20:AA22)-AA23</x:f>
        <x:v>6472.302355283536</x:v>
      </x:c>
      <x:c r="AB24" s="75" t="n">
        <x:f>AA24+SUM(AB20:AB22)-AB23</x:f>
        <x:v>7119.897522944673</x:v>
      </x:c>
      <x:c r="AC24" s="75" t="n">
        <x:f>AB24+SUM(AC20:AC22)-AC23</x:f>
        <x:v>7797.304257697881</x:v>
      </x:c>
      <x:c r="AD24" s="75" t="n">
        <x:f>AC24+SUM(AD20:AD22)-AD23</x:f>
        <x:v>8508.701795476134</x:v>
      </x:c>
      <x:c r="AE24" s="75" t="n">
        <x:f>AD24+SUM(AE20:AE22)-AE23</x:f>
        <x:v>9256.28727758807</x:v>
      </x:c>
      <x:c r="AF24" s="75" t="n">
        <x:f>AE24+SUM(AF20:AF22)-AF23</x:f>
        <x:v>10164.876163455558</x:v>
      </x:c>
      <x:c r="AG24" s="75" t="n">
        <x:f>AF24+SUM(AG20:AG22)-AG23</x:f>
        <x:v>11114.382113980753</x:v>
      </x:c>
      <x:c r="AH24" s="75" t="n">
        <x:f>AG24+SUM(AH20:AH22)-AH23</x:f>
        <x:v>12107.33797772963</x:v>
      </x:c>
      <x:c r="AI24" s="75" t="n">
        <x:f>AH24+SUM(AI20:AI22)-AI23</x:f>
        <x:v>13146.387625817544</x:v>
      </x:c>
      <x:c r="AJ24" s="75" t="n">
        <x:f>AI24+SUM(AJ20:AJ22)-AJ23</x:f>
        <x:v>14234.283429571393</x:v>
      </x:c>
      <x:c r="AK24" s="75" t="n">
        <x:f>AJ24+SUM(AK20:AK22)-AK23</x:f>
        <x:v>15373.88210618254</x:v>
      </x:c>
    </x:row>
    <x:row r="25" ht="18" customHeight="1">
      <x:c r="A25" s="4" t="str">
        <x:v>Annual charge events before refunds</x:v>
      </x:c>
      <x:c r="B25" s="58" t="n">
        <x:f>SUM(B20:B22)/(1-'Scenario Inputs'!$D$29)</x:f>
        <x:v>37.333333333333336</x:v>
      </x:c>
      <x:c r="C25" s="58" t="n">
        <x:f>SUM(C20:C22)/(1-'Scenario Inputs'!$D$29)</x:f>
        <x:v>40.93333333333333</x:v>
      </x:c>
      <x:c r="D25" s="58" t="n">
        <x:f>SUM(D20:D22)/(1-'Scenario Inputs'!$D$29)</x:f>
        <x:v>45.07333333333332</x:v>
      </x:c>
      <x:c r="E25" s="58" t="n">
        <x:f>SUM(E20:E22)/(1-'Scenario Inputs'!$D$29)</x:f>
        <x:v>63.167666666666655</x:v>
      </x:c>
      <x:c r="F25" s="58" t="n">
        <x:f>SUM(F20:F22)/(1-'Scenario Inputs'!$D$29)</x:f>
        <x:v>68.64281666666663</x:v>
      </x:c>
      <x:c r="G25" s="58" t="n">
        <x:f>SUM(G20:G22)/(1-'Scenario Inputs'!$D$29)</x:f>
        <x:v>74.93923916666664</x:v>
      </x:c>
      <x:c r="H25" s="58" t="n">
        <x:f>SUM(H20:H22)/(1-'Scenario Inputs'!$D$29)</x:f>
        <x:v>122.18012504166664</x:v>
      </x:c>
      <x:c r="I25" s="58" t="n">
        <x:f>SUM(I20:I22)/(1-'Scenario Inputs'!$D$29)</x:f>
        <x:v>130.50714379791663</x:v>
      </x:c>
      <x:c r="J25" s="58" t="n">
        <x:f>SUM(J20:J22)/(1-'Scenario Inputs'!$D$29)</x:f>
        <x:v>140.0832153676041</x:v>
      </x:c>
      <x:c r="K25" s="58" t="n">
        <x:f>SUM(K20:K22)/(1-'Scenario Inputs'!$D$29)</x:f>
        <x:v>151.09569767274473</x:v>
      </x:c>
      <x:c r="L25" s="58" t="n">
        <x:f>SUM(L20:L22)/(1-'Scenario Inputs'!$D$29)</x:f>
        <x:v>163.76005232365642</x:v>
      </x:c>
      <x:c r="M25" s="58" t="n">
        <x:f>SUM(M20:M22)/(1-'Scenario Inputs'!$D$29)</x:f>
        <x:v>178.3240601722049</x:v>
      </x:c>
      <x:c r="N25" s="58" t="n">
        <x:f>SUM(N20:N22)/(1-'Scenario Inputs'!$D$29)</x:f>
        <x:v>262.7324019383241</x:v>
      </x:c>
      <x:c r="O25" s="58" t="n">
        <x:f>SUM(O20:O22)/(1-'Scenario Inputs'!$D$29)</x:f>
        <x:v>279.3267556254683</x:v>
      </x:c>
      <x:c r="P25" s="58" t="n">
        <x:f>SUM(P20:P22)/(1-'Scenario Inputs'!$D$29)</x:f>
        <x:v>297.96005975507006</x:v>
      </x:c>
      <x:c r="Q25" s="58" t="n">
        <x:f>SUM(Q20:Q22)/(1-'Scenario Inputs'!$D$29)</x:f>
        <x:v>324.76413258022393</x:v>
      </x:c>
      <x:c r="R25" s="58" t="n">
        <x:f>SUM(R20:R22)/(1-'Scenario Inputs'!$D$29)</x:f>
        <x:v>348.2620821743963</x:v>
      </x:c>
      <x:c r="S25" s="58" t="n">
        <x:f>SUM(S20:S22)/(1-'Scenario Inputs'!$D$29)</x:f>
        <x:v>374.6522219543693</x:v>
      </x:c>
      <x:c r="T25" s="58" t="n">
        <x:f>SUM(T20:T22)/(1-'Scenario Inputs'!$D$29)</x:f>
        <x:v>482.5385407836748</x:v>
      </x:c>
      <x:c r="U25" s="58" t="n">
        <x:f>SUM(U20:U22)/(1-'Scenario Inputs'!$D$29)</x:f>
        <x:v>515.8314269138352</x:v>
      </x:c>
      <x:c r="V25" s="58" t="n">
        <x:f>SUM(V20:V22)/(1-'Scenario Inputs'!$D$29)</x:f>
        <x:v>553.22962583776</x:v>
      </x:c>
      <x:c r="W25" s="58" t="n">
        <x:f>SUM(W20:W22)/(1-'Scenario Inputs'!$D$29)</x:f>
        <x:v>595.242300059423</x:v>
      </x:c>
      <x:c r="X25" s="58" t="n">
        <x:f>SUM(X20:X22)/(1-'Scenario Inputs'!$D$29)</x:f>
        <x:v>642.442190328582</x:v>
      </x:c>
      <x:c r="Y25" s="58" t="n">
        <x:f>SUM(Y20:Y22)/(1-'Scenario Inputs'!$D$29)</x:f>
        <x:v>695.4736168420721</x:v>
      </x:c>
      <x:c r="Z25" s="58" t="n">
        <x:f>SUM(Z20:Z22)/(1-'Scenario Inputs'!$D$29)</x:f>
        <x:v>864.3897133656966</x:v>
      </x:c>
      <x:c r="AA25" s="58" t="n">
        <x:f>SUM(AA20:AA22)/(1-'Scenario Inputs'!$D$29)</x:f>
        <x:v>909.6042478574859</x:v>
      </x:c>
      <x:c r="AB25" s="58" t="n">
        <x:f>SUM(AB20:AB22)/(1-'Scenario Inputs'!$D$29)</x:f>
        <x:v>958.7714553276597</x:v>
      </x:c>
      <x:c r="AC25" s="58" t="n">
        <x:f>SUM(AC20:AC22)/(1-'Scenario Inputs'!$D$29)</x:f>
        <x:v>1015.9954945732936</x:v>
      </x:c>
      <x:c r="AD25" s="58" t="n">
        <x:f>SUM(AD20:AD22)/(1-'Scenario Inputs'!$D$29)</x:f>
        <x:v>1074.1779370501636</x:v>
      </x:c>
      <x:c r="AE25" s="58" t="n">
        <x:f>SUM(AE20:AE22)/(1-'Scenario Inputs'!$D$29)</x:f>
        <x:v>1137.4945506400175</x:v>
      </x:c>
      <x:c r="AF25" s="58" t="n">
        <x:f>SUM(AF20:AF22)/(1-'Scenario Inputs'!$D$29)</x:f>
        <x:v>1409.6700569749896</x:v>
      </x:c>
      <x:c r="AG25" s="58" t="n">
        <x:f>SUM(AG20:AG22)/(1-'Scenario Inputs'!$D$29)</x:f>
        <x:v>1484.7150498987278</x:v>
      </x:c>
      <x:c r="AH25" s="58" t="n">
        <x:f>SUM(AH20:AH22)/(1-'Scenario Inputs'!$D$29)</x:f>
        <x:v>1566.4498949692677</x:v>
      </x:c>
      <x:c r="AI25" s="58" t="n">
        <x:f>SUM(AI20:AI22)/(1-'Scenario Inputs'!$D$29)</x:f>
        <x:v>1655.4970430062724</x:v>
      </x:c>
      <x:c r="AJ25" s="58" t="n">
        <x:f>SUM(AJ20:AJ22)/(1-'Scenario Inputs'!$D$29)</x:f>
        <x:v>1752.539949261079</x:v>
      </x:c>
      <x:c r="AK25" s="58" t="n">
        <x:f>SUM(AK20:AK22)/(1-'Scenario Inputs'!$D$29)</x:f>
        <x:v>1858.3294093024272</x:v>
      </x:c>
    </x:row>
    <x:row r="26" ht="18" customHeight="1">
      <x:c r="A26" s="4" t="str"/>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row>
    <x:row r="27" ht="18" customHeight="1">
      <x:c r="A27" s="4" t="str">
        <x:v>New monthly payers after refunds</x:v>
      </x:c>
      <x:c r="B27" s="58" t="n">
        <x:f>B12*(1-'Scenario Inputs'!$D$27)*(1-'Scenario Inputs'!$D$29)</x:f>
        <x:v>9.146666666666663</x:v>
      </x:c>
      <x:c r="C27" s="58" t="n">
        <x:f>C12*(1-'Scenario Inputs'!$D$27)*(1-'Scenario Inputs'!$D$29)</x:f>
        <x:v>10.028666666666663</x:v>
      </x:c>
      <x:c r="D27" s="58" t="n">
        <x:f>D12*(1-'Scenario Inputs'!$D$27)*(1-'Scenario Inputs'!$D$29)</x:f>
        <x:v>11.042966666666663</x:v>
      </x:c>
      <x:c r="E27" s="58" t="n">
        <x:f>E12*(1-'Scenario Inputs'!$D$27)*(1-'Scenario Inputs'!$D$29)</x:f>
        <x:v>15.476078333333325</x:v>
      </x:c>
      <x:c r="F27" s="58" t="n">
        <x:f>F12*(1-'Scenario Inputs'!$D$27)*(1-'Scenario Inputs'!$D$29)</x:f>
        <x:v>16.817490083333322</x:v>
      </x:c>
      <x:c r="G27" s="58" t="n">
        <x:f>G12*(1-'Scenario Inputs'!$D$27)*(1-'Scenario Inputs'!$D$29)</x:f>
        <x:v>18.36011359583332</x:v>
      </x:c>
      <x:c r="H27" s="58" t="n">
        <x:f>H12*(1-'Scenario Inputs'!$D$27)*(1-'Scenario Inputs'!$D$29)</x:f>
        <x:v>29.934130635208316</x:v>
      </x:c>
      <x:c r="I27" s="58" t="n">
        <x:f>I12*(1-'Scenario Inputs'!$D$27)*(1-'Scenario Inputs'!$D$29)</x:f>
        <x:v>31.974250230489567</x:v>
      </x:c>
      <x:c r="J27" s="58" t="n">
        <x:f>J12*(1-'Scenario Inputs'!$D$27)*(1-'Scenario Inputs'!$D$29)</x:f>
        <x:v>34.320387765062996</x:v>
      </x:c>
      <x:c r="K27" s="58" t="n">
        <x:f>K12*(1-'Scenario Inputs'!$D$27)*(1-'Scenario Inputs'!$D$29)</x:f>
        <x:v>37.01844592982245</x:v>
      </x:c>
      <x:c r="L27" s="58" t="n">
        <x:f>L12*(1-'Scenario Inputs'!$D$27)*(1-'Scenario Inputs'!$D$29)</x:f>
        <x:v>40.12121281929581</x:v>
      </x:c>
      <x:c r="M27" s="58" t="n">
        <x:f>M12*(1-'Scenario Inputs'!$D$27)*(1-'Scenario Inputs'!$D$29)</x:f>
        <x:v>43.68939474219018</x:v>
      </x:c>
      <x:c r="N27" s="58" t="n">
        <x:f>N12*(1-'Scenario Inputs'!$D$27)*(1-'Scenario Inputs'!$D$29)</x:f>
        <x:v>60.335758474889374</x:v>
      </x:c>
      <x:c r="O27" s="58" t="n">
        <x:f>O12*(1-'Scenario Inputs'!$D$27)*(1-'Scenario Inputs'!$D$29)</x:f>
        <x:v>64.01241312823973</x:v>
      </x:c>
      <x:c r="P27" s="58" t="n">
        <x:f>P12*(1-'Scenario Inputs'!$D$27)*(1-'Scenario Inputs'!$D$29)</x:f>
        <x:v>68.13026633999215</x:v>
      </x:c>
      <x:c r="Q27" s="58" t="n">
        <x:f>Q12*(1-'Scenario Inputs'!$D$27)*(1-'Scenario Inputs'!$D$29)</x:f>
        <x:v>72.74226193715485</x:v>
      </x:c>
      <x:c r="R27" s="58" t="n">
        <x:f>R12*(1-'Scenario Inputs'!$D$27)*(1-'Scenario Inputs'!$D$29)</x:f>
        <x:v>77.90769700597707</x:v>
      </x:c>
      <x:c r="S27" s="58" t="n">
        <x:f>S12*(1-'Scenario Inputs'!$D$27)*(1-'Scenario Inputs'!$D$29)</x:f>
        <x:v>83.69298428305795</x:v>
      </x:c>
      <x:c r="T27" s="58" t="n">
        <x:f>T12*(1-'Scenario Inputs'!$D$27)*(1-'Scenario Inputs'!$D$29)</x:f>
        <x:v>105.02099088187342</x:v>
      </x:c>
      <x:c r="U27" s="58" t="n">
        <x:f>U12*(1-'Scenario Inputs'!$D$27)*(1-'Scenario Inputs'!$D$29)</x:f>
        <x:v>112.2780552422437</x:v>
      </x:c>
      <x:c r="V27" s="58" t="n">
        <x:f>V12*(1-'Scenario Inputs'!$D$27)*(1-'Scenario Inputs'!$D$29)</x:f>
        <x:v>120.40596732585838</x:v>
      </x:c>
      <x:c r="W27" s="58" t="n">
        <x:f>W12*(1-'Scenario Inputs'!$D$27)*(1-'Scenario Inputs'!$D$29)</x:f>
        <x:v>129.50922885950686</x:v>
      </x:c>
      <x:c r="X27" s="58" t="n">
        <x:f>X12*(1-'Scenario Inputs'!$D$27)*(1-'Scenario Inputs'!$D$29)</x:f>
        <x:v>139.70488177719315</x:v>
      </x:c>
      <x:c r="Y27" s="58" t="n">
        <x:f>Y12*(1-'Scenario Inputs'!$D$27)*(1-'Scenario Inputs'!$D$29)</x:f>
        <x:v>151.12401304500176</x:v>
      </x:c>
      <x:c r="Z27" s="58" t="n">
        <x:f>Z12*(1-'Scenario Inputs'!$D$27)*(1-'Scenario Inputs'!$D$29)</x:f>
        <x:v>182.5979561271694</x:v>
      </x:c>
      <x:c r="AA27" s="58" t="n">
        <x:f>AA12*(1-'Scenario Inputs'!$D$27)*(1-'Scenario Inputs'!$D$29)</x:f>
        <x:v>191.80634358153026</x:v>
      </x:c>
      <x:c r="AB27" s="58" t="n">
        <x:f>AB12*(1-'Scenario Inputs'!$D$27)*(1-'Scenario Inputs'!$D$29)</x:f>
        <x:v>201.75140203224004</x:v>
      </x:c>
      <x:c r="AC27" s="58" t="n">
        <x:f>AC12*(1-'Scenario Inputs'!$D$27)*(1-'Scenario Inputs'!$D$29)</x:f>
        <x:v>212.4920651590066</x:v>
      </x:c>
      <x:c r="AD27" s="58" t="n">
        <x:f>AD12*(1-'Scenario Inputs'!$D$27)*(1-'Scenario Inputs'!$D$29)</x:f>
        <x:v>224.0919813359144</x:v>
      </x:c>
      <x:c r="AE27" s="58" t="n">
        <x:f>AE12*(1-'Scenario Inputs'!$D$27)*(1-'Scenario Inputs'!$D$29)</x:f>
        <x:v>236.61989080697492</x:v>
      </x:c>
      <x:c r="AF27" s="58" t="n">
        <x:f>AF12*(1-'Scenario Inputs'!$D$27)*(1-'Scenario Inputs'!$D$29)</x:f>
        <x:v>290.6459008043154</x:v>
      </x:c>
      <x:c r="AG27" s="58" t="n">
        <x:f>AG12*(1-'Scenario Inputs'!$D$27)*(1-'Scenario Inputs'!$D$29)</x:f>
        <x:v>305.25845441136033</x:v>
      </x:c>
      <x:c r="AH27" s="58" t="n">
        <x:f>AH12*(1-'Scenario Inputs'!$D$27)*(1-'Scenario Inputs'!$D$29)</x:f>
        <x:v>321.04001230696883</x:v>
      </x:c>
      <x:c r="AI27" s="58" t="n">
        <x:f>AI12*(1-'Scenario Inputs'!$D$27)*(1-'Scenario Inputs'!$D$29)</x:f>
        <x:v>338.0840948342261</x:v>
      </x:c>
      <x:c r="AJ27" s="58" t="n">
        <x:f>AJ12*(1-'Scenario Inputs'!$D$27)*(1-'Scenario Inputs'!$D$29)</x:f>
        <x:v>356.49170396366395</x:v>
      </x:c>
      <x:c r="AK27" s="58" t="n">
        <x:f>AK12*(1-'Scenario Inputs'!$D$27)*(1-'Scenario Inputs'!$D$29)</x:f>
        <x:v>376.37192182345683</x:v>
      </x:c>
    </x:row>
    <x:row r="28" ht="18" customHeight="1">
      <x:c r="A28" s="4" t="str">
        <x:v>First monthly renewals after refunds</x:v>
      </x:c>
      <x:c r="B28" s="58" t="n">
        <x:f>0*'Scenario Inputs'!$D$32*(1-'Scenario Inputs'!$D$29)</x:f>
        <x:v>0</x:v>
      </x:c>
      <x:c r="C28" s="58" t="n">
        <x:f>B27*'Scenario Inputs'!$D$32*(1-'Scenario Inputs'!$D$29)</x:f>
        <x:v>6.27461333333333</x:v>
      </x:c>
      <x:c r="D28" s="58" t="n">
        <x:f>C27*'Scenario Inputs'!$D$32*(1-'Scenario Inputs'!$D$29)</x:f>
        <x:v>6.87966533333333</x:v>
      </x:c>
      <x:c r="E28" s="58" t="n">
        <x:f>D27*'Scenario Inputs'!$D$32*(1-'Scenario Inputs'!$D$29)</x:f>
        <x:v>7.57547513333333</x:v>
      </x:c>
      <x:c r="F28" s="58" t="n">
        <x:f>E27*'Scenario Inputs'!$D$32*(1-'Scenario Inputs'!$D$29)</x:f>
        <x:v>10.61658973666666</x:v>
      </x:c>
      <x:c r="G28" s="58" t="n">
        <x:f>F27*'Scenario Inputs'!$D$32*(1-'Scenario Inputs'!$D$29)</x:f>
        <x:v>11.536798197166659</x:v>
      </x:c>
      <x:c r="H28" s="58" t="n">
        <x:f>G27*'Scenario Inputs'!$D$32*(1-'Scenario Inputs'!$D$29)</x:f>
        <x:v>12.595037926741655</x:v>
      </x:c>
      <x:c r="I28" s="58" t="n">
        <x:f>H27*'Scenario Inputs'!$D$32*(1-'Scenario Inputs'!$D$29)</x:f>
        <x:v>20.534813615752903</x:v>
      </x:c>
      <x:c r="J28" s="58" t="n">
        <x:f>I27*'Scenario Inputs'!$D$32*(1-'Scenario Inputs'!$D$29)</x:f>
        <x:v>21.93433565811584</x:v>
      </x:c>
      <x:c r="K28" s="58" t="n">
        <x:f>J27*'Scenario Inputs'!$D$32*(1-'Scenario Inputs'!$D$29)</x:f>
        <x:v>23.543786006833216</x:v>
      </x:c>
      <x:c r="L28" s="58" t="n">
        <x:f>K27*'Scenario Inputs'!$D$32*(1-'Scenario Inputs'!$D$29)</x:f>
        <x:v>25.3946539078582</x:v>
      </x:c>
      <x:c r="M28" s="58" t="n">
        <x:f>L27*'Scenario Inputs'!$D$32*(1-'Scenario Inputs'!$D$29)</x:f>
        <x:v>27.523151994036926</x:v>
      </x:c>
      <x:c r="N28" s="58" t="n">
        <x:f>M27*'Scenario Inputs'!$D$32*(1-'Scenario Inputs'!$D$29)</x:f>
        <x:v>29.970924793142462</x:v>
      </x:c>
      <x:c r="O28" s="58" t="n">
        <x:f>N27*'Scenario Inputs'!$D$32*(1-'Scenario Inputs'!$D$29)</x:f>
        <x:v>41.39033031377411</x:v>
      </x:c>
      <x:c r="P28" s="58" t="n">
        <x:f>O27*'Scenario Inputs'!$D$32*(1-'Scenario Inputs'!$D$29)</x:f>
        <x:v>43.91251540597245</x:v>
      </x:c>
      <x:c r="Q28" s="58" t="n">
        <x:f>P27*'Scenario Inputs'!$D$32*(1-'Scenario Inputs'!$D$29)</x:f>
        <x:v>46.73736270923461</x:v>
      </x:c>
      <x:c r="R28" s="58" t="n">
        <x:f>Q27*'Scenario Inputs'!$D$32*(1-'Scenario Inputs'!$D$29)</x:f>
        <x:v>49.901191688888225</x:v>
      </x:c>
      <x:c r="S28" s="58" t="n">
        <x:f>R27*'Scenario Inputs'!$D$32*(1-'Scenario Inputs'!$D$29)</x:f>
        <x:v>53.44468014610027</x:v>
      </x:c>
      <x:c r="T28" s="58" t="n">
        <x:f>S27*'Scenario Inputs'!$D$32*(1-'Scenario Inputs'!$D$29)</x:f>
        <x:v>57.41338721817775</x:v>
      </x:c>
      <x:c r="U28" s="58" t="n">
        <x:f>T27*'Scenario Inputs'!$D$32*(1-'Scenario Inputs'!$D$29)</x:f>
        <x:v>72.04439974496515</x:v>
      </x:c>
      <x:c r="V28" s="58" t="n">
        <x:f>U27*'Scenario Inputs'!$D$32*(1-'Scenario Inputs'!$D$29)</x:f>
        <x:v>77.02274589617917</x:v>
      </x:c>
      <x:c r="W28" s="58" t="n">
        <x:f>V27*'Scenario Inputs'!$D$32*(1-'Scenario Inputs'!$D$29)</x:f>
        <x:v>82.59849358553885</x:v>
      </x:c>
      <x:c r="X28" s="58" t="n">
        <x:f>W27*'Scenario Inputs'!$D$32*(1-'Scenario Inputs'!$D$29)</x:f>
        <x:v>88.84333099762169</x:v>
      </x:c>
      <x:c r="Y28" s="58" t="n">
        <x:f>X27*'Scenario Inputs'!$D$32*(1-'Scenario Inputs'!$D$29)</x:f>
        <x:v>95.8375488991545</x:v>
      </x:c>
      <x:c r="Z28" s="58" t="n">
        <x:f>Y27*'Scenario Inputs'!$D$32*(1-'Scenario Inputs'!$D$29)</x:f>
        <x:v>103.6710729488712</x:v>
      </x:c>
      <x:c r="AA28" s="58" t="n">
        <x:f>Z27*'Scenario Inputs'!$D$32*(1-'Scenario Inputs'!$D$29)</x:f>
        <x:v>125.26219790323819</x:v>
      </x:c>
      <x:c r="AB28" s="58" t="n">
        <x:f>AA27*'Scenario Inputs'!$D$32*(1-'Scenario Inputs'!$D$29)</x:f>
        <x:v>131.57915169692976</x:v>
      </x:c>
      <x:c r="AC28" s="58" t="n">
        <x:f>AB27*'Scenario Inputs'!$D$32*(1-'Scenario Inputs'!$D$29)</x:f>
        <x:v>138.40146179411667</x:v>
      </x:c>
      <x:c r="AD28" s="58" t="n">
        <x:f>AC27*'Scenario Inputs'!$D$32*(1-'Scenario Inputs'!$D$29)</x:f>
        <x:v>145.7695566990785</x:v>
      </x:c>
      <x:c r="AE28" s="58" t="n">
        <x:f>AD27*'Scenario Inputs'!$D$32*(1-'Scenario Inputs'!$D$29)</x:f>
        <x:v>153.72709919643725</x:v>
      </x:c>
      <x:c r="AF28" s="58" t="n">
        <x:f>AE27*'Scenario Inputs'!$D$32*(1-'Scenario Inputs'!$D$29)</x:f>
        <x:v>162.32124509358476</x:v>
      </x:c>
      <x:c r="AG28" s="58" t="n">
        <x:f>AF27*'Scenario Inputs'!$D$32*(1-'Scenario Inputs'!$D$29)</x:f>
        <x:v>199.38308795176033</x:v>
      </x:c>
      <x:c r="AH28" s="58" t="n">
        <x:f>AG27*'Scenario Inputs'!$D$32*(1-'Scenario Inputs'!$D$29)</x:f>
        <x:v>209.40729972619317</x:v>
      </x:c>
      <x:c r="AI28" s="58" t="n">
        <x:f>AH27*'Scenario Inputs'!$D$32*(1-'Scenario Inputs'!$D$29)</x:f>
        <x:v>220.23344844258062</x:v>
      </x:c>
      <x:c r="AJ28" s="58" t="n">
        <x:f>AI27*'Scenario Inputs'!$D$32*(1-'Scenario Inputs'!$D$29)</x:f>
        <x:v>231.9256890562791</x:v>
      </x:c>
      <x:c r="AK28" s="58" t="n">
        <x:f>AJ27*'Scenario Inputs'!$D$32*(1-'Scenario Inputs'!$D$29)</x:f>
        <x:v>244.55330891907346</x:v>
      </x:c>
    </x:row>
    <x:row r="29" ht="18" customHeight="1">
      <x:c r="A29" s="4" t="str">
        <x:v>Second monthly renewals after refunds</x:v>
      </x:c>
      <x:c r="B29" s="58" t="n">
        <x:f>0*'Scenario Inputs'!$D$33*(1-'Scenario Inputs'!$D$29)</x:f>
        <x:v>0</x:v>
      </x:c>
      <x:c r="C29" s="58" t="n">
        <x:f>B28*'Scenario Inputs'!$D$33*(1-'Scenario Inputs'!$D$29)</x:f>
        <x:v>0</x:v>
      </x:c>
      <x:c r="D29" s="58" t="n">
        <x:f>C28*'Scenario Inputs'!$D$33*(1-'Scenario Inputs'!$D$29)</x:f>
        <x:v>4.919296853333331</x:v>
      </x:c>
      <x:c r="E29" s="58" t="n">
        <x:f>D28*'Scenario Inputs'!$D$33*(1-'Scenario Inputs'!$D$29)</x:f>
        <x:v>5.393657621333331</x:v>
      </x:c>
      <x:c r="F29" s="58" t="n">
        <x:f>E28*'Scenario Inputs'!$D$33*(1-'Scenario Inputs'!$D$29)</x:f>
        <x:v>5.939172504533331</x:v>
      </x:c>
      <x:c r="G29" s="58" t="n">
        <x:f>F28*'Scenario Inputs'!$D$33*(1-'Scenario Inputs'!$D$29)</x:f>
        <x:v>8.32340635354666</x:v>
      </x:c>
      <x:c r="H29" s="58" t="n">
        <x:f>G28*'Scenario Inputs'!$D$33*(1-'Scenario Inputs'!$D$29)</x:f>
        <x:v>9.044849786578661</x:v>
      </x:c>
      <x:c r="I29" s="58" t="n">
        <x:f>H28*'Scenario Inputs'!$D$33*(1-'Scenario Inputs'!$D$29)</x:f>
        <x:v>9.874509734565459</x:v>
      </x:c>
      <x:c r="J29" s="58" t="n">
        <x:f>I28*'Scenario Inputs'!$D$33*(1-'Scenario Inputs'!$D$29)</x:f>
        <x:v>16.099293874750277</x:v>
      </x:c>
      <x:c r="K29" s="58" t="n">
        <x:f>J28*'Scenario Inputs'!$D$33*(1-'Scenario Inputs'!$D$29)</x:f>
        <x:v>17.19651915596282</x:v>
      </x:c>
      <x:c r="L29" s="58" t="n">
        <x:f>K28*'Scenario Inputs'!$D$33*(1-'Scenario Inputs'!$D$29)</x:f>
        <x:v>18.458328229357242</x:v>
      </x:c>
      <x:c r="M29" s="58" t="n">
        <x:f>L28*'Scenario Inputs'!$D$33*(1-'Scenario Inputs'!$D$29)</x:f>
        <x:v>19.90940866376083</x:v>
      </x:c>
      <x:c r="N29" s="58" t="n">
        <x:f>M28*'Scenario Inputs'!$D$33*(1-'Scenario Inputs'!$D$29)</x:f>
        <x:v>21.578151163324954</x:v>
      </x:c>
      <x:c r="O29" s="58" t="n">
        <x:f>N28*'Scenario Inputs'!$D$33*(1-'Scenario Inputs'!$D$29)</x:f>
        <x:v>23.49720503782369</x:v>
      </x:c>
      <x:c r="P29" s="58" t="n">
        <x:f>O28*'Scenario Inputs'!$D$33*(1-'Scenario Inputs'!$D$29)</x:f>
        <x:v>32.4500189659989</x:v>
      </x:c>
      <x:c r="Q29" s="58" t="n">
        <x:f>P28*'Scenario Inputs'!$D$33*(1-'Scenario Inputs'!$D$29)</x:f>
        <x:v>34.4274120782824</x:v>
      </x:c>
      <x:c r="R29" s="58" t="n">
        <x:f>Q28*'Scenario Inputs'!$D$33*(1-'Scenario Inputs'!$D$29)</x:f>
        <x:v>36.64209236403994</x:v>
      </x:c>
      <x:c r="S29" s="58" t="n">
        <x:f>R28*'Scenario Inputs'!$D$33*(1-'Scenario Inputs'!$D$29)</x:f>
        <x:v>39.122534284088374</x:v>
      </x:c>
      <x:c r="T29" s="58" t="n">
        <x:f>S28*'Scenario Inputs'!$D$33*(1-'Scenario Inputs'!$D$29)</x:f>
        <x:v>41.90062923454261</x:v>
      </x:c>
      <x:c r="U29" s="58" t="n">
        <x:f>T28*'Scenario Inputs'!$D$33*(1-'Scenario Inputs'!$D$29)</x:f>
        <x:v>45.01209557905136</x:v>
      </x:c>
      <x:c r="V29" s="58" t="n">
        <x:f>U28*'Scenario Inputs'!$D$33*(1-'Scenario Inputs'!$D$29)</x:f>
        <x:v>56.48280940005268</x:v>
      </x:c>
      <x:c r="W29" s="58" t="n">
        <x:f>V28*'Scenario Inputs'!$D$33*(1-'Scenario Inputs'!$D$29)</x:f>
        <x:v>60.385832782604474</x:v>
      </x:c>
      <x:c r="X29" s="58" t="n">
        <x:f>W28*'Scenario Inputs'!$D$33*(1-'Scenario Inputs'!$D$29)</x:f>
        <x:v>64.75721897106246</x:v>
      </x:c>
      <x:c r="Y29" s="58" t="n">
        <x:f>X28*'Scenario Inputs'!$D$33*(1-'Scenario Inputs'!$D$29)</x:f>
        <x:v>69.65317150213541</x:v>
      </x:c>
      <x:c r="Z29" s="58" t="n">
        <x:f>Y28*'Scenario Inputs'!$D$33*(1-'Scenario Inputs'!$D$29)</x:f>
        <x:v>75.13663833693712</x:v>
      </x:c>
      <x:c r="AA29" s="58" t="n">
        <x:f>Z28*'Scenario Inputs'!$D$33*(1-'Scenario Inputs'!$D$29)</x:f>
        <x:v>81.27812119191502</x:v>
      </x:c>
      <x:c r="AB29" s="58" t="n">
        <x:f>AA28*'Scenario Inputs'!$D$33*(1-'Scenario Inputs'!$D$29)</x:f>
        <x:v>98.20556315613875</x:v>
      </x:c>
      <x:c r="AC29" s="58" t="n">
        <x:f>AB28*'Scenario Inputs'!$D$33*(1-'Scenario Inputs'!$D$29)</x:f>
        <x:v>103.15805493039294</x:v>
      </x:c>
      <x:c r="AD29" s="58" t="n">
        <x:f>AC28*'Scenario Inputs'!$D$33*(1-'Scenario Inputs'!$D$29)</x:f>
        <x:v>108.50674604658748</x:v>
      </x:c>
      <x:c r="AE29" s="58" t="n">
        <x:f>AD28*'Scenario Inputs'!$D$33*(1-'Scenario Inputs'!$D$29)</x:f>
        <x:v>114.28333245207754</x:v>
      </x:c>
      <x:c r="AF29" s="58" t="n">
        <x:f>AE28*'Scenario Inputs'!$D$33*(1-'Scenario Inputs'!$D$29)</x:f>
        <x:v>120.5220457700068</x:v>
      </x:c>
      <x:c r="AG29" s="58" t="n">
        <x:f>AF28*'Scenario Inputs'!$D$33*(1-'Scenario Inputs'!$D$29)</x:f>
        <x:v>127.25985615337046</x:v>
      </x:c>
      <x:c r="AH29" s="58" t="n">
        <x:f>AG28*'Scenario Inputs'!$D$33*(1-'Scenario Inputs'!$D$29)</x:f>
        <x:v>156.3163409541801</x:v>
      </x:c>
      <x:c r="AI29" s="58" t="n">
        <x:f>AH28*'Scenario Inputs'!$D$33*(1-'Scenario Inputs'!$D$29)</x:f>
        <x:v>164.17532298533547</x:v>
      </x:c>
      <x:c r="AJ29" s="58" t="n">
        <x:f>AI28*'Scenario Inputs'!$D$33*(1-'Scenario Inputs'!$D$29)</x:f>
        <x:v>172.6630235789832</x:v>
      </x:c>
      <x:c r="AK29" s="58" t="n">
        <x:f>AJ28*'Scenario Inputs'!$D$33*(1-'Scenario Inputs'!$D$29)</x:f>
        <x:v>181.82974022012283</x:v>
      </x:c>
    </x:row>
    <x:row r="30" ht="18" customHeight="1">
      <x:c r="A30" s="4" t="str">
        <x:v>Later monthly renewals after refunds</x:v>
      </x:c>
      <x:c r="B30" s="58" t="n">
        <x:f>(0+0)*'Scenario Inputs'!$D$34*(1-'Scenario Inputs'!$D$29)</x:f>
        <x:v>0</x:v>
      </x:c>
      <x:c r="C30" s="58" t="n">
        <x:f>(B29+B30)*'Scenario Inputs'!$D$34*(1-'Scenario Inputs'!$D$29)</x:f>
        <x:v>0</x:v>
      </x:c>
      <x:c r="D30" s="58" t="n">
        <x:f>(C29+C30)*'Scenario Inputs'!$D$34*(1-'Scenario Inputs'!$D$29)</x:f>
        <x:v>0</x:v>
      </x:c>
      <x:c r="E30" s="58" t="n">
        <x:f>(D29+D30)*'Scenario Inputs'!$D$34*(1-'Scenario Inputs'!$D$29)</x:f>
        <x:v>4.338819824639998</x:v>
      </x:c>
      <x:c r="F30" s="58" t="n">
        <x:f>(E29+E30)*'Scenario Inputs'!$D$34*(1-'Scenario Inputs'!$D$29)</x:f>
        <x:v>8.584045107348476</x:v>
      </x:c>
      <x:c r="G30" s="58" t="n">
        <x:f>(F29+F30)*'Scenario Inputs'!$D$34*(1-'Scenario Inputs'!$D$29)</x:f>
        <x:v>12.809477933679755</x:v>
      </x:c>
      <x:c r="H30" s="58" t="n">
        <x:f>(G29+G30)*'Scenario Inputs'!$D$34*(1-'Scenario Inputs'!$D$29)</x:f>
        <x:v>18.6392039413337</x:v>
      </x:c>
      <x:c r="I30" s="58" t="n">
        <x:f>(H29+H30)*'Scenario Inputs'!$D$34*(1-'Scenario Inputs'!$D$29)</x:f>
        <x:v>24.417335388018707</x:v>
      </x:c>
      <x:c r="J30" s="58" t="n">
        <x:f>(I29+I30)*'Scenario Inputs'!$D$34*(1-'Scenario Inputs'!$D$29)</x:f>
        <x:v>30.24540739811923</x:v>
      </x:c>
      <x:c r="K30" s="58" t="n">
        <x:f>(J29+J30)*'Scenario Inputs'!$D$34*(1-'Scenario Inputs'!$D$29)</x:f>
        <x:v>40.876026522670905</x:v>
      </x:c>
      <x:c r="L30" s="58" t="n">
        <x:f>(K29+K30)*'Scenario Inputs'!$D$34*(1-'Scenario Inputs'!$D$29)</x:f>
        <x:v>51.219985288554945</x:v>
      </x:c>
      <x:c r="M30" s="58" t="n">
        <x:f>(L29+L30)*'Scenario Inputs'!$D$34*(1-'Scenario Inputs'!$D$29)</x:f>
        <x:v>61.45627252279855</x:v>
      </x:c>
      <x:c r="N30" s="58" t="n">
        <x:f>(M29+M30)*'Scenario Inputs'!$D$34*(1-'Scenario Inputs'!$D$29)</x:f>
        <x:v>71.76453080654538</x:v>
      </x:c>
      <x:c r="O30" s="58" t="n">
        <x:f>(N29+N30)*'Scenario Inputs'!$D$34*(1-'Scenario Inputs'!$D$29)</x:f>
        <x:v>82.32824549742564</x:v>
      </x:c>
      <x:c r="P30" s="58" t="n">
        <x:f>(O29+O30)*'Scenario Inputs'!$D$34*(1-'Scenario Inputs'!$D$29)</x:f>
        <x:v>93.33804737208992</x:v>
      </x:c>
      <x:c r="Q30" s="58" t="n">
        <x:f>(P29+P30)*'Scenario Inputs'!$D$34*(1-'Scenario Inputs'!$D$29)</x:f>
        <x:v>110.94507451019433</x:v>
      </x:c>
      <x:c r="R30" s="58" t="n">
        <x:f>(Q29+Q30)*'Scenario Inputs'!$D$34*(1-'Scenario Inputs'!$D$29)</x:f>
        <x:v>128.21853317103648</x:v>
      </x:c>
      <x:c r="S30" s="58" t="n">
        <x:f>(R29+R30)*'Scenario Inputs'!$D$34*(1-'Scenario Inputs'!$D$29)</x:f>
        <x:v>145.4070717219374</x:v>
      </x:c>
      <x:c r="T30" s="58" t="n">
        <x:f>(S29+S30)*'Scenario Inputs'!$D$34*(1-'Scenario Inputs'!$D$29)</x:f>
        <x:v>162.7551124973147</x:v>
      </x:c>
      <x:c r="U30" s="58" t="n">
        <x:f>(T29+T30)*'Scenario Inputs'!$D$34*(1-'Scenario Inputs'!$D$29)</x:f>
        <x:v>180.50636420749817</x:v>
      </x:c>
      <x:c r="V30" s="58" t="n">
        <x:f>(U29+U30)*'Scenario Inputs'!$D$34*(1-'Scenario Inputs'!$D$29)</x:f>
        <x:v>198.9072815317367</x:v>
      </x:c>
      <x:c r="W30" s="58" t="n">
        <x:f>(V29+V30)*'Scenario Inputs'!$D$34*(1-'Scenario Inputs'!$D$29)</x:f>
        <x:v>225.25406020183823</x:v>
      </x:c>
      <x:c r="X30" s="58" t="n">
        <x:f>(W29+W30)*'Scenario Inputs'!$D$34*(1-'Scenario Inputs'!$D$29)</x:f>
        <x:v>251.9343856122785</x:v>
      </x:c>
      <x:c r="Y30" s="58" t="n">
        <x:f>(X29+X30)*'Scenario Inputs'!$D$34*(1-'Scenario Inputs'!$D$29)</x:f>
        <x:v>279.3219952425067</x:v>
      </x:c>
      <x:c r="Z30" s="58" t="n">
        <x:f>(Y29+Y30)*'Scenario Inputs'!$D$34*(1-'Scenario Inputs'!$D$29)</x:f>
        <x:v>307.7960970687744</x:v>
      </x:c>
      <x:c r="AA30" s="58" t="n">
        <x:f>(Z29+Z30)*'Scenario Inputs'!$D$34*(1-'Scenario Inputs'!$D$29)</x:f>
        <x:v>337.74667262783754</x:v>
      </x:c>
      <x:c r="AB30" s="58" t="n">
        <x:f>(AA29+AA30)*'Scenario Inputs'!$D$34*(1-'Scenario Inputs'!$D$29)</x:f>
        <x:v>369.57986814902176</x:v>
      </x:c>
      <x:c r="AC30" s="58" t="n">
        <x:f>(AB29+AB30)*'Scenario Inputs'!$D$34*(1-'Scenario Inputs'!$D$29)</x:f>
        <x:v>412.58675041115157</x:v>
      </x:c>
      <x:c r="AD30" s="58" t="n">
        <x:f>(AC29+AC30)*'Scenario Inputs'!$D$34*(1-'Scenario Inputs'!$D$29)</x:f>
        <x:v>454.8869183112423</x:v>
      </x:c>
      <x:c r="AE30" s="58" t="n">
        <x:f>(AD29+AD30)*'Scenario Inputs'!$D$34*(1-'Scenario Inputs'!$D$29)</x:f>
        <x:v>496.91321196360593</x:v>
      </x:c>
      <x:c r="AF30" s="58" t="n">
        <x:f>(AE29+AE30)*'Scenario Inputs'!$D$34*(1-'Scenario Inputs'!$D$29)</x:f>
        <x:v>539.0753521746328</x:v>
      </x:c>
      <x:c r="AG30" s="58" t="n">
        <x:f>(AF29+AF30)*'Scenario Inputs'!$D$34*(1-'Scenario Inputs'!$D$29)</x:f>
        <x:v>581.7649049871721</x:v>
      </x:c>
      <x:c r="AH30" s="58" t="n">
        <x:f>(AG29+AG30)*'Scenario Inputs'!$D$34*(1-'Scenario Inputs'!$D$29)</x:f>
        <x:v>625.3598393259587</x:v>
      </x:c>
      <x:c r="AI30" s="58" t="n">
        <x:f>(AH29+AH30)*'Scenario Inputs'!$D$34*(1-'Scenario Inputs'!$D$29)</x:f>
        <x:v>689.4383910070824</x:v>
      </x:c>
      <x:c r="AJ30" s="58" t="n">
        <x:f>(AI29+AI30)*'Scenario Inputs'!$D$34*(1-'Scenario Inputs'!$D$29)</x:f>
        <x:v>752.8872957413125</x:v>
      </x:c>
      <x:c r="AK30" s="58" t="n">
        <x:f>(AJ29+AJ30)*'Scenario Inputs'!$D$34*(1-'Scenario Inputs'!$D$29)</x:f>
        <x:v>816.3353816405008</x:v>
      </x:c>
    </x:row>
    <x:row r="31" ht="18" customHeight="1">
      <x:c r="A31" s="74" t="str">
        <x:v>ACTIVE MONTHLY SUBSCRIBERS</x:v>
      </x:c>
      <x:c r="B31" s="75" t="n">
        <x:f>SUM(B27:B30)</x:f>
        <x:v>9.146666666666663</x:v>
      </x:c>
      <x:c r="C31" s="75" t="n">
        <x:f>SUM(C27:C30)</x:f>
        <x:v>16.303279999999994</x:v>
      </x:c>
      <x:c r="D31" s="75" t="n">
        <x:f>SUM(D27:D30)</x:f>
        <x:v>22.841928853333325</x:v>
      </x:c>
      <x:c r="E31" s="75" t="n">
        <x:f>SUM(E27:E30)</x:f>
        <x:v>32.784030912639984</x:v>
      </x:c>
      <x:c r="F31" s="75" t="n">
        <x:f>SUM(F27:F30)</x:f>
        <x:v>41.957297431881784</x:v>
      </x:c>
      <x:c r="G31" s="75" t="n">
        <x:f>SUM(G27:G30)</x:f>
        <x:v>51.02979608022639</x:v>
      </x:c>
      <x:c r="H31" s="75" t="n">
        <x:f>SUM(H27:H30)</x:f>
        <x:v>70.21322228986233</x:v>
      </x:c>
      <x:c r="I31" s="75" t="n">
        <x:f>SUM(I27:I30)</x:f>
        <x:v>86.80090896882663</x:v>
      </x:c>
      <x:c r="J31" s="75" t="n">
        <x:f>SUM(J27:J30)</x:f>
        <x:v>102.59942469604835</x:v>
      </x:c>
      <x:c r="K31" s="75" t="n">
        <x:f>SUM(K27:K30)</x:f>
        <x:v>118.63477761528938</x:v>
      </x:c>
      <x:c r="L31" s="75" t="n">
        <x:f>SUM(L27:L30)</x:f>
        <x:v>135.1941802450662</x:v>
      </x:c>
      <x:c r="M31" s="75" t="n">
        <x:f>SUM(M27:M30)</x:f>
        <x:v>152.57822792278648</x:v>
      </x:c>
      <x:c r="N31" s="75" t="n">
        <x:f>SUM(N27:N30)</x:f>
        <x:v>183.64936523790215</x:v>
      </x:c>
      <x:c r="O31" s="75" t="n">
        <x:f>SUM(O27:O30)</x:f>
        <x:v>211.22819397726317</x:v>
      </x:c>
      <x:c r="P31" s="75" t="n">
        <x:f>SUM(P27:P30)</x:f>
        <x:v>237.8308480840534</x:v>
      </x:c>
      <x:c r="Q31" s="75" t="n">
        <x:f>SUM(Q27:Q30)</x:f>
        <x:v>264.8521112348662</x:v>
      </x:c>
      <x:c r="R31" s="75" t="n">
        <x:f>SUM(R27:R30)</x:f>
        <x:v>292.6695142299417</x:v>
      </x:c>
      <x:c r="S31" s="75" t="n">
        <x:f>SUM(S27:S30)</x:f>
        <x:v>321.66727043518404</x:v>
      </x:c>
      <x:c r="T31" s="75" t="n">
        <x:f>SUM(T27:T30)</x:f>
        <x:v>367.0901198319085</x:v>
      </x:c>
      <x:c r="U31" s="75" t="n">
        <x:f>SUM(U27:U30)</x:f>
        <x:v>409.8409147737584</x:v>
      </x:c>
      <x:c r="V31" s="75" t="n">
        <x:f>SUM(V27:V30)</x:f>
        <x:v>452.81880415382693</x:v>
      </x:c>
      <x:c r="W31" s="75" t="n">
        <x:f>SUM(W27:W30)</x:f>
        <x:v>497.7476154294884</x:v>
      </x:c>
      <x:c r="X31" s="75" t="n">
        <x:f>SUM(X27:X30)</x:f>
        <x:v>545.2398173581557</x:v>
      </x:c>
      <x:c r="Y31" s="75" t="n">
        <x:f>SUM(Y27:Y30)</x:f>
        <x:v>595.9367286887984</x:v>
      </x:c>
      <x:c r="Z31" s="75" t="n">
        <x:f>SUM(Z27:Z30)</x:f>
        <x:v>669.2017644817522</x:v>
      </x:c>
      <x:c r="AA31" s="75" t="n">
        <x:f>SUM(AA27:AA30)</x:f>
        <x:v>736.093335304521</x:v>
      </x:c>
      <x:c r="AB31" s="75" t="n">
        <x:f>SUM(AB27:AB30)</x:f>
        <x:v>801.1159850343303</x:v>
      </x:c>
      <x:c r="AC31" s="75" t="n">
        <x:f>SUM(AC27:AC30)</x:f>
        <x:v>866.6383322946677</x:v>
      </x:c>
      <x:c r="AD31" s="75" t="n">
        <x:f>SUM(AD27:AD30)</x:f>
        <x:v>933.2552023928226</x:v>
      </x:c>
      <x:c r="AE31" s="75" t="n">
        <x:f>SUM(AE27:AE30)</x:f>
        <x:v>1001.5435344190957</x:v>
      </x:c>
      <x:c r="AF31" s="75" t="n">
        <x:f>SUM(AF27:AF30)</x:f>
        <x:v>1112.5645438425397</x:v>
      </x:c>
      <x:c r="AG31" s="75" t="n">
        <x:f>SUM(AG27:AG30)</x:f>
        <x:v>1213.6663035036631</x:v>
      </x:c>
      <x:c r="AH31" s="75" t="n">
        <x:f>SUM(AH27:AH30)</x:f>
        <x:v>1312.1234923133006</x:v>
      </x:c>
      <x:c r="AI31" s="75" t="n">
        <x:f>SUM(AI27:AI30)</x:f>
        <x:v>1411.9312572692247</x:v>
      </x:c>
      <x:c r="AJ31" s="75" t="n">
        <x:f>SUM(AJ27:AJ30)</x:f>
        <x:v>1513.967712340239</x:v>
      </x:c>
      <x:c r="AK31" s="75" t="n">
        <x:f>SUM(AK27:AK30)</x:f>
        <x:v>1619.0903526031539</x:v>
      </x:c>
    </x:row>
    <x:row r="32" ht="18" customHeight="1">
      <x:c r="A32" s="4" t="str">
        <x:v>Monthly charge events before refunds</x:v>
      </x:c>
      <x:c r="B32" s="58" t="n">
        <x:f>B31/(1-'Scenario Inputs'!$D$29)</x:f>
        <x:v>9.33333333333333</x:v>
      </x:c>
      <x:c r="C32" s="58" t="n">
        <x:f>C31/(1-'Scenario Inputs'!$D$29)</x:f>
        <x:v>16.635999999999996</x:v>
      </x:c>
      <x:c r="D32" s="58" t="n">
        <x:f>D31/(1-'Scenario Inputs'!$D$29)</x:f>
        <x:v>23.308090666666658</x:v>
      </x:c>
      <x:c r="E32" s="58" t="n">
        <x:f>E31/(1-'Scenario Inputs'!$D$29)</x:f>
        <x:v>33.45309276799998</x:v>
      </x:c>
      <x:c r="F32" s="58" t="n">
        <x:f>F31/(1-'Scenario Inputs'!$D$29)</x:f>
        <x:v>42.81356880804264</x:v>
      </x:c>
      <x:c r="G32" s="58" t="n">
        <x:f>G31/(1-'Scenario Inputs'!$D$29)</x:f>
        <x:v>52.07122049002693</x:v>
      </x:c>
      <x:c r="H32" s="58" t="n">
        <x:f>H31/(1-'Scenario Inputs'!$D$29)</x:f>
        <x:v>71.64614519373707</x:v>
      </x:c>
      <x:c r="I32" s="58" t="n">
        <x:f>I31/(1-'Scenario Inputs'!$D$29)</x:f>
        <x:v>88.57235609063942</x:v>
      </x:c>
      <x:c r="J32" s="58" t="n">
        <x:f>J31/(1-'Scenario Inputs'!$D$29)</x:f>
        <x:v>104.69329050617178</x:v>
      </x:c>
      <x:c r="K32" s="58" t="n">
        <x:f>K31/(1-'Scenario Inputs'!$D$29)</x:f>
        <x:v>121.0558955258055</x:v>
      </x:c>
      <x:c r="L32" s="58" t="n">
        <x:f>L31/(1-'Scenario Inputs'!$D$29)</x:f>
        <x:v>137.95324514802675</x:v>
      </x:c>
      <x:c r="M32" s="58" t="n">
        <x:f>M31/(1-'Scenario Inputs'!$D$29)</x:f>
        <x:v>155.6920693089658</x:v>
      </x:c>
      <x:c r="N32" s="58" t="n">
        <x:f>N31/(1-'Scenario Inputs'!$D$29)</x:f>
        <x:v>187.39731146724708</x:v>
      </x:c>
      <x:c r="O32" s="58" t="n">
        <x:f>O31/(1-'Scenario Inputs'!$D$29)</x:f>
        <x:v>215.53897344618693</x:v>
      </x:c>
      <x:c r="P32" s="58" t="n">
        <x:f>P31/(1-'Scenario Inputs'!$D$29)</x:f>
        <x:v>242.68453886127898</x:v>
      </x:c>
      <x:c r="Q32" s="58" t="n">
        <x:f>Q31/(1-'Scenario Inputs'!$D$29)</x:f>
        <x:v>270.25725636210836</x:v>
      </x:c>
      <x:c r="R32" s="58" t="n">
        <x:f>R31/(1-'Scenario Inputs'!$D$29)</x:f>
        <x:v>298.6423614591242</x:v>
      </x:c>
      <x:c r="S32" s="58" t="n">
        <x:f>S31/(1-'Scenario Inputs'!$D$29)</x:f>
        <x:v>328.23190860733064</x:v>
      </x:c>
      <x:c r="T32" s="58" t="n">
        <x:f>T31/(1-'Scenario Inputs'!$D$29)</x:f>
        <x:v>374.5817549305189</x:v>
      </x:c>
      <x:c r="U32" s="58" t="n">
        <x:f>U31/(1-'Scenario Inputs'!$D$29)</x:f>
        <x:v>418.2050150752637</x:v>
      </x:c>
      <x:c r="V32" s="58" t="n">
        <x:f>V31/(1-'Scenario Inputs'!$D$29)</x:f>
        <x:v>462.06000423859894</x:v>
      </x:c>
      <x:c r="W32" s="58" t="n">
        <x:f>W31/(1-'Scenario Inputs'!$D$29)</x:f>
        <x:v>507.90573003009024</x:v>
      </x:c>
      <x:c r="X32" s="58" t="n">
        <x:f>X31/(1-'Scenario Inputs'!$D$29)</x:f>
        <x:v>556.3671605695466</x:v>
      </x:c>
      <x:c r="Y32" s="58" t="n">
        <x:f>Y31/(1-'Scenario Inputs'!$D$29)</x:f>
        <x:v>608.0987027436719</x:v>
      </x:c>
      <x:c r="Z32" s="58" t="n">
        <x:f>Z31/(1-'Scenario Inputs'!$D$29)</x:f>
        <x:v>682.8589433487267</x:v>
      </x:c>
      <x:c r="AA32" s="58" t="n">
        <x:f>AA31/(1-'Scenario Inputs'!$D$29)</x:f>
        <x:v>751.1156482699195</x:v>
      </x:c>
      <x:c r="AB32" s="58" t="n">
        <x:f>AB31/(1-'Scenario Inputs'!$D$29)</x:f>
        <x:v>817.4652908513574</x:v>
      </x:c>
      <x:c r="AC32" s="58" t="n">
        <x:f>AC31/(1-'Scenario Inputs'!$D$29)</x:f>
        <x:v>884.32482887211</x:v>
      </x:c>
      <x:c r="AD32" s="58" t="n">
        <x:f>AD31/(1-'Scenario Inputs'!$D$29)</x:f>
        <x:v>952.3012269314517</x:v>
      </x:c>
      <x:c r="AE32" s="58" t="n">
        <x:f>AE31/(1-'Scenario Inputs'!$D$29)</x:f>
        <x:v>1021.9831983868324</x:v>
      </x:c>
      <x:c r="AF32" s="58" t="n">
        <x:f>AF31/(1-'Scenario Inputs'!$D$29)</x:f>
        <x:v>1135.2699426964691</x:v>
      </x:c>
      <x:c r="AG32" s="58" t="n">
        <x:f>AG31/(1-'Scenario Inputs'!$D$29)</x:f>
        <x:v>1238.4350035751665</x:v>
      </x:c>
      <x:c r="AH32" s="58" t="n">
        <x:f>AH31/(1-'Scenario Inputs'!$D$29)</x:f>
        <x:v>1338.901522768674</x:v>
      </x:c>
      <x:c r="AI32" s="58" t="n">
        <x:f>AI31/(1-'Scenario Inputs'!$D$29)</x:f>
        <x:v>1440.746180886964</x:v>
      </x:c>
      <x:c r="AJ32" s="58" t="n">
        <x:f>AJ31/(1-'Scenario Inputs'!$D$29)</x:f>
        <x:v>1544.8650125920806</x:v>
      </x:c>
      <x:c r="AK32" s="58" t="n">
        <x:f>AK31/(1-'Scenario Inputs'!$D$29)</x:f>
        <x:v>1652.133012860361</x:v>
      </x:c>
    </x:row>
    <x:row r="33" ht="18" customHeight="1">
      <x:c r="A33" s="4" t="str"/>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row>
    <x:row r="34" ht="18" customHeight="1">
      <x:c r="A34" s="74" t="str">
        <x:v>TOTAL ACTIVE PAID SUBSCRIBERS</x:v>
      </x:c>
      <x:c r="B34" s="75" t="n">
        <x:f>B24+B31</x:f>
        <x:v>45.73333333333333</x:v>
      </x:c>
      <x:c r="C34" s="75" t="n">
        <x:f>C24+C31</x:f>
        <x:v>93.00461333333334</x:v>
      </x:c>
      <x:c r="D34" s="75" t="n">
        <x:f>D24+D31</x:f>
        <x:v>143.7151288533333</x:v>
      </x:c>
      <x:c r="E34" s="75" t="n">
        <x:f>E24+E31</x:f>
        <x:v>215.56154424597332</x:v>
      </x:c>
      <x:c r="F34" s="75" t="n">
        <x:f>F24+F31</x:f>
        <x:v>292.0047710985484</x:v>
      </x:c>
      <x:c r="G34" s="75" t="n">
        <x:f>G24+G31</x:f>
        <x:v>374.5177241302263</x:v>
      </x:c>
      <x:c r="H34" s="75" t="n">
        <x:f>H24+H31</x:f>
        <x:v>513.4376728806956</x:v>
      </x:c>
      <x:c r="I34" s="75" t="n">
        <x:f>I24+I31</x:f>
        <x:v>657.9223604816182</x:v>
      </x:c>
      <x:c r="J34" s="75" t="n">
        <x:f>J24+J31</x:f>
        <x:v>811.0024272690919</x:v>
      </x:c>
      <x:c r="K34" s="75" t="n">
        <x:f>K24+K31</x:f>
        <x:v>975.1115639076228</x:v>
      </x:c>
      <x:c r="L34" s="75" t="n">
        <x:f>L24+L31</x:f>
        <x:v>1152.1558178145829</x:v>
      </x:c>
      <x:c r="M34" s="75" t="n">
        <x:f>M24+M31</x:f>
        <x:v>1344.2974444610638</x:v>
      </x:c>
      <x:c r="N34" s="75" t="n">
        <x:f>N24+N31</x:f>
        <x:v>1596.2596690090704</x:v>
      </x:c>
      <x:c r="O34" s="75" t="n">
        <x:f>O24+O31</x:f>
        <x:v>1857.4640515947237</x:v>
      </x:c>
      <x:c r="P34" s="75" t="n">
        <x:f>P24+P31</x:f>
        <x:v>2131.8956975948163</x:v>
      </x:c>
      <x:c r="Q34" s="75" t="n">
        <x:f>Q24+Q31</x:f>
        <x:v>2415.281497340915</x:v>
      </x:c>
      <x:c r="R34" s="75" t="n">
        <x:f>R24+R31</x:f>
        <x:v>2717.125780533566</x:v>
      </x:c>
      <x:c r="S34" s="75" t="n">
        <x:f>S24+S31</x:f>
        <x:v>3039.8422598707566</x:v>
      </x:c>
      <x:c r="T34" s="75" t="n">
        <x:f>T24+T31</x:f>
        <x:v>3438.416356694649</x:v>
      </x:c>
      <x:c r="U34" s="75" t="n">
        <x:f>U24+U31</x:f>
        <x:v>3858.784949090099</x:v>
      </x:c>
      <x:c r="V34" s="75" t="n">
        <x:f>V24+V31</x:f>
        <x:v>4306.64632073092</x:v>
      </x:c>
      <x:c r="W34" s="75" t="n">
        <x:f>W24+W31</x:f>
        <x:v>4786.838802345525</x:v>
      </x:c>
      <x:c r="X34" s="75" t="n">
        <x:f>X24+X31</x:f>
        <x:v>5303.4394995190205</x:v>
      </x:c>
      <x:c r="Y34" s="75" t="n">
        <x:f>Y24+Y31</x:f>
        <x:v>5860.942976386133</x:v>
      </x:c>
      <x:c r="Z34" s="75" t="n">
        <x:f>Z24+Z31</x:f>
        <x:v>6523.832177377912</x:v>
      </x:c>
      <x:c r="AA34" s="75" t="n">
        <x:f>AA24+AA31</x:f>
        <x:v>7208.395690588057</x:v>
      </x:c>
      <x:c r="AB34" s="75" t="n">
        <x:f>AB24+AB31</x:f>
        <x:v>7921.013507979003</x:v>
      </x:c>
      <x:c r="AC34" s="75" t="n">
        <x:f>AC24+AC31</x:f>
        <x:v>8663.94258999255</x:v>
      </x:c>
      <x:c r="AD34" s="75" t="n">
        <x:f>AD24+AD31</x:f>
        <x:v>9441.956997868956</x:v>
      </x:c>
      <x:c r="AE34" s="75" t="n">
        <x:f>AE24+AE31</x:f>
        <x:v>10257.830812007165</x:v>
      </x:c>
      <x:c r="AF34" s="75" t="n">
        <x:f>AF24+AF31</x:f>
        <x:v>11277.440707298098</x:v>
      </x:c>
      <x:c r="AG34" s="75" t="n">
        <x:f>AG24+AG31</x:f>
        <x:v>12328.048417484417</x:v>
      </x:c>
      <x:c r="AH34" s="75" t="n">
        <x:f>AH24+AH31</x:f>
        <x:v>13419.46147004293</x:v>
      </x:c>
      <x:c r="AI34" s="75" t="n">
        <x:f>AI24+AI31</x:f>
        <x:v>14558.31888308677</x:v>
      </x:c>
      <x:c r="AJ34" s="75" t="n">
        <x:f>AJ24+AJ31</x:f>
        <x:v>15748.25114191163</x:v>
      </x:c>
      <x:c r="AK34" s="75" t="n">
        <x:f>AK24+AK31</x:f>
        <x:v>16992.972458785694</x:v>
      </x:c>
    </x:row>
    <x:row r="35" ht="18" customHeight="1">
      <x:c r="A35" s="4" t="str">
        <x:v>Estimated active free users</x:v>
      </x:c>
      <x:c r="B35" s="58" t="n">
        <x:f>MAX('Commercial Inputs'!$B$27,B34*'Commercial Inputs'!$B$26)</x:f>
        <x:v>914.6666666666665</x:v>
      </x:c>
      <x:c r="C35" s="58" t="n">
        <x:f>MAX('Commercial Inputs'!$B$27,C34*'Commercial Inputs'!$B$26)</x:f>
        <x:v>1860.0922666666668</x:v>
      </x:c>
      <x:c r="D35" s="58" t="n">
        <x:f>MAX('Commercial Inputs'!$B$27,D34*'Commercial Inputs'!$B$26)</x:f>
        <x:v>2874.3025770666663</x:v>
      </x:c>
      <x:c r="E35" s="58" t="n">
        <x:f>MAX('Commercial Inputs'!$B$27,E34*'Commercial Inputs'!$B$26)</x:f>
        <x:v>4311.230884919467</x:v>
      </x:c>
      <x:c r="F35" s="58" t="n">
        <x:f>MAX('Commercial Inputs'!$B$27,F34*'Commercial Inputs'!$B$26)</x:f>
        <x:v>5840.095421970968</x:v>
      </x:c>
      <x:c r="G35" s="58" t="n">
        <x:f>MAX('Commercial Inputs'!$B$27,G34*'Commercial Inputs'!$B$26)</x:f>
        <x:v>7490.354482604526</x:v>
      </x:c>
      <x:c r="H35" s="58" t="n">
        <x:f>MAX('Commercial Inputs'!$B$27,H34*'Commercial Inputs'!$B$26)</x:f>
        <x:v>10268.753457613911</x:v>
      </x:c>
      <x:c r="I35" s="58" t="n">
        <x:f>MAX('Commercial Inputs'!$B$27,I34*'Commercial Inputs'!$B$26)</x:f>
        <x:v>13158.447209632363</x:v>
      </x:c>
      <x:c r="J35" s="58" t="n">
        <x:f>MAX('Commercial Inputs'!$B$27,J34*'Commercial Inputs'!$B$26)</x:f>
        <x:v>16220.048545381836</x:v>
      </x:c>
      <x:c r="K35" s="58" t="n">
        <x:f>MAX('Commercial Inputs'!$B$27,K34*'Commercial Inputs'!$B$26)</x:f>
        <x:v>19502.231278152456</x:v>
      </x:c>
      <x:c r="L35" s="58" t="n">
        <x:f>MAX('Commercial Inputs'!$B$27,L34*'Commercial Inputs'!$B$26)</x:f>
        <x:v>23043.116356291655</x:v>
      </x:c>
      <x:c r="M35" s="58" t="n">
        <x:f>MAX('Commercial Inputs'!$B$27,M34*'Commercial Inputs'!$B$26)</x:f>
        <x:v>26885.948889221276</x:v>
      </x:c>
      <x:c r="N35" s="58" t="n">
        <x:f>MAX('Commercial Inputs'!$B$27,N34*'Commercial Inputs'!$B$26)</x:f>
        <x:v>31925.19338018141</x:v>
      </x:c>
      <x:c r="O35" s="58" t="n">
        <x:f>MAX('Commercial Inputs'!$B$27,O34*'Commercial Inputs'!$B$26)</x:f>
        <x:v>37149.281031894476</x:v>
      </x:c>
      <x:c r="P35" s="58" t="n">
        <x:f>MAX('Commercial Inputs'!$B$27,P34*'Commercial Inputs'!$B$26)</x:f>
        <x:v>42637.91395189633</x:v>
      </x:c>
      <x:c r="Q35" s="58" t="n">
        <x:f>MAX('Commercial Inputs'!$B$27,Q34*'Commercial Inputs'!$B$26)</x:f>
        <x:v>48305.6299468183</x:v>
      </x:c>
      <x:c r="R35" s="58" t="n">
        <x:f>MAX('Commercial Inputs'!$B$27,R34*'Commercial Inputs'!$B$26)</x:f>
        <x:v>54342.51561067132</x:v>
      </x:c>
      <x:c r="S35" s="58" t="n">
        <x:f>MAX('Commercial Inputs'!$B$27,S34*'Commercial Inputs'!$B$26)</x:f>
        <x:v>60796.84519741513</x:v>
      </x:c>
      <x:c r="T35" s="58" t="n">
        <x:f>MAX('Commercial Inputs'!$B$27,T34*'Commercial Inputs'!$B$26)</x:f>
        <x:v>68768.32713389298</x:v>
      </x:c>
      <x:c r="U35" s="58" t="n">
        <x:f>MAX('Commercial Inputs'!$B$27,U34*'Commercial Inputs'!$B$26)</x:f>
        <x:v>77175.69898180198</x:v>
      </x:c>
      <x:c r="V35" s="58" t="n">
        <x:f>MAX('Commercial Inputs'!$B$27,V34*'Commercial Inputs'!$B$26)</x:f>
        <x:v>86132.9264146184</x:v>
      </x:c>
      <x:c r="W35" s="58" t="n">
        <x:f>MAX('Commercial Inputs'!$B$27,W34*'Commercial Inputs'!$B$26)</x:f>
        <x:v>95736.77604691051</x:v>
      </x:c>
      <x:c r="X35" s="58" t="n">
        <x:f>MAX('Commercial Inputs'!$B$27,X34*'Commercial Inputs'!$B$26)</x:f>
        <x:v>106068.7899903804</x:v>
      </x:c>
      <x:c r="Y35" s="58" t="n">
        <x:f>MAX('Commercial Inputs'!$B$27,Y34*'Commercial Inputs'!$B$26)</x:f>
        <x:v>117218.85952772266</x:v>
      </x:c>
      <x:c r="Z35" s="58" t="n">
        <x:f>MAX('Commercial Inputs'!$B$27,Z34*'Commercial Inputs'!$B$26)</x:f>
        <x:v>130476.64354755823</x:v>
      </x:c>
      <x:c r="AA35" s="58" t="n">
        <x:f>MAX('Commercial Inputs'!$B$27,AA34*'Commercial Inputs'!$B$26)</x:f>
        <x:v>144167.91381176113</x:v>
      </x:c>
      <x:c r="AB35" s="58" t="n">
        <x:f>MAX('Commercial Inputs'!$B$27,AB34*'Commercial Inputs'!$B$26)</x:f>
        <x:v>158420.27015958008</x:v>
      </x:c>
      <x:c r="AC35" s="58" t="n">
        <x:f>MAX('Commercial Inputs'!$B$27,AC34*'Commercial Inputs'!$B$26)</x:f>
        <x:v>173278.851799851</x:v>
      </x:c>
      <x:c r="AD35" s="58" t="n">
        <x:f>MAX('Commercial Inputs'!$B$27,AD34*'Commercial Inputs'!$B$26)</x:f>
        <x:v>188839.1399573791</x:v>
      </x:c>
      <x:c r="AE35" s="58" t="n">
        <x:f>MAX('Commercial Inputs'!$B$27,AE34*'Commercial Inputs'!$B$26)</x:f>
        <x:v>205156.6162401433</x:v>
      </x:c>
      <x:c r="AF35" s="58" t="n">
        <x:f>MAX('Commercial Inputs'!$B$27,AF34*'Commercial Inputs'!$B$26)</x:f>
        <x:v>225548.81414596195</x:v>
      </x:c>
      <x:c r="AG35" s="58" t="n">
        <x:f>MAX('Commercial Inputs'!$B$27,AG34*'Commercial Inputs'!$B$26)</x:f>
        <x:v>246560.96834968834</x:v>
      </x:c>
      <x:c r="AH35" s="58" t="n">
        <x:f>MAX('Commercial Inputs'!$B$27,AH34*'Commercial Inputs'!$B$26)</x:f>
        <x:v>268389.22940085863</x:v>
      </x:c>
      <x:c r="AI35" s="58" t="n">
        <x:f>MAX('Commercial Inputs'!$B$27,AI34*'Commercial Inputs'!$B$26)</x:f>
        <x:v>291166.3776617354</x:v>
      </x:c>
      <x:c r="AJ35" s="58" t="n">
        <x:f>MAX('Commercial Inputs'!$B$27,AJ34*'Commercial Inputs'!$B$26)</x:f>
        <x:v>314965.02283823263</x:v>
      </x:c>
      <x:c r="AK35" s="58" t="n">
        <x:f>MAX('Commercial Inputs'!$B$27,AK34*'Commercial Inputs'!$B$26)</x:f>
        <x:v>339859.4491757139</x:v>
      </x:c>
    </x:row>
    <x:row r="36" ht="18" customHeight="1">
      <x:c r="A36" s="4" t="str">
        <x:v>Earned annual-plan revenue (INR)</x:v>
      </x:c>
      <x:c r="B36" s="58" t="n">
        <x:f>B24*$B$84/'Commercial Inputs'!$B$46</x:f>
        <x:v>9521.198120527308</x:v>
      </x:c>
      <x:c r="C36" s="58" t="n">
        <x:f>C24*$B$84/'Commercial Inputs'!$B$46</x:f>
        <x:v>19960.511774105467</x:v>
      </x:c>
      <x:c r="D36" s="58" t="n">
        <x:f>D24*$B$84/'Commercial Inputs'!$B$46</x:f>
        <x:v>31455.658290692096</x:v>
      </x:c>
      <x:c r="E36" s="58" t="n">
        <x:f>E24*$B$84/'Commercial Inputs'!$B$46</x:f>
        <x:v>47565.44049992679</x:v>
      </x:c>
      <x:c r="F36" s="58" t="n">
        <x:f>F24*$B$84/'Commercial Inputs'!$B$46</x:f>
        <x:v>65071.5616704902</x:v>
      </x:c>
      <x:c r="G36" s="58" t="n">
        <x:f>G24*$B$84/'Commercial Inputs'!$B$46</x:f>
        <x:v>84183.4726465816</x:v>
      </x:c>
      <x:c r="H36" s="58" t="n">
        <x:f>H24*$B$84/'Commercial Inputs'!$B$46</x:f>
        <x:v>115343.32559959522</x:v>
      </x:c>
      <x:c r="I36" s="58" t="n">
        <x:f>I24*$B$84/'Commercial Inputs'!$B$46</x:f>
        <x:v>148626.83557041961</x:v>
      </x:c>
      <x:c r="J36" s="58" t="n">
        <x:f>J24*$B$84/'Commercial Inputs'!$B$46</x:f>
        <x:v>184352.55111172644</x:v>
      </x:c>
      <x:c r="K36" s="58" t="n">
        <x:f>K24*$B$84/'Commercial Inputs'!$B$46</x:f>
        <x:v>222886.80305908804</x:v>
      </x:c>
      <x:c r="L36" s="58" t="n">
        <x:f>L24*$B$84/'Commercial Inputs'!$B$46</x:f>
        <x:v>264650.8718734126</x:v>
      </x:c>
      <x:c r="M36" s="58" t="n">
        <x:f>M24*$B$84/'Commercial Inputs'!$B$46</x:f>
        <x:v>310129.2300847446</x:v>
      </x:c>
      <x:c r="N36" s="58" t="n">
        <x:f>N24*$B$84/'Commercial Inputs'!$B$46</x:f>
        <x:v>367613.22620181</x:v>
      </x:c>
      <x:c r="O36" s="58" t="n">
        <x:f>O24*$B$84/'Commercial Inputs'!$B$46</x:f>
        <x:v>428411.1995305766</x:v>
      </x:c>
      <x:c r="P36" s="58" t="n">
        <x:f>P24*$B$84/'Commercial Inputs'!$B$46</x:f>
        <x:v>492905.43053895904</x:v>
      </x:c>
      <x:c r="Q36" s="58" t="n">
        <x:f>Q24*$B$84/'Commercial Inputs'!$B$46</x:f>
        <x:v>559620.9246351932</x:v>
      </x:c>
      <x:c r="R36" s="58" t="n">
        <x:f>R24*$B$84/'Commercial Inputs'!$B$46</x:f>
        <x:v>630932.8110248921</x:v>
      </x:c>
      <x:c r="S36" s="58" t="n">
        <x:f>S24*$B$84/'Commercial Inputs'!$B$46</x:f>
        <x:v>707369.2401788896</x:v>
      </x:c>
      <x:c r="T36" s="58" t="n">
        <x:f>T24*$B$84/'Commercial Inputs'!$B$46</x:f>
        <x:v>799272.2010006489</x:v>
      </x:c>
      <x:c r="U36" s="58" t="n">
        <x:f>U24*$B$84/'Commercial Inputs'!$B$46</x:f>
        <x:v>897542.2592202063</x:v>
      </x:c>
      <x:c r="V36" s="58" t="n">
        <x:f>V24*$B$84/'Commercial Inputs'!$B$46</x:f>
        <x:v>1002907.8527971093</x:v>
      </x:c>
      <x:c r="W36" s="58" t="n">
        <x:f>W24*$B$84/'Commercial Inputs'!$B$46</x:f>
        <x:v>1116179.4901868226</x:v>
      </x:c>
      <x:c r="X36" s="58" t="n">
        <x:f>X24*$B$84/'Commercial Inputs'!$B$46</x:f>
        <x:v>1238258.7974913537</x:v>
      </x:c>
      <x:c r="Y36" s="58" t="n">
        <x:f>Y24*$B$84/'Commercial Inputs'!$B$46</x:f>
        <x:v>1370148.5310716217</x:v>
      </x:c>
      <x:c r="Z36" s="58" t="n">
        <x:f>Z24*$B$84/'Commercial Inputs'!$B$46</x:f>
        <x:v>1523590.4541813666</x:v>
      </x:c>
      <x:c r="AA36" s="58" t="n">
        <x:f>AA24*$B$84/'Commercial Inputs'!$B$46</x:f>
        <x:v>1684331.4418898525</x:v>
      </x:c>
      <x:c r="AB36" s="58" t="n">
        <x:f>AB24*$B$84/'Commercial Inputs'!$B$46</x:f>
        <x:v>1852859.5548599085</x:v>
      </x:c>
      <x:c r="AC36" s="58" t="n">
        <x:f>AC24*$B$84/'Commercial Inputs'!$B$46</x:f>
        <x:v>2029145.7355203896</x:v>
      </x:c>
      <x:c r="AD36" s="58" t="n">
        <x:f>AD24*$B$84/'Commercial Inputs'!$B$46</x:f>
        <x:v>2214277.574978536</x:v>
      </x:c>
      <x:c r="AE36" s="58" t="n">
        <x:f>AE24*$B$84/'Commercial Inputs'!$B$46</x:f>
        <x:v>2408826.8503215844</x:v>
      </x:c>
      <x:c r="AF36" s="58" t="n">
        <x:f>AF24*$B$84/'Commercial Inputs'!$B$46</x:f>
        <x:v>2645275.1409316477</x:v>
      </x:c>
      <x:c r="AG36" s="58" t="n">
        <x:f>AG24*$B$84/'Commercial Inputs'!$B$46</x:f>
        <x:v>2892371.5587041513</x:v>
      </x:c>
      <x:c r="AH36" s="58" t="n">
        <x:f>AH24*$B$84/'Commercial Inputs'!$B$46</x:f>
        <x:v>3150775.2441184837</x:v>
      </x:c>
      <x:c r="AI36" s="58" t="n">
        <x:f>AI24*$B$84/'Commercial Inputs'!$B$46</x:f>
        <x:v>3421174.229810244</x:v>
      </x:c>
      <x:c r="AJ36" s="58" t="n">
        <x:f>AJ24*$B$84/'Commercial Inputs'!$B$46</x:f>
        <x:v>3704284.7841660394</x:v>
      </x:c>
      <x:c r="AK36" s="58" t="n">
        <x:f>AK24*$B$84/'Commercial Inputs'!$B$46</x:f>
        <x:v>4000850.330209374</x:v>
      </x:c>
    </x:row>
    <x:row r="37" ht="18" customHeight="1">
      <x:c r="A37" s="4" t="str">
        <x:v>Earned monthly-plan revenue (INR)</x:v>
      </x:c>
      <x:c r="B37" s="58" t="n">
        <x:f>B31*$B$85</x:f>
        <x:v>4180.751423728812</x:v>
      </x:c>
      <x:c r="C37" s="58" t="n">
        <x:f>C31*$B$85</x:f>
        <x:v>7451.890787694913</x:v>
      </x:c>
      <x:c r="D37" s="58" t="n">
        <x:f>D31*$B$85</x:f>
        <x:v>10440.571418471454</x:v>
      </x:c>
      <x:c r="E37" s="58" t="n">
        <x:f>E31*$B$85</x:f>
        <x:v>14984.899844780146</x:v>
      </x:c>
      <x:c r="F37" s="58" t="n">
        <x:f>F31*$B$85</x:f>
        <x:v>19177.809508835977</x:v>
      </x:c>
      <x:c r="G37" s="58" t="n">
        <x:f>G31*$B$85</x:f>
        <x:v>23324.66027131897</x:v>
      </x:c>
      <x:c r="H37" s="58" t="n">
        <x:f>H31*$B$85</x:f>
        <x:v>32093.0060917926</x:v>
      </x:c>
      <x:c r="I37" s="58" t="n">
        <x:f>I31*$B$85</x:f>
        <x:v>39674.89326738817</x:v>
      </x:c>
      <x:c r="J37" s="58" t="n">
        <x:f>J31*$B$85</x:f>
        <x:v>46896.06678627129</x:v>
      </x:c>
      <x:c r="K37" s="58" t="n">
        <x:f>K31*$B$85</x:f>
        <x:v>54225.49366824405</x:v>
      </x:c>
      <x:c r="L37" s="58" t="n">
        <x:f>L31*$B$85</x:f>
        <x:v>61794.452792209595</x:v>
      </x:c>
      <x:c r="M37" s="58" t="n">
        <x:f>M31*$B$85</x:f>
        <x:v>69740.34004572257</x:v>
      </x:c>
      <x:c r="N37" s="58" t="n">
        <x:f>N31*$B$85</x:f>
        <x:v>83942.31179139056</x:v>
      </x:c>
      <x:c r="O37" s="58" t="n">
        <x:f>O31*$B$85</x:f>
        <x:v>96548.02179687782</x:v>
      </x:c>
      <x:c r="P37" s="58" t="n">
        <x:f>P31*$B$85</x:f>
        <x:v>108707.54264584958</x:v>
      </x:c>
      <x:c r="Q37" s="58" t="n">
        <x:f>Q31*$B$85</x:f>
        <x:v>121058.40099738509</x:v>
      </x:c>
      <x:c r="R37" s="58" t="n">
        <x:f>R31*$B$85</x:f>
        <x:v>133773.1583417109</x:v>
      </x:c>
      <x:c r="S37" s="58" t="n">
        <x:f>S31*$B$85</x:f>
        <x:v>147027.43063107037</x:v>
      </x:c>
      <x:c r="T37" s="58" t="n">
        <x:f>T31*$B$85</x:f>
        <x:v>167789.27198877904</x:v>
      </x:c>
      <x:c r="U37" s="58" t="n">
        <x:f>U31*$B$85</x:f>
        <x:v>187329.7727342613</x:v>
      </x:c>
      <x:c r="V37" s="58" t="n">
        <x:f>V31*$B$85</x:f>
        <x:v>206974.07363235689</x:v>
      </x:c>
      <x:c r="W37" s="58" t="n">
        <x:f>W31*$B$85</x:f>
        <x:v>227510.1004224988</x:v>
      </x:c>
      <x:c r="X37" s="58" t="n">
        <x:f>X31*$B$85</x:f>
        <x:v>249217.7998571882</x:v>
      </x:c>
      <x:c r="Y37" s="58" t="n">
        <x:f>Y31*$B$85</x:f>
        <x:v>272390.3054210626</x:v>
      </x:c>
      <x:c r="Z37" s="58" t="n">
        <x:f>Z31*$B$85</x:f>
        <x:v>305878.23210119386</x:v>
      </x:c>
      <x:c r="AA37" s="58" t="n">
        <x:f>AA31*$B$85</x:f>
        <x:v>336452.98027387034</x:v>
      </x:c>
      <x:c r="AB37" s="58" t="n">
        <x:f>AB31*$B$85</x:f>
        <x:v>366173.48341882514</x:v>
      </x:c>
      <x:c r="AC37" s="58" t="n">
        <x:f>AC31*$B$85</x:f>
        <x:v>396122.3879299086</x:v>
      </x:c>
      <x:c r="AD37" s="58" t="n">
        <x:f>AD31*$B$85</x:f>
        <x:v>426571.576104896</x:v>
      </x:c>
      <x:c r="AE37" s="58" t="n">
        <x:f>AE31*$B$85</x:f>
        <x:v>457784.7548231439</x:v>
      </x:c>
      <x:c r="AF37" s="58" t="n">
        <x:f>AF31*$B$85</x:f>
        <x:v>508530.15313337056</x:v>
      </x:c>
      <x:c r="AG37" s="58" t="n">
        <x:f>AG31*$B$85</x:f>
        <x:v>554741.6683277653</x:v>
      </x:c>
      <x:c r="AH37" s="58" t="n">
        <x:f>AH31*$B$85</x:f>
        <x:v>599744.4050944083</x:v>
      </x:c>
      <x:c r="AI37" s="58" t="n">
        <x:f>AI31*$B$85</x:f>
        <x:v>645364.4621758957</x:v>
      </x:c>
      <x:c r="AJ37" s="58" t="n">
        <x:f>AJ31*$B$85</x:f>
        <x:v>692003.2072353399</x:v>
      </x:c>
      <x:c r="AK37" s="58" t="n">
        <x:f>AK31*$B$85</x:f>
        <x:v>740052.5834684281</x:v>
      </x:c>
    </x:row>
    <x:row r="38" ht="18" customHeight="1">
      <x:c r="A38" s="74" t="str">
        <x:v>EARNED REVENUE, NET OF SALES TAX / REFUNDS</x:v>
      </x:c>
      <x:c r="B38" s="75" t="n">
        <x:f>SUM(B36:B37)</x:f>
        <x:v>13701.94954425612</x:v>
      </x:c>
      <x:c r="C38" s="75" t="n">
        <x:f>SUM(C36:C37)</x:f>
        <x:v>27412.40256180038</x:v>
      </x:c>
      <x:c r="D38" s="75" t="n">
        <x:f>SUM(D36:D37)</x:f>
        <x:v>41896.22970916355</x:v>
      </x:c>
      <x:c r="E38" s="75" t="n">
        <x:f>SUM(E36:E37)</x:f>
        <x:v>62550.34034470694</x:v>
      </x:c>
      <x:c r="F38" s="75" t="n">
        <x:f>SUM(F36:F37)</x:f>
        <x:v>84249.37117932618</x:v>
      </x:c>
      <x:c r="G38" s="75" t="n">
        <x:f>SUM(G36:G37)</x:f>
        <x:v>107508.13291790057</x:v>
      </x:c>
      <x:c r="H38" s="75" t="n">
        <x:f>SUM(H36:H37)</x:f>
        <x:v>147436.3316913878</x:v>
      </x:c>
      <x:c r="I38" s="75" t="n">
        <x:f>SUM(I36:I37)</x:f>
        <x:v>188301.72883780778</x:v>
      </x:c>
      <x:c r="J38" s="75" t="n">
        <x:f>SUM(J36:J37)</x:f>
        <x:v>231248.61789799773</x:v>
      </x:c>
      <x:c r="K38" s="75" t="n">
        <x:f>SUM(K36:K37)</x:f>
        <x:v>277112.2967273321</x:v>
      </x:c>
      <x:c r="L38" s="75" t="n">
        <x:f>SUM(L36:L37)</x:f>
        <x:v>326445.32466562215</x:v>
      </x:c>
      <x:c r="M38" s="75" t="n">
        <x:f>SUM(M36:M37)</x:f>
        <x:v>379869.5701304671</x:v>
      </x:c>
      <x:c r="N38" s="75" t="n">
        <x:f>SUM(N36:N37)</x:f>
        <x:v>451555.5379932006</x:v>
      </x:c>
      <x:c r="O38" s="75" t="n">
        <x:f>SUM(O36:O37)</x:f>
        <x:v>524959.2213274544</x:v>
      </x:c>
      <x:c r="P38" s="75" t="n">
        <x:f>SUM(P36:P37)</x:f>
        <x:v>601612.9731848086</x:v>
      </x:c>
      <x:c r="Q38" s="75" t="n">
        <x:f>SUM(Q36:Q37)</x:f>
        <x:v>680679.3256325782</x:v>
      </x:c>
      <x:c r="R38" s="75" t="n">
        <x:f>SUM(R36:R37)</x:f>
        <x:v>764705.9693666031</x:v>
      </x:c>
      <x:c r="S38" s="75" t="n">
        <x:f>SUM(S36:S37)</x:f>
        <x:v>854396.67080996</x:v>
      </x:c>
      <x:c r="T38" s="75" t="n">
        <x:f>SUM(T36:T37)</x:f>
        <x:v>967061.472989428</x:v>
      </x:c>
      <x:c r="U38" s="75" t="n">
        <x:f>SUM(U36:U37)</x:f>
        <x:v>1084872.0319544675</x:v>
      </x:c>
      <x:c r="V38" s="75" t="n">
        <x:f>SUM(V36:V37)</x:f>
        <x:v>1209881.926429466</x:v>
      </x:c>
      <x:c r="W38" s="75" t="n">
        <x:f>SUM(W36:W37)</x:f>
        <x:v>1343689.5906093214</x:v>
      </x:c>
      <x:c r="X38" s="75" t="n">
        <x:f>SUM(X36:X37)</x:f>
        <x:v>1487476.597348542</x:v>
      </x:c>
      <x:c r="Y38" s="75" t="n">
        <x:f>SUM(Y36:Y37)</x:f>
        <x:v>1642538.8364926842</x:v>
      </x:c>
      <x:c r="Z38" s="75" t="n">
        <x:f>SUM(Z36:Z37)</x:f>
        <x:v>1829468.6862825605</x:v>
      </x:c>
      <x:c r="AA38" s="75" t="n">
        <x:f>SUM(AA36:AA37)</x:f>
        <x:v>2020784.4221637228</x:v>
      </x:c>
      <x:c r="AB38" s="75" t="n">
        <x:f>SUM(AB36:AB37)</x:f>
        <x:v>2219033.038278734</x:v>
      </x:c>
      <x:c r="AC38" s="75" t="n">
        <x:f>SUM(AC36:AC37)</x:f>
        <x:v>2425268.1234502983</x:v>
      </x:c>
      <x:c r="AD38" s="75" t="n">
        <x:f>SUM(AD36:AD37)</x:f>
        <x:v>2640849.151083432</x:v>
      </x:c>
      <x:c r="AE38" s="75" t="n">
        <x:f>SUM(AE36:AE37)</x:f>
        <x:v>2866611.6051447284</x:v>
      </x:c>
      <x:c r="AF38" s="75" t="n">
        <x:f>SUM(AF36:AF37)</x:f>
        <x:v>3153805.294065018</x:v>
      </x:c>
      <x:c r="AG38" s="75" t="n">
        <x:f>SUM(AG36:AG37)</x:f>
        <x:v>3447113.2270319164</x:v>
      </x:c>
      <x:c r="AH38" s="75" t="n">
        <x:f>SUM(AH36:AH37)</x:f>
        <x:v>3750519.649212892</x:v>
      </x:c>
      <x:c r="AI38" s="75" t="n">
        <x:f>SUM(AI36:AI37)</x:f>
        <x:v>4066538.69198614</x:v>
      </x:c>
      <x:c r="AJ38" s="75" t="n">
        <x:f>SUM(AJ36:AJ37)</x:f>
        <x:v>4396287.991401379</x:v>
      </x:c>
      <x:c r="AK38" s="75" t="n">
        <x:f>SUM(AK36:AK37)</x:f>
        <x:v>4740902.913677802</x:v>
      </x:c>
    </x:row>
    <x:row r="39" ht="18" customHeight="1">
      <x:c r="A39" s="4" t="str">
        <x:v>Annual gross billings, ex-tax (INR)</x:v>
      </x:c>
      <x:c r="B39" s="58" t="n">
        <x:f>B25*$B$84</x:f>
        <x:v>116586.09943502827</x:v>
      </x:c>
      <x:c r="C39" s="58" t="n">
        <x:f>C25*$B$84</x:f>
        <x:v>127828.33045197741</x:v>
      </x:c>
      <x:c r="D39" s="58" t="n">
        <x:f>D25*$B$84</x:f>
        <x:v>140756.89612146892</x:v>
      </x:c>
      <x:c r="E39" s="58" t="n">
        <x:f>E25*$B$84</x:f>
        <x:v>197262.6392967514</x:v>
      </x:c>
      <x:c r="F39" s="58" t="n">
        <x:f>F25*$B$84</x:f>
        <x:v>214360.6673946539</x:v>
      </x:c>
      <x:c r="G39" s="58" t="n">
        <x:f>G25*$B$84</x:f>
        <x:v>234023.39970724183</x:v>
      </x:c>
      <x:c r="H39" s="58" t="n">
        <x:f>H25*$B$84</x:f>
        <x:v>381549.21983281965</x:v>
      </x:c>
      <x:c r="I39" s="58" t="n">
        <x:f>I25*$B$84</x:f>
        <x:v>407553.18331621715</x:v>
      </x:c>
      <x:c r="J39" s="58" t="n">
        <x:f>J25*$B$84</x:f>
        <x:v>437457.74132212426</x:v>
      </x:c>
      <x:c r="K39" s="58" t="n">
        <x:f>K25*$B$84</x:f>
        <x:v>471847.9830289175</x:v>
      </x:c>
      <x:c r="L39" s="58" t="n">
        <x:f>L25*$B$84</x:f>
        <x:v>511396.7609917296</x:v>
      </x:c>
      <x:c r="M39" s="58" t="n">
        <x:f>M25*$B$84</x:f>
        <x:v>556877.8556489637</x:v>
      </x:c>
      <x:c r="N39" s="58" t="n">
        <x:f>N25*$B$84</x:f>
        <x:v>820471.7661746052</x:v>
      </x:c>
      <x:c r="O39" s="58" t="n">
        <x:f>O25*$B$84</x:f>
        <x:v>872293.3099878934</x:v>
      </x:c>
      <x:c r="P39" s="58" t="n">
        <x:f>P25*$B$84</x:f>
        <x:v>930482.1737751311</x:v>
      </x:c>
      <x:c r="Q39" s="58" t="n">
        <x:f>Q25*$B$84</x:f>
        <x:v>1014187.0568016614</x:v>
      </x:c>
      <x:c r="R39" s="58" t="n">
        <x:f>R25*$B$84</x:f>
        <x:v>1087567.4395134149</x:v>
      </x:c>
      <x:c r="S39" s="58" t="n">
        <x:f>S25*$B$84</x:f>
        <x:v>1169979.6750623137</x:v>
      </x:c>
      <x:c r="T39" s="58" t="n">
        <x:f>T25*$B$84</x:f>
        <x:v>1506891.5972421148</x:v>
      </x:c>
      <x:c r="U39" s="58" t="n">
        <x:f>U25*$B$84</x:f>
        <x:v>1610860.0186577386</x:v>
      </x:c>
      <x:c r="V39" s="58" t="n">
        <x:f>V25*$B$84</x:f>
        <x:v>1727648.6830801223</x:v>
      </x:c>
      <x:c r="W39" s="58" t="n">
        <x:f>W25*$B$84</x:f>
        <x:v>1858847.6245356111</x:v>
      </x:c>
      <x:c r="X39" s="58" t="n">
        <x:f>X25*$B$84</x:f>
        <x:v>2006245.421863538</x:v>
      </x:c>
      <x:c r="Y39" s="58" t="n">
        <x:f>Y25*$B$84</x:f>
        <x:v>2171854.1852032654</x:v>
      </x:c>
      <x:c r="Z39" s="58" t="n">
        <x:f>Z25*$B$84</x:f>
        <x:v>2699352.45731434</x:v>
      </x:c>
      <x:c r="AA39" s="58" t="n">
        <x:f>AA25*$B$84</x:f>
        <x:v>2840550.302336704</x:v>
      </x:c>
      <x:c r="AB39" s="58" t="n">
        <x:f>AB25*$B$84</x:f>
        <x:v>2994091.720347249</x:v>
      </x:c>
      <x:c r="AC39" s="58" t="n">
        <x:f>AC25*$B$84</x:f>
        <x:v>3172793.350603466</x:v>
      </x:c>
      <x:c r="AD39" s="58" t="n">
        <x:f>AD25*$B$84</x:f>
        <x:v>3354487.92267439</x:v>
      </x:c>
      <x:c r="AE39" s="58" t="n">
        <x:f>AE25*$B$84</x:f>
        <x:v>3552215.6996710678</x:v>
      </x:c>
      <x:c r="AF39" s="58" t="n">
        <x:f>AF25*$B$84</x:f>
        <x:v>4402176.788385753</x:v>
      </x:c>
      <x:c r="AG39" s="58" t="n">
        <x:f>AG25*$B$84</x:f>
        <x:v>4636530.440361858</x:v>
      </x:c>
      <x:c r="AH39" s="58" t="n">
        <x:f>AH25*$B$84</x:f>
        <x:v>4891775.443255624</x:v>
      </x:c>
      <x:c r="AI39" s="58" t="n">
        <x:f>AI25*$B$84</x:f>
        <x:v>5169855.612597979</x:v>
      </x:c>
      <x:c r="AJ39" s="58" t="n">
        <x:f>AJ25*$B$84</x:f>
        <x:v>5472905.271118167</x:v>
      </x:c>
      <x:c r="AK39" s="58" t="n">
        <x:f>AK25*$B$84</x:f>
        <x:v>5803269.034713485</x:v>
      </x:c>
    </x:row>
    <x:row r="40" ht="18" customHeight="1">
      <x:c r="A40" s="4" t="str">
        <x:v>Monthly gross billings, ex-tax (INR)</x:v>
      </x:c>
      <x:c r="B40" s="58" t="n">
        <x:f>B32*$B$85</x:f>
        <x:v>4266.072881355931</x:v>
      </x:c>
      <x:c r="C40" s="58" t="n">
        <x:f>C32*$B$85</x:f>
        <x:v>7603.970191525423</x:v>
      </x:c>
      <x:c r="D40" s="58" t="n">
        <x:f>D32*$B$85</x:f>
        <x:v>10653.64430456271</x:v>
      </x:c>
      <x:c r="E40" s="58" t="n">
        <x:f>E32*$B$85</x:f>
        <x:v>15290.714127326679</x:v>
      </x:c>
      <x:c r="F40" s="58" t="n">
        <x:f>F32*$B$85</x:f>
        <x:v>19569.193376363244</x:v>
      </x:c>
      <x:c r="G40" s="58" t="n">
        <x:f>G32*$B$85</x:f>
        <x:v>23800.67374624385</x:v>
      </x:c>
      <x:c r="H40" s="58" t="n">
        <x:f>H32*$B$85</x:f>
        <x:v>32747.965399788365</x:v>
      </x:c>
      <x:c r="I40" s="58" t="n">
        <x:f>I32*$B$85</x:f>
        <x:v>40484.58496672262</x:v>
      </x:c>
      <x:c r="J40" s="58" t="n">
        <x:f>J32*$B$85</x:f>
        <x:v>47853.129373746204</x:v>
      </x:c>
      <x:c r="K40" s="58" t="n">
        <x:f>K32*$B$85</x:f>
        <x:v>55332.13639616741</x:v>
      </x:c>
      <x:c r="L40" s="58" t="n">
        <x:f>L32*$B$85</x:f>
        <x:v>63055.564073683265</x:v>
      </x:c>
      <x:c r="M40" s="58" t="n">
        <x:f>M32*$B$85</x:f>
        <x:v>71163.61229155364</x:v>
      </x:c>
      <x:c r="N40" s="58" t="n">
        <x:f>N32*$B$85</x:f>
        <x:v>85655.4201952965</x:v>
      </x:c>
      <x:c r="O40" s="58" t="n">
        <x:f>O32*$B$85</x:f>
        <x:v>98518.38958865084</x:v>
      </x:c>
      <x:c r="P40" s="58" t="n">
        <x:f>P32*$B$85</x:f>
        <x:v>110926.06392433631</x:v>
      </x:c>
      <x:c r="Q40" s="58" t="n">
        <x:f>Q32*$B$85</x:f>
        <x:v>123528.98060957663</x:v>
      </x:c>
      <x:c r="R40" s="58" t="n">
        <x:f>R32*$B$85</x:f>
        <x:v>136503.2227976642</x:v>
      </x:c>
      <x:c r="S40" s="58" t="n">
        <x:f>S32*$B$85</x:f>
        <x:v>150027.99043986772</x:v>
      </x:c>
      <x:c r="T40" s="58" t="n">
        <x:f>T32*$B$85</x:f>
        <x:v>171213.54284569292</x:v>
      </x:c>
      <x:c r="U40" s="58" t="n">
        <x:f>U32*$B$85</x:f>
        <x:v>191152.8293206748</x:v>
      </x:c>
      <x:c r="V40" s="58" t="n">
        <x:f>V32*$B$85</x:f>
        <x:v>211198.03431873152</x:v>
      </x:c>
      <x:c r="W40" s="58" t="n">
        <x:f>W32*$B$85</x:f>
        <x:v>232153.16369642736</x:v>
      </x:c>
      <x:c r="X40" s="58" t="n">
        <x:f>X32*$B$85</x:f>
        <x:v>254303.87740529407</x:v>
      </x:c>
      <x:c r="Y40" s="58" t="n">
        <x:f>Y32*$B$85</x:f>
        <x:v>277949.2912459822</x:v>
      </x:c>
      <x:c r="Z40" s="58" t="n">
        <x:f>Z32*$B$85</x:f>
        <x:v>312120.64500121825</x:v>
      </x:c>
      <x:c r="AA40" s="58" t="n">
        <x:f>AA32*$B$85</x:f>
        <x:v>343319.36762639834</x:v>
      </x:c>
      <x:c r="AB40" s="58" t="n">
        <x:f>AB32*$B$85</x:f>
        <x:v>373646.4116518624</x:v>
      </x:c>
      <x:c r="AC40" s="58" t="n">
        <x:f>AC32*$B$85</x:f>
        <x:v>404206.51829582505</x:v>
      </x:c>
      <x:c r="AD40" s="58" t="n">
        <x:f>AD32*$B$85</x:f>
        <x:v>435277.11847438366</x:v>
      </x:c>
      <x:c r="AE40" s="58" t="n">
        <x:f>AE32*$B$85</x:f>
        <x:v>467127.30083994276</x:v>
      </x:c>
      <x:c r="AF40" s="58" t="n">
        <x:f>AF32*$B$85</x:f>
        <x:v>518908.31952384755</x:v>
      </x:c>
      <x:c r="AG40" s="58" t="n">
        <x:f>AG32*$B$85</x:f>
        <x:v>566062.9268650666</x:v>
      </x:c>
      <x:c r="AH40" s="58" t="n">
        <x:f>AH32*$B$85</x:f>
        <x:v>611984.0868310289</x:v>
      </x:c>
      <x:c r="AI40" s="58" t="n">
        <x:f>AI32*$B$85</x:f>
        <x:v>658535.1654856078</x:v>
      </x:c>
      <x:c r="AJ40" s="58" t="n">
        <x:f>AJ32*$B$85</x:f>
        <x:v>706125.7216687142</x:v>
      </x:c>
      <x:c r="AK40" s="58" t="n">
        <x:f>AK32*$B$85</x:f>
        <x:v>755155.6974167634</x:v>
      </x:c>
    </x:row>
    <x:row r="41" ht="18" customHeight="1">
      <x:c r="A41" s="4" t="str">
        <x:v>Total gross billings, ex-tax (INR)</x:v>
      </x:c>
      <x:c r="B41" s="58" t="n">
        <x:f>SUM(B39:B40)</x:f>
        <x:v>120852.1723163842</x:v>
      </x:c>
      <x:c r="C41" s="58" t="n">
        <x:f>SUM(C39:C40)</x:f>
        <x:v>135432.30064350282</x:v>
      </x:c>
      <x:c r="D41" s="58" t="n">
        <x:f>SUM(D39:D40)</x:f>
        <x:v>151410.54042603163</x:v>
      </x:c>
      <x:c r="E41" s="58" t="n">
        <x:f>SUM(E39:E40)</x:f>
        <x:v>212553.3534240781</x:v>
      </x:c>
      <x:c r="F41" s="58" t="n">
        <x:f>SUM(F39:F40)</x:f>
        <x:v>233929.86077101715</x:v>
      </x:c>
      <x:c r="G41" s="58" t="n">
        <x:f>SUM(G39:G40)</x:f>
        <x:v>257824.07345348567</x:v>
      </x:c>
      <x:c r="H41" s="58" t="n">
        <x:f>SUM(H39:H40)</x:f>
        <x:v>414297.185232608</x:v>
      </x:c>
      <x:c r="I41" s="58" t="n">
        <x:f>SUM(I39:I40)</x:f>
        <x:v>448037.7682829398</x:v>
      </x:c>
      <x:c r="J41" s="58" t="n">
        <x:f>SUM(J39:J40)</x:f>
        <x:v>485310.8706958705</x:v>
      </x:c>
      <x:c r="K41" s="58" t="n">
        <x:f>SUM(K39:K40)</x:f>
        <x:v>527180.1194250849</x:v>
      </x:c>
      <x:c r="L41" s="58" t="n">
        <x:f>SUM(L39:L40)</x:f>
        <x:v>574452.3250654129</x:v>
      </x:c>
      <x:c r="M41" s="58" t="n">
        <x:f>SUM(M39:M40)</x:f>
        <x:v>628041.4679405174</x:v>
      </x:c>
      <x:c r="N41" s="58" t="n">
        <x:f>SUM(N39:N40)</x:f>
        <x:v>906127.1863699018</x:v>
      </x:c>
      <x:c r="O41" s="58" t="n">
        <x:f>SUM(O39:O40)</x:f>
        <x:v>970811.6995765443</x:v>
      </x:c>
      <x:c r="P41" s="58" t="n">
        <x:f>SUM(P39:P40)</x:f>
        <x:v>1041408.2376994675</x:v>
      </x:c>
      <x:c r="Q41" s="58" t="n">
        <x:f>SUM(Q39:Q40)</x:f>
        <x:v>1137716.037411238</x:v>
      </x:c>
      <x:c r="R41" s="58" t="n">
        <x:f>SUM(R39:R40)</x:f>
        <x:v>1224070.662311079</x:v>
      </x:c>
      <x:c r="S41" s="58" t="n">
        <x:f>SUM(S39:S40)</x:f>
        <x:v>1320007.6655021813</x:v>
      </x:c>
      <x:c r="T41" s="58" t="n">
        <x:f>SUM(T39:T40)</x:f>
        <x:v>1678105.1400878078</x:v>
      </x:c>
      <x:c r="U41" s="58" t="n">
        <x:f>SUM(U39:U40)</x:f>
        <x:v>1802012.8479784133</x:v>
      </x:c>
      <x:c r="V41" s="58" t="n">
        <x:f>SUM(V39:V40)</x:f>
        <x:v>1938846.717398854</x:v>
      </x:c>
      <x:c r="W41" s="58" t="n">
        <x:f>SUM(W39:W40)</x:f>
        <x:v>2091000.7882320385</x:v>
      </x:c>
      <x:c r="X41" s="58" t="n">
        <x:f>SUM(X39:X40)</x:f>
        <x:v>2260549.299268832</x:v>
      </x:c>
      <x:c r="Y41" s="58" t="n">
        <x:f>SUM(Y39:Y40)</x:f>
        <x:v>2449803.4764492474</x:v>
      </x:c>
      <x:c r="Z41" s="58" t="n">
        <x:f>SUM(Z39:Z40)</x:f>
        <x:v>3011473.102315558</x:v>
      </x:c>
      <x:c r="AA41" s="58" t="n">
        <x:f>SUM(AA39:AA40)</x:f>
        <x:v>3183869.6699631023</x:v>
      </x:c>
      <x:c r="AB41" s="58" t="n">
        <x:f>SUM(AB39:AB40)</x:f>
        <x:v>3367738.1319991113</x:v>
      </x:c>
      <x:c r="AC41" s="58" t="n">
        <x:f>SUM(AC39:AC40)</x:f>
        <x:v>3576999.868899291</x:v>
      </x:c>
      <x:c r="AD41" s="58" t="n">
        <x:f>SUM(AD39:AD40)</x:f>
        <x:v>3789765.041148774</x:v>
      </x:c>
      <x:c r="AE41" s="58" t="n">
        <x:f>SUM(AE39:AE40)</x:f>
        <x:v>4019343.0005110106</x:v>
      </x:c>
      <x:c r="AF41" s="58" t="n">
        <x:f>SUM(AF39:AF40)</x:f>
        <x:v>4921085.1079096</x:v>
      </x:c>
      <x:c r="AG41" s="58" t="n">
        <x:f>SUM(AG39:AG40)</x:f>
        <x:v>5202593.367226925</x:v>
      </x:c>
      <x:c r="AH41" s="58" t="n">
        <x:f>SUM(AH39:AH40)</x:f>
        <x:v>5503759.530086652</x:v>
      </x:c>
      <x:c r="AI41" s="58" t="n">
        <x:f>SUM(AI39:AI40)</x:f>
        <x:v>5828390.778083586</x:v>
      </x:c>
      <x:c r="AJ41" s="58" t="n">
        <x:f>SUM(AJ39:AJ40)</x:f>
        <x:v>6179030.992786881</x:v>
      </x:c>
      <x:c r="AK41" s="58" t="n">
        <x:f>SUM(AK39:AK40)</x:f>
        <x:v>6558424.732130249</x:v>
      </x:c>
    </x:row>
    <x:row r="42" ht="18" customHeight="1">
      <x:c r="A42" s="4" t="str">
        <x:v>Refunds (INR)</x:v>
      </x:c>
      <x:c r="B42" s="58" t="n">
        <x:f>B41*'Scenario Inputs'!$D$29</x:f>
        <x:v>2417.043446327684</x:v>
      </x:c>
      <x:c r="C42" s="58" t="n">
        <x:f>C41*'Scenario Inputs'!$D$29</x:f>
        <x:v>2708.6460128700564</x:v>
      </x:c>
      <x:c r="D42" s="58" t="n">
        <x:f>D41*'Scenario Inputs'!$D$29</x:f>
        <x:v>3028.210808520633</x:v>
      </x:c>
      <x:c r="E42" s="58" t="n">
        <x:f>E41*'Scenario Inputs'!$D$29</x:f>
        <x:v>4251.067068481561</x:v>
      </x:c>
      <x:c r="F42" s="58" t="n">
        <x:f>F41*'Scenario Inputs'!$D$29</x:f>
        <x:v>4678.597215420343</x:v>
      </x:c>
      <x:c r="G42" s="58" t="n">
        <x:f>G41*'Scenario Inputs'!$D$29</x:f>
        <x:v>5156.481469069714</x:v>
      </x:c>
      <x:c r="H42" s="58" t="n">
        <x:f>H41*'Scenario Inputs'!$D$29</x:f>
        <x:v>8285.94370465216</x:v>
      </x:c>
      <x:c r="I42" s="58" t="n">
        <x:f>I41*'Scenario Inputs'!$D$29</x:f>
        <x:v>8960.755365658797</x:v>
      </x:c>
      <x:c r="J42" s="58" t="n">
        <x:f>J41*'Scenario Inputs'!$D$29</x:f>
        <x:v>9706.21741391741</x:v>
      </x:c>
      <x:c r="K42" s="58" t="n">
        <x:f>K41*'Scenario Inputs'!$D$29</x:f>
        <x:v>10543.602388501698</x:v>
      </x:c>
      <x:c r="L42" s="58" t="n">
        <x:f>L41*'Scenario Inputs'!$D$29</x:f>
        <x:v>11489.046501308258</x:v>
      </x:c>
      <x:c r="M42" s="58" t="n">
        <x:f>M41*'Scenario Inputs'!$D$29</x:f>
        <x:v>12560.829358810348</x:v>
      </x:c>
      <x:c r="N42" s="58" t="n">
        <x:f>N41*'Scenario Inputs'!$D$29</x:f>
        <x:v>18122.543727398035</x:v>
      </x:c>
      <x:c r="O42" s="58" t="n">
        <x:f>O41*'Scenario Inputs'!$D$29</x:f>
        <x:v>19416.233991530888</x:v>
      </x:c>
      <x:c r="P42" s="58" t="n">
        <x:f>P41*'Scenario Inputs'!$D$29</x:f>
        <x:v>20828.16475398935</x:v>
      </x:c>
      <x:c r="Q42" s="58" t="n">
        <x:f>Q41*'Scenario Inputs'!$D$29</x:f>
        <x:v>22754.320748224764</x:v>
      </x:c>
      <x:c r="R42" s="58" t="n">
        <x:f>R41*'Scenario Inputs'!$D$29</x:f>
        <x:v>24481.41324622158</x:v>
      </x:c>
      <x:c r="S42" s="58" t="n">
        <x:f>S41*'Scenario Inputs'!$D$29</x:f>
        <x:v>26400.153310043625</x:v>
      </x:c>
      <x:c r="T42" s="58" t="n">
        <x:f>T41*'Scenario Inputs'!$D$29</x:f>
        <x:v>33562.102801756155</x:v>
      </x:c>
      <x:c r="U42" s="58" t="n">
        <x:f>U41*'Scenario Inputs'!$D$29</x:f>
        <x:v>36040.256959568265</x:v>
      </x:c>
      <x:c r="V42" s="58" t="n">
        <x:f>V41*'Scenario Inputs'!$D$29</x:f>
        <x:v>38776.93434797708</x:v>
      </x:c>
      <x:c r="W42" s="58" t="n">
        <x:f>W41*'Scenario Inputs'!$D$29</x:f>
        <x:v>41820.01576464077</x:v>
      </x:c>
      <x:c r="X42" s="58" t="n">
        <x:f>X41*'Scenario Inputs'!$D$29</x:f>
        <x:v>45210.98598537664</x:v>
      </x:c>
      <x:c r="Y42" s="58" t="n">
        <x:f>Y41*'Scenario Inputs'!$D$29</x:f>
        <x:v>48996.069528984954</x:v>
      </x:c>
      <x:c r="Z42" s="58" t="n">
        <x:f>Z41*'Scenario Inputs'!$D$29</x:f>
        <x:v>60229.462046311164</x:v>
      </x:c>
      <x:c r="AA42" s="58" t="n">
        <x:f>AA41*'Scenario Inputs'!$D$29</x:f>
        <x:v>63677.39339926205</x:v>
      </x:c>
      <x:c r="AB42" s="58" t="n">
        <x:f>AB41*'Scenario Inputs'!$D$29</x:f>
        <x:v>67354.76263998223</x:v>
      </x:c>
      <x:c r="AC42" s="58" t="n">
        <x:f>AC41*'Scenario Inputs'!$D$29</x:f>
        <x:v>71539.99737798583</x:v>
      </x:c>
      <x:c r="AD42" s="58" t="n">
        <x:f>AD41*'Scenario Inputs'!$D$29</x:f>
        <x:v>75795.30082297548</x:v>
      </x:c>
      <x:c r="AE42" s="58" t="n">
        <x:f>AE41*'Scenario Inputs'!$D$29</x:f>
        <x:v>80386.86001022022</x:v>
      </x:c>
      <x:c r="AF42" s="58" t="n">
        <x:f>AF41*'Scenario Inputs'!$D$29</x:f>
        <x:v>98421.70215819201</x:v>
      </x:c>
      <x:c r="AG42" s="58" t="n">
        <x:f>AG41*'Scenario Inputs'!$D$29</x:f>
        <x:v>104051.86734453849</x:v>
      </x:c>
      <x:c r="AH42" s="58" t="n">
        <x:f>AH41*'Scenario Inputs'!$D$29</x:f>
        <x:v>110075.19060173305</x:v>
      </x:c>
      <x:c r="AI42" s="58" t="n">
        <x:f>AI41*'Scenario Inputs'!$D$29</x:f>
        <x:v>116567.81556167173</x:v>
      </x:c>
      <x:c r="AJ42" s="58" t="n">
        <x:f>AJ41*'Scenario Inputs'!$D$29</x:f>
        <x:v>123580.61985573762</x:v>
      </x:c>
      <x:c r="AK42" s="58" t="n">
        <x:f>AK41*'Scenario Inputs'!$D$29</x:f>
        <x:v>131168.494642605</x:v>
      </x:c>
    </x:row>
    <x:row r="43" ht="18" customHeight="1">
      <x:c r="A43" s="4" t="str">
        <x:v>Net billings, ex-tax (INR)</x:v>
      </x:c>
      <x:c r="B43" s="58" t="n">
        <x:f>B41-B42</x:f>
        <x:v>118435.1288700565</x:v>
      </x:c>
      <x:c r="C43" s="58" t="n">
        <x:f>C41-C42</x:f>
        <x:v>132723.65463063278</x:v>
      </x:c>
      <x:c r="D43" s="58" t="n">
        <x:f>D41-D42</x:f>
        <x:v>148382.329617511</x:v>
      </x:c>
      <x:c r="E43" s="58" t="n">
        <x:f>E41-E42</x:f>
        <x:v>208302.28635559653</x:v>
      </x:c>
      <x:c r="F43" s="58" t="n">
        <x:f>F41-F42</x:f>
        <x:v>229251.26355559682</x:v>
      </x:c>
      <x:c r="G43" s="58" t="n">
        <x:f>G41-G42</x:f>
        <x:v>252667.59198441595</x:v>
      </x:c>
      <x:c r="H43" s="58" t="n">
        <x:f>H41-H42</x:f>
        <x:v>406011.24152795586</x:v>
      </x:c>
      <x:c r="I43" s="58" t="n">
        <x:f>I41-I42</x:f>
        <x:v>439077.012917281</x:v>
      </x:c>
      <x:c r="J43" s="58" t="n">
        <x:f>J41-J42</x:f>
        <x:v>475604.65328195307</x:v>
      </x:c>
      <x:c r="K43" s="58" t="n">
        <x:f>K41-K42</x:f>
        <x:v>516636.5170365832</x:v>
      </x:c>
      <x:c r="L43" s="58" t="n">
        <x:f>L41-L42</x:f>
        <x:v>562963.2785641047</x:v>
      </x:c>
      <x:c r="M43" s="58" t="n">
        <x:f>M41-M42</x:f>
        <x:v>615480.638581707</x:v>
      </x:c>
      <x:c r="N43" s="58" t="n">
        <x:f>N41-N42</x:f>
        <x:v>888004.6426425037</x:v>
      </x:c>
      <x:c r="O43" s="58" t="n">
        <x:f>O41-O42</x:f>
        <x:v>951395.4655850135</x:v>
      </x:c>
      <x:c r="P43" s="58" t="n">
        <x:f>P41-P42</x:f>
        <x:v>1020580.0729454781</x:v>
      </x:c>
      <x:c r="Q43" s="58" t="n">
        <x:f>Q41-Q42</x:f>
        <x:v>1114961.7166630132</x:v>
      </x:c>
      <x:c r="R43" s="58" t="n">
        <x:f>R41-R42</x:f>
        <x:v>1199589.2490648574</x:v>
      </x:c>
      <x:c r="S43" s="58" t="n">
        <x:f>S41-S42</x:f>
        <x:v>1293607.5121921375</x:v>
      </x:c>
      <x:c r="T43" s="58" t="n">
        <x:f>T41-T42</x:f>
        <x:v>1644543.0372860515</x:v>
      </x:c>
      <x:c r="U43" s="58" t="n">
        <x:f>U41-U42</x:f>
        <x:v>1765972.591018845</x:v>
      </x:c>
      <x:c r="V43" s="58" t="n">
        <x:f>V41-V42</x:f>
        <x:v>1900069.7830508768</x:v>
      </x:c>
      <x:c r="W43" s="58" t="n">
        <x:f>W41-W42</x:f>
        <x:v>2049180.7724673976</x:v>
      </x:c>
      <x:c r="X43" s="58" t="n">
        <x:f>X41-X42</x:f>
        <x:v>2215338.3132834556</x:v>
      </x:c>
      <x:c r="Y43" s="58" t="n">
        <x:f>Y41-Y42</x:f>
        <x:v>2400807.4069202626</x:v>
      </x:c>
      <x:c r="Z43" s="58" t="n">
        <x:f>Z41-Z42</x:f>
        <x:v>2951243.640269247</x:v>
      </x:c>
      <x:c r="AA43" s="58" t="n">
        <x:f>AA41-AA42</x:f>
        <x:v>3120192.2765638405</x:v>
      </x:c>
      <x:c r="AB43" s="58" t="n">
        <x:f>AB41-AB42</x:f>
        <x:v>3300383.369359129</x:v>
      </x:c>
      <x:c r="AC43" s="58" t="n">
        <x:f>AC41-AC42</x:f>
        <x:v>3505459.8715213053</x:v>
      </x:c>
      <x:c r="AD43" s="58" t="n">
        <x:f>AD41-AD42</x:f>
        <x:v>3713969.7403257983</x:v>
      </x:c>
      <x:c r="AE43" s="58" t="n">
        <x:f>AE41-AE42</x:f>
        <x:v>3938956.1405007904</x:v>
      </x:c>
      <x:c r="AF43" s="58" t="n">
        <x:f>AF41-AF42</x:f>
        <x:v>4822663.405751408</x:v>
      </x:c>
      <x:c r="AG43" s="58" t="n">
        <x:f>AG41-AG42</x:f>
        <x:v>5098541.499882386</x:v>
      </x:c>
      <x:c r="AH43" s="58" t="n">
        <x:f>AH41-AH42</x:f>
        <x:v>5393684.339484919</x:v>
      </x:c>
      <x:c r="AI43" s="58" t="n">
        <x:f>AI41-AI42</x:f>
        <x:v>5711822.962521914</x:v>
      </x:c>
      <x:c r="AJ43" s="58" t="n">
        <x:f>AJ41-AJ42</x:f>
        <x:v>6055450.372931143</x:v>
      </x:c>
      <x:c r="AK43" s="58" t="n">
        <x:f>AK41-AK42</x:f>
        <x:v>6427256.237487644</x:v>
      </x:c>
    </x:row>
    <x:row r="44" ht="18" customHeight="1">
      <x:c r="A44" s="4" t="str">
        <x:v>Payment / store fees (INR)</x:v>
      </x:c>
      <x:c r="B44" s="58" t="n">
        <x:f>B25*$B$86+B32*$B$87</x:f>
        <x:v>12692.137757062148</x:v>
      </x:c>
      <x:c r="C44" s="58" t="n">
        <x:f>C25*$B$86+C32*$B$87</x:f>
        <x:v>14312.978952896045</x:v>
      </x:c>
      <x:c r="D44" s="58" t="n">
        <x:f>D25*$B$86+D32*$B$87</x:f>
        <x:v>16069.938201754903</x:v>
      </x:c>
      <x:c r="E44" s="58" t="n">
        <x:f>E25*$B$86+E32*$B$87</x:f>
        <x:v>22569.952269235793</x:v>
      </x:c>
      <x:c r="F44" s="58" t="n">
        <x:f>F25*$B$86+F32*$B$87</x:f>
        <x:v>24926.801574380657</x:v>
      </x:c>
      <x:c r="G44" s="58" t="n">
        <x:f>G25*$B$86+G32*$B$87</x:f>
        <x:v>27543.75282076168</x:v>
      </x:c>
      <x:c r="H44" s="58" t="n">
        <x:f>H25*$B$86+H32*$B$87</x:f>
        <x:v>44085.54202708592</x:v>
      </x:c>
      <x:c r="I44" s="58" t="n">
        <x:f>I25*$B$86+I32*$B$87</x:f>
        <x:v>47836.79750355622</x:v>
      </x:c>
      <x:c r="J44" s="58" t="n">
        <x:f>J25*$B$86+J32*$B$87</x:f>
        <x:v>51943.40502068673</x:v>
      </x:c>
      <x:c r="K44" s="58" t="n">
        <x:f>K25*$B$86+K32*$B$87</x:f>
        <x:v>56531.06556110026</x:v>
      </x:c>
      <x:c r="L44" s="58" t="n">
        <x:f>L25*$B$86+L32*$B$87</x:f>
        <x:v>61687.85977459506</x:v>
      </x:c>
      <x:c r="M44" s="58" t="n">
        <x:f>M25*$B$86+M32*$B$87</x:f>
        <x:v>67513.20153027507</x:v>
      </x:c>
      <x:c r="N44" s="58" t="n">
        <x:f>N25*$B$86+N32*$B$87</x:f>
        <x:v>96866.71566797933</x:v>
      </x:c>
      <x:c r="O44" s="58" t="n">
        <x:f>O25*$B$86+O32*$B$87</x:f>
        <x:v>103995.80189521472</x:v>
      </x:c>
      <x:c r="P44" s="58" t="n">
        <x:f>P25*$B$86+P32*$B$87</x:f>
        <x:v>111724.70633934614</x:v>
      </x:c>
      <x:c r="Q44" s="58" t="n">
        <x:f>Q25*$B$86+Q32*$B$87</x:f>
        <x:v>122131.24922383075</x:v>
      </x:c>
      <x:c r="R44" s="58" t="n">
        <x:f>R25*$B$86+R32*$B$87</x:f>
        <x:v>131515.42676200197</x:v>
      </x:c>
      <x:c r="S44" s="58" t="n">
        <x:f>S25*$B$86+S32*$B$87</x:f>
        <x:v>141912.70213670173</x:v>
      </x:c>
      <x:c r="T44" s="58" t="n">
        <x:f>T25*$B$86+T32*$B$87</x:f>
        <x:v>179792.02129335454</x:v>
      </x:c>
      <x:c r="U44" s="58" t="n">
        <x:f>U25*$B$86+U32*$B$87</x:f>
        <x:v>193299.08999621516</x:v>
      </x:c>
      <x:c r="V44" s="58" t="n">
        <x:f>V25*$B$86+V32*$B$87</x:f>
        <x:v>208152.56952806967</x:v>
      </x:c>
      <x:c r="W44" s="58" t="n">
        <x:f>W25*$B$86+W32*$B$87</x:f>
        <x:v>224626.7230322804</x:v>
      </x:c>
      <x:c r="X44" s="58" t="n">
        <x:f>X25*$B$86+X32*$B$87</x:f>
        <x:v>242946.13389799139</x:v>
      </x:c>
      <x:c r="Y44" s="58" t="n">
        <x:f>Y25*$B$86+Y32*$B$87</x:f>
        <x:v>263360.4359402284</x:v>
      </x:c>
      <x:c r="Z44" s="58" t="n">
        <x:f>Z25*$B$86+Z32*$B$87</x:f>
        <x:v>322803.389784271</x:v>
      </x:c>
      <x:c r="AA44" s="58" t="n">
        <x:f>AA25*$B$86+AA32*$B$87</x:f>
        <x:v>341705.8952445133</x:v>
      </x:c>
      <x:c r="AB44" s="58" t="n">
        <x:f>AB25*$B$86+AB32*$B$87</x:f>
        <x:v>361772.6826411343</x:v>
      </x:c>
      <x:c r="AC44" s="58" t="n">
        <x:f>AC25*$B$86+AC32*$B$87</x:f>
        <x:v>384485.2695304787</x:v>
      </x:c>
      <x:c r="AD44" s="58" t="n">
        <x:f>AD25*$B$86+AD32*$B$87</x:f>
        <x:v>407578.0716859467</x:v>
      </x:c>
      <x:c r="AE44" s="58" t="n">
        <x:f>AE25*$B$86+AE32*$B$87</x:f>
        <x:v>432442.4929162336</x:v>
      </x:c>
      <x:c r="AF44" s="58" t="n">
        <x:f>AF25*$B$86+AF32*$B$87</x:f>
        <x:v>527778.4440866869</x:v>
      </x:c>
      <x:c r="AG44" s="58" t="n">
        <x:f>AG25*$B$86+AG32*$B$87</x:f>
        <x:v>558524.258133483</x:v>
      </x:c>
      <x:c r="AH44" s="58" t="n">
        <x:f>AH25*$B$86+AH32*$B$87</x:f>
        <x:v>591273.411420789</x:v>
      </x:c>
      <x:c r="AI44" s="58" t="n">
        <x:f>AI25*$B$86+AI32*$B$87</x:f>
        <x:v>626480.6180840986</x:v>
      </x:c>
      <x:c r="AJ44" s="58" t="n">
        <x:f>AJ25*$B$86+AJ32*$B$87</x:f>
        <x:v>664423.190611964</x:v>
      </x:c>
      <x:c r="AK44" s="58" t="n">
        <x:f>AK25*$B$86+AK32*$B$87</x:f>
        <x:v>705398.9868612401</x:v>
      </x:c>
    </x:row>
    <x:row r="45" ht="18" customHeight="1">
      <x:c r="A45" s="4" t="str">
        <x:v>Billing / entitlement reserve (INR)</x:v>
      </x:c>
      <x:c r="B45" s="58" t="n">
        <x:f>B25*$B$88+B32*$B$89</x:f>
        <x:v>1237.8683333333336</x:v>
      </x:c>
      <x:c r="C45" s="58" t="n">
        <x:f>C25*$B$88+C32*$B$89</x:f>
        <x:v>1387.1074503333334</x:v>
      </x:c>
      <x:c r="D45" s="58" t="n">
        <x:f>D25*$B$88+D32*$B$89</x:f>
        <x:v>1550.679462361333</x:v>
      </x:c>
      <x:c r="E45" s="58" t="n">
        <x:f>E25*$B$88+E32*$B$89</x:f>
        <x:v>2176.8647999989626</x:v>
      </x:c>
      <x:c r="F45" s="58" t="n">
        <x:f>F25*$B$88+F32*$B$89</x:f>
        <x:v>2395.6925959452906</x:v>
      </x:c>
      <x:c r="G45" s="58" t="n">
        <x:f>G25*$B$88+G32*$B$89</x:f>
        <x:v>2640.313762372384</x:v>
      </x:c>
      <x:c r="H45" s="58" t="n">
        <x:f>H25*$B$88+H32*$B$89</x:f>
        <x:v>4242.916837114376</x:v>
      </x:c>
      <x:c r="I45" s="58" t="n">
        <x:f>I25*$B$88+I32*$B$89</x:f>
        <x:v>4588.277880883103</x:v>
      </x:c>
      <x:c r="J45" s="58" t="n">
        <x:f>J25*$B$88+J32*$B$89</x:f>
        <x:v>4969.839842200353</x:v>
      </x:c>
      <x:c r="K45" s="58" t="n">
        <x:f>K25*$B$88+K32*$B$89</x:f>
        <x:v>5398.481234873886</x:v>
      </x:c>
      <x:c r="L45" s="58" t="n">
        <x:f>L25*$B$88+L32*$B$89</x:f>
        <x:v>5882.462247422418</x:v>
      </x:c>
      <x:c r="M45" s="58" t="n">
        <x:f>M25*$B$88+M32*$B$89</x:f>
        <x:v>6431.140700332271</x:v>
      </x:c>
      <x:c r="N45" s="58" t="n">
        <x:f>N25*$B$88+N32*$B$89</x:f>
        <x:v>9279.355593286751</x:v>
      </x:c>
      <x:c r="O45" s="58" t="n">
        <x:f>O25*$B$88+O32*$B$89</x:f>
        <x:v>9941.523372881997</x:v>
      </x:c>
      <x:c r="P45" s="58" t="n">
        <x:f>P25*$B$88+P32*$B$89</x:f>
        <x:v>10664.27116880152</x:v>
      </x:c>
      <x:c r="Q45" s="58" t="n">
        <x:f>Q25*$B$88+Q32*$B$89</x:f>
        <x:v>11650.400968212307</x:v>
      </x:c>
      <x:c r="R45" s="58" t="n">
        <x:f>R25*$B$88+R32*$B$89</x:f>
        <x:v>12534.555803298477</x:v>
      </x:c>
      <x:c r="S45" s="58" t="n">
        <x:f>S25*$B$88+S32*$B$89</x:f>
        <x:v>13516.853597071393</x:v>
      </x:c>
      <x:c r="T45" s="58" t="n">
        <x:f>T25*$B$88+T32*$B$89</x:f>
        <x:v>17184.474646642415</x:v>
      </x:c>
      <x:c r="U45" s="58" t="n">
        <x:f>U25*$B$88+U32*$B$89</x:f>
        <x:v>18453.07426963119</x:v>
      </x:c>
      <x:c r="V45" s="58" t="n">
        <x:f>V25*$B$88+V32*$B$89</x:f>
        <x:v>19854.087117545565</x:v>
      </x:c>
      <x:c r="W45" s="58" t="n">
        <x:f>W25*$B$88+W32*$B$89</x:f>
        <x:v>21412.00877051388</x:v>
      </x:c>
      <x:c r="X45" s="58" t="n">
        <x:f>X25*$B$88+X32*$B$89</x:f>
        <x:v>23148.07757968145</x:v>
      </x:c>
      <x:c r="Y45" s="58" t="n">
        <x:f>Y25*$B$88+Y32*$B$89</x:f>
        <x:v>25085.959130316805</x:v>
      </x:c>
      <x:c r="Z45" s="58" t="n">
        <x:f>Z25*$B$88+Z32*$B$89</x:f>
        <x:v>30838.524337782983</x:v>
      </x:c>
      <x:c r="AA45" s="58" t="n">
        <x:f>AA25*$B$88+AA32*$B$89</x:f>
        <x:v>32603.439928062246</x:v>
      </x:c>
      <x:c r="AB45" s="58" t="n">
        <x:f>AB25*$B$88+AB32*$B$89</x:f>
        <x:v>34485.906615313055</x:v>
      </x:c>
      <x:c r="AC45" s="58" t="n">
        <x:f>AC25*$B$88+AC32*$B$89</x:f>
        <x:v>36628.49643833064</x:v>
      </x:c>
      <x:c r="AD45" s="58" t="n">
        <x:f>AD25*$B$88+AD32*$B$89</x:f>
        <x:v>38806.95728924295</x:v>
      </x:c>
      <x:c r="AE45" s="58" t="n">
        <x:f>AE25*$B$88+AE32*$B$89</x:f>
        <x:v>41157.621903760504</x:v>
      </x:c>
      <x:c r="AF45" s="58" t="n">
        <x:f>AF25*$B$88+AF32*$B$89</x:f>
        <x:v>50393.2881103087</x:v>
      </x:c>
      <x:c r="AG45" s="58" t="n">
        <x:f>AG25*$B$88+AG32*$B$89</x:f>
        <x:v>53275.37610047856</x:v>
      </x:c>
      <x:c r="AH45" s="58" t="n">
        <x:f>AH25*$B$88+AH32*$B$89</x:f>
        <x:v>56358.88675734605</x:v>
      </x:c>
      <x:c r="AI45" s="58" t="n">
        <x:f>AI25*$B$88+AI32*$B$89</x:f>
        <x:v>59682.753522026265</x:v>
      </x:c>
      <x:c r="AJ45" s="58" t="n">
        <x:f>AJ25*$B$88+AJ32*$B$89</x:f>
        <x:v>63273.02131432537</x:v>
      </x:c>
      <x:c r="AK45" s="58" t="n">
        <x:f>AK25*$B$88+AK32*$B$89</x:f>
        <x:v>67157.79115539485</x:v>
      </x:c>
    </x:row>
    <x:row r="46" ht="18" customHeight="1">
      <x:c r="A46" s="4" t="str">
        <x:v>Paid users: AI cost (INR)</x:v>
      </x:c>
      <x:c r="B46" s="58" t="n">
        <x:f>B34*'Commercial Inputs'!$B$24*$B$90</x:f>
        <x:v>294.294</x:v>
      </x:c>
      <x:c r="C46" s="58" t="n">
        <x:f>C34*'Commercial Inputs'!$B$24*$B$90</x:f>
        <x:v>598.4846868000001</x:v>
      </x:c>
      <x:c r="D46" s="58" t="n">
        <x:f>D34*'Commercial Inputs'!$B$24*$B$90</x:f>
        <x:v>924.8068541711999</x:v>
      </x:c>
      <x:c r="E46" s="58" t="n">
        <x:f>E34*'Commercial Inputs'!$B$24*$B$90</x:f>
        <x:v>1387.1385372228383</x:v>
      </x:c>
      <x:c r="F46" s="58" t="n">
        <x:f>F34*'Commercial Inputs'!$B$24*$B$90</x:f>
        <x:v>1879.0507020191592</x:v>
      </x:c>
      <x:c r="G46" s="58" t="n">
        <x:f>G34*'Commercial Inputs'!$B$24*$B$90</x:f>
        <x:v>2410.0215547780067</x:v>
      </x:c>
      <x:c r="H46" s="58" t="n">
        <x:f>H34*'Commercial Inputs'!$B$24*$B$90</x:f>
        <x:v>3303.9714249872764</x:v>
      </x:c>
      <x:c r="I46" s="58" t="n">
        <x:f>I34*'Commercial Inputs'!$B$24*$B$90</x:f>
        <x:v>4233.730389699213</x:v>
      </x:c>
      <x:c r="J46" s="58" t="n">
        <x:f>J34*'Commercial Inputs'!$B$24*$B$90</x:f>
        <x:v>5218.800619476607</x:v>
      </x:c>
      <x:c r="K46" s="58" t="n">
        <x:f>K34*'Commercial Inputs'!$B$24*$B$90</x:f>
        <x:v>6274.842913745553</x:v>
      </x:c>
      <x:c r="L46" s="58" t="n">
        <x:f>L34*'Commercial Inputs'!$B$24*$B$90</x:f>
        <x:v>7414.122687636841</x:v>
      </x:c>
      <x:c r="M46" s="58" t="n">
        <x:f>M34*'Commercial Inputs'!$B$24*$B$90</x:f>
        <x:v>8650.554055106946</x:v>
      </x:c>
      <x:c r="N46" s="58" t="n">
        <x:f>N34*'Commercial Inputs'!$B$24*$B$90</x:f>
        <x:v>10271.93097007337</x:v>
      </x:c>
      <x:c r="O46" s="58" t="n">
        <x:f>O34*'Commercial Inputs'!$B$24*$B$90</x:f>
        <x:v>11952.781172012048</x:v>
      </x:c>
      <x:c r="P46" s="58" t="n">
        <x:f>P34*'Commercial Inputs'!$B$24*$B$90</x:f>
        <x:v>13718.748814022643</x:v>
      </x:c>
      <x:c r="Q46" s="58" t="n">
        <x:f>Q34*'Commercial Inputs'!$B$24*$B$90</x:f>
        <x:v>15542.336435388788</x:v>
      </x:c>
      <x:c r="R46" s="58" t="n">
        <x:f>R34*'Commercial Inputs'!$B$24*$B$90</x:f>
        <x:v>17484.704397733494</x:v>
      </x:c>
      <x:c r="S46" s="58" t="n">
        <x:f>S34*'Commercial Inputs'!$B$24*$B$90</x:f>
        <x:v>19561.38494226832</x:v>
      </x:c>
      <x:c r="T46" s="58" t="n">
        <x:f>T34*'Commercial Inputs'!$B$24*$B$90</x:f>
        <x:v>22126.209255330068</x:v>
      </x:c>
      <x:c r="U46" s="58" t="n">
        <x:f>U34*'Commercial Inputs'!$B$24*$B$90</x:f>
        <x:v>24831.281147394788</x:v>
      </x:c>
      <x:c r="V46" s="58" t="n">
        <x:f>V34*'Commercial Inputs'!$B$24*$B$90</x:f>
        <x:v>27713.26907390347</x:v>
      </x:c>
      <x:c r="W46" s="58" t="n">
        <x:f>W34*'Commercial Inputs'!$B$24*$B$90</x:f>
        <x:v>30803.30769309346</x:v>
      </x:c>
      <x:c r="X46" s="58" t="n">
        <x:f>X34*'Commercial Inputs'!$B$24*$B$90</x:f>
        <x:v>34127.6331794049</x:v>
      </x:c>
      <x:c r="Y46" s="58" t="n">
        <x:f>Y34*'Commercial Inputs'!$B$24*$B$90</x:f>
        <x:v>37715.16805304476</x:v>
      </x:c>
      <x:c r="Z46" s="58" t="n">
        <x:f>Z34*'Commercial Inputs'!$B$24*$B$90</x:f>
        <x:v>41980.860061426865</x:v>
      </x:c>
      <x:c r="AA46" s="58" t="n">
        <x:f>AA34*'Commercial Inputs'!$B$24*$B$90</x:f>
        <x:v>46386.02626893415</x:v>
      </x:c>
      <x:c r="AB46" s="58" t="n">
        <x:f>AB34*'Commercial Inputs'!$B$24*$B$90</x:f>
        <x:v>50971.72192384489</x:v>
      </x:c>
      <x:c r="AC46" s="58" t="n">
        <x:f>AC34*'Commercial Inputs'!$B$24*$B$90</x:f>
        <x:v>55752.47056660207</x:v>
      </x:c>
      <x:c r="AD46" s="58" t="n">
        <x:f>AD34*'Commercial Inputs'!$B$24*$B$90</x:f>
        <x:v>60758.99328128674</x:v>
      </x:c>
      <x:c r="AE46" s="58" t="n">
        <x:f>AE34*'Commercial Inputs'!$B$24*$B$90</x:f>
        <x:v>66009.14127526611</x:v>
      </x:c>
      <x:c r="AF46" s="58" t="n">
        <x:f>AF34*'Commercial Inputs'!$B$24*$B$90</x:f>
        <x:v>72570.33095146327</x:v>
      </x:c>
      <x:c r="AG46" s="58" t="n">
        <x:f>AG34*'Commercial Inputs'!$B$24*$B$90</x:f>
        <x:v>79330.99156651222</x:v>
      </x:c>
      <x:c r="AH46" s="58" t="n">
        <x:f>AH34*'Commercial Inputs'!$B$24*$B$90</x:f>
        <x:v>86354.23455972626</x:v>
      </x:c>
      <x:c r="AI46" s="58" t="n">
        <x:f>AI34*'Commercial Inputs'!$B$24*$B$90</x:f>
        <x:v>93682.78201266336</x:v>
      </x:c>
      <x:c r="AJ46" s="58" t="n">
        <x:f>AJ34*'Commercial Inputs'!$B$24*$B$90</x:f>
        <x:v>101339.99609820136</x:v>
      </x:c>
      <x:c r="AK46" s="58" t="n">
        <x:f>AK34*'Commercial Inputs'!$B$24*$B$90</x:f>
        <x:v>109349.77777228596</x:v>
      </x:c>
    </x:row>
    <x:row r="47" ht="18" customHeight="1">
      <x:c r="A47" s="4" t="str">
        <x:v>Free users: AI cost (INR)</x:v>
      </x:c>
      <x:c r="B47" s="58" t="n">
        <x:f>B35*'Commercial Inputs'!$B$25*$B$90</x:f>
        <x:v>353.15279999999996</x:v>
      </x:c>
      <x:c r="C47" s="58" t="n">
        <x:f>C35*'Commercial Inputs'!$B$25*$B$90</x:f>
        <x:v>718.1816241600001</x:v>
      </x:c>
      <x:c r="D47" s="58" t="n">
        <x:f>D35*'Commercial Inputs'!$B$25*$B$90</x:f>
        <x:v>1109.76822500544</x:v>
      </x:c>
      <x:c r="E47" s="58" t="n">
        <x:f>E35*'Commercial Inputs'!$B$25*$B$90</x:f>
        <x:v>1664.5662446674062</x:v>
      </x:c>
      <x:c r="F47" s="58" t="n">
        <x:f>F35*'Commercial Inputs'!$B$25*$B$90</x:f>
        <x:v>2254.860842422991</x:v>
      </x:c>
      <x:c r="G47" s="58" t="n">
        <x:f>G35*'Commercial Inputs'!$B$25*$B$90</x:f>
        <x:v>2892.025865733608</x:v>
      </x:c>
      <x:c r="H47" s="58" t="n">
        <x:f>H35*'Commercial Inputs'!$B$25*$B$90</x:f>
        <x:v>3964.7657099847315</x:v>
      </x:c>
      <x:c r="I47" s="58" t="n">
        <x:f>I35*'Commercial Inputs'!$B$25*$B$90</x:f>
        <x:v>5080.476467639056</x:v>
      </x:c>
      <x:c r="J47" s="58" t="n">
        <x:f>J35*'Commercial Inputs'!$B$25*$B$90</x:f>
        <x:v>6262.560743371927</x:v>
      </x:c>
      <x:c r="K47" s="58" t="n">
        <x:f>K35*'Commercial Inputs'!$B$25*$B$90</x:f>
        <x:v>7529.811496494664</x:v>
      </x:c>
      <x:c r="L47" s="58" t="n">
        <x:f>L35*'Commercial Inputs'!$B$25*$B$90</x:f>
        <x:v>8896.947225164207</x:v>
      </x:c>
      <x:c r="M47" s="58" t="n">
        <x:f>M35*'Commercial Inputs'!$B$25*$B$90</x:f>
        <x:v>10380.664866128336</x:v>
      </x:c>
      <x:c r="N47" s="58" t="n">
        <x:f>N35*'Commercial Inputs'!$B$25*$B$90</x:f>
        <x:v>12326.317164088041</x:v>
      </x:c>
      <x:c r="O47" s="58" t="n">
        <x:f>O35*'Commercial Inputs'!$B$25*$B$90</x:f>
        <x:v>14343.33740641446</x:v>
      </x:c>
      <x:c r="P47" s="58" t="n">
        <x:f>P35*'Commercial Inputs'!$B$25*$B$90</x:f>
        <x:v>16462.498576827173</x:v>
      </x:c>
      <x:c r="Q47" s="58" t="n">
        <x:f>Q35*'Commercial Inputs'!$B$25*$B$90</x:f>
        <x:v>18650.80372246655</x:v>
      </x:c>
      <x:c r="R47" s="58" t="n">
        <x:f>R35*'Commercial Inputs'!$B$25*$B$90</x:f>
        <x:v>20981.645277280197</x:v>
      </x:c>
      <x:c r="S47" s="58" t="n">
        <x:f>S35*'Commercial Inputs'!$B$25*$B$90</x:f>
        <x:v>23473.661930721984</x:v>
      </x:c>
      <x:c r="T47" s="58" t="n">
        <x:f>T35*'Commercial Inputs'!$B$25*$B$90</x:f>
        <x:v>26551.45110639608</x:v>
      </x:c>
      <x:c r="U47" s="58" t="n">
        <x:f>U35*'Commercial Inputs'!$B$25*$B$90</x:f>
        <x:v>29797.537376873745</x:v>
      </x:c>
      <x:c r="V47" s="58" t="n">
        <x:f>V35*'Commercial Inputs'!$B$25*$B$90</x:f>
        <x:v>33255.92288868417</x:v>
      </x:c>
      <x:c r="W47" s="58" t="n">
        <x:f>W35*'Commercial Inputs'!$B$25*$B$90</x:f>
        <x:v>36963.96923171215</x:v>
      </x:c>
      <x:c r="X47" s="58" t="n">
        <x:f>X35*'Commercial Inputs'!$B$25*$B$90</x:f>
        <x:v>40953.15981528588</x:v>
      </x:c>
      <x:c r="Y47" s="58" t="n">
        <x:f>Y35*'Commercial Inputs'!$B$25*$B$90</x:f>
        <x:v>45258.20166365372</x:v>
      </x:c>
      <x:c r="Z47" s="58" t="n">
        <x:f>Z35*'Commercial Inputs'!$B$25*$B$90</x:f>
        <x:v>50377.03207371223</x:v>
      </x:c>
      <x:c r="AA47" s="58" t="n">
        <x:f>AA35*'Commercial Inputs'!$B$25*$B$90</x:f>
        <x:v>55663.23152272098</x:v>
      </x:c>
      <x:c r="AB47" s="58" t="n">
        <x:f>AB35*'Commercial Inputs'!$B$25*$B$90</x:f>
        <x:v>61166.066308613874</x:v>
      </x:c>
      <x:c r="AC47" s="58" t="n">
        <x:f>AC35*'Commercial Inputs'!$B$25*$B$90</x:f>
        <x:v>66902.96467992247</x:v>
      </x:c>
      <x:c r="AD47" s="58" t="n">
        <x:f>AD35*'Commercial Inputs'!$B$25*$B$90</x:f>
        <x:v>72910.79193754408</x:v>
      </x:c>
      <x:c r="AE47" s="58" t="n">
        <x:f>AE35*'Commercial Inputs'!$B$25*$B$90</x:f>
        <x:v>79210.96953031934</x:v>
      </x:c>
      <x:c r="AF47" s="58" t="n">
        <x:f>AF35*'Commercial Inputs'!$B$25*$B$90</x:f>
        <x:v>87084.39714175591</x:v>
      </x:c>
      <x:c r="AG47" s="58" t="n">
        <x:f>AG35*'Commercial Inputs'!$B$25*$B$90</x:f>
        <x:v>95197.18987981467</x:v>
      </x:c>
      <x:c r="AH47" s="58" t="n">
        <x:f>AH35*'Commercial Inputs'!$B$25*$B$90</x:f>
        <x:v>103625.08147167152</x:v>
      </x:c>
      <x:c r="AI47" s="58" t="n">
        <x:f>AI35*'Commercial Inputs'!$B$25*$B$90</x:f>
        <x:v>112419.33841519605</x:v>
      </x:c>
      <x:c r="AJ47" s="58" t="n">
        <x:f>AJ35*'Commercial Inputs'!$B$25*$B$90</x:f>
        <x:v>121607.99531784163</x:v>
      </x:c>
      <x:c r="AK47" s="58" t="n">
        <x:f>AK35*'Commercial Inputs'!$B$25*$B$90</x:f>
        <x:v>131219.73332674315</x:v>
      </x:c>
    </x:row>
    <x:row r="48" ht="18" customHeight="1">
      <x:c r="A48" s="4" t="str">
        <x:v>Variable support/tools (INR)</x:v>
      </x:c>
      <x:c r="B48" s="58" t="n">
        <x:f>B34*'Commercial Inputs'!$B$28</x:f>
        <x:v>228.66666666666663</x:v>
      </x:c>
      <x:c r="C48" s="58" t="n">
        <x:f>C34*'Commercial Inputs'!$B$28</x:f>
        <x:v>465.0230666666667</x:v>
      </x:c>
      <x:c r="D48" s="58" t="n">
        <x:f>D34*'Commercial Inputs'!$B$28</x:f>
        <x:v>718.5756442666666</x:v>
      </x:c>
      <x:c r="E48" s="58" t="n">
        <x:f>E34*'Commercial Inputs'!$B$28</x:f>
        <x:v>1077.8077212298667</x:v>
      </x:c>
      <x:c r="F48" s="58" t="n">
        <x:f>F34*'Commercial Inputs'!$B$28</x:f>
        <x:v>1460.023855492742</x:v>
      </x:c>
      <x:c r="G48" s="58" t="n">
        <x:f>G34*'Commercial Inputs'!$B$28</x:f>
        <x:v>1872.5886206511316</x:v>
      </x:c>
      <x:c r="H48" s="58" t="n">
        <x:f>H34*'Commercial Inputs'!$B$28</x:f>
        <x:v>2567.188364403478</x:v>
      </x:c>
      <x:c r="I48" s="58" t="n">
        <x:f>I34*'Commercial Inputs'!$B$28</x:f>
        <x:v>3289.6118024080906</x:v>
      </x:c>
      <x:c r="J48" s="58" t="n">
        <x:f>J34*'Commercial Inputs'!$B$28</x:f>
        <x:v>4055.012136345459</x:v>
      </x:c>
      <x:c r="K48" s="58" t="n">
        <x:f>K34*'Commercial Inputs'!$B$28</x:f>
        <x:v>4875.557819538114</x:v>
      </x:c>
      <x:c r="L48" s="58" t="n">
        <x:f>L34*'Commercial Inputs'!$B$28</x:f>
        <x:v>5760.779089072914</x:v>
      </x:c>
      <x:c r="M48" s="58" t="n">
        <x:f>M34*'Commercial Inputs'!$B$28</x:f>
        <x:v>6721.487222305319</x:v>
      </x:c>
      <x:c r="N48" s="58" t="n">
        <x:f>N34*'Commercial Inputs'!$B$28</x:f>
        <x:v>7981.298345045352</x:v>
      </x:c>
      <x:c r="O48" s="58" t="n">
        <x:f>O34*'Commercial Inputs'!$B$28</x:f>
        <x:v>9287.320257973619</x:v>
      </x:c>
      <x:c r="P48" s="58" t="n">
        <x:f>P34*'Commercial Inputs'!$B$28</x:f>
        <x:v>10659.478487974082</x:v>
      </x:c>
      <x:c r="Q48" s="58" t="n">
        <x:f>Q34*'Commercial Inputs'!$B$28</x:f>
        <x:v>12076.407486704575</x:v>
      </x:c>
      <x:c r="R48" s="58" t="n">
        <x:f>R34*'Commercial Inputs'!$B$28</x:f>
        <x:v>13585.62890266783</x:v>
      </x:c>
      <x:c r="S48" s="58" t="n">
        <x:f>S34*'Commercial Inputs'!$B$28</x:f>
        <x:v>15199.211299353783</x:v>
      </x:c>
      <x:c r="T48" s="58" t="n">
        <x:f>T34*'Commercial Inputs'!$B$28</x:f>
        <x:v>17192.081783473244</x:v>
      </x:c>
      <x:c r="U48" s="58" t="n">
        <x:f>U34*'Commercial Inputs'!$B$28</x:f>
        <x:v>19293.924745450495</x:v>
      </x:c>
      <x:c r="V48" s="58" t="n">
        <x:f>V34*'Commercial Inputs'!$B$28</x:f>
        <x:v>21533.2316036546</x:v>
      </x:c>
      <x:c r="W48" s="58" t="n">
        <x:f>W34*'Commercial Inputs'!$B$28</x:f>
        <x:v>23934.194011727628</x:v>
      </x:c>
      <x:c r="X48" s="58" t="n">
        <x:f>X34*'Commercial Inputs'!$B$28</x:f>
        <x:v>26517.1974975951</x:v>
      </x:c>
      <x:c r="Y48" s="58" t="n">
        <x:f>Y34*'Commercial Inputs'!$B$28</x:f>
        <x:v>29304.714881930664</x:v>
      </x:c>
      <x:c r="Z48" s="58" t="n">
        <x:f>Z34*'Commercial Inputs'!$B$28</x:f>
        <x:v>32619.160886889556</x:v>
      </x:c>
      <x:c r="AA48" s="58" t="n">
        <x:f>AA34*'Commercial Inputs'!$B$28</x:f>
        <x:v>36041.97845294028</x:v>
      </x:c>
      <x:c r="AB48" s="58" t="n">
        <x:f>AB34*'Commercial Inputs'!$B$28</x:f>
        <x:v>39605.06753989502</x:v>
      </x:c>
      <x:c r="AC48" s="58" t="n">
        <x:f>AC34*'Commercial Inputs'!$B$28</x:f>
        <x:v>43319.71294996275</x:v>
      </x:c>
      <x:c r="AD48" s="58" t="n">
        <x:f>AD34*'Commercial Inputs'!$B$28</x:f>
        <x:v>47209.78498934478</x:v>
      </x:c>
      <x:c r="AE48" s="58" t="n">
        <x:f>AE34*'Commercial Inputs'!$B$28</x:f>
        <x:v>51289.15406003583</x:v>
      </x:c>
      <x:c r="AF48" s="58" t="n">
        <x:f>AF34*'Commercial Inputs'!$B$28</x:f>
        <x:v>56387.20353649049</x:v>
      </x:c>
      <x:c r="AG48" s="58" t="n">
        <x:f>AG34*'Commercial Inputs'!$B$28</x:f>
        <x:v>61640.242087422084</x:v>
      </x:c>
      <x:c r="AH48" s="58" t="n">
        <x:f>AH34*'Commercial Inputs'!$B$28</x:f>
        <x:v>67097.30735021466</x:v>
      </x:c>
      <x:c r="AI48" s="58" t="n">
        <x:f>AI34*'Commercial Inputs'!$B$28</x:f>
        <x:v>72791.59441543385</x:v>
      </x:c>
      <x:c r="AJ48" s="58" t="n">
        <x:f>AJ34*'Commercial Inputs'!$B$28</x:f>
        <x:v>78741.25570955816</x:v>
      </x:c>
      <x:c r="AK48" s="58" t="n">
        <x:f>AK34*'Commercial Inputs'!$B$28</x:f>
        <x:v>84964.86229392847</x:v>
      </x:c>
    </x:row>
    <x:row r="49" ht="18" customHeight="1">
      <x:c r="A49" s="4" t="str">
        <x:v>Total direct costs (INR)</x:v>
      </x:c>
      <x:c r="B49" s="58" t="n">
        <x:f>SUM(B44:B48)</x:f>
        <x:v>14806.119557062148</x:v>
      </x:c>
      <x:c r="C49" s="58" t="n">
        <x:f>SUM(C44:C48)</x:f>
        <x:v>17481.775780856045</x:v>
      </x:c>
      <x:c r="D49" s="58" t="n">
        <x:f>SUM(D44:D48)</x:f>
        <x:v>20373.76838755954</x:v>
      </x:c>
      <x:c r="E49" s="58" t="n">
        <x:f>SUM(E44:E48)</x:f>
        <x:v>28876.32957235487</x:v>
      </x:c>
      <x:c r="F49" s="58" t="n">
        <x:f>SUM(F44:F48)</x:f>
        <x:v>32916.429570260836</x:v>
      </x:c>
      <x:c r="G49" s="58" t="n">
        <x:f>SUM(G44:G48)</x:f>
        <x:v>37358.70262429681</x:v>
      </x:c>
      <x:c r="H49" s="58" t="n">
        <x:f>SUM(H44:H48)</x:f>
        <x:v>58164.38436357578</x:v>
      </x:c>
      <x:c r="I49" s="58" t="n">
        <x:f>SUM(I44:I48)</x:f>
        <x:v>65028.89404418568</x:v>
      </x:c>
      <x:c r="J49" s="58" t="n">
        <x:f>SUM(J44:J48)</x:f>
        <x:v>72449.61836208108</x:v>
      </x:c>
      <x:c r="K49" s="58" t="n">
        <x:f>SUM(K44:K48)</x:f>
        <x:v>80609.75902575246</x:v>
      </x:c>
      <x:c r="L49" s="58" t="n">
        <x:f>SUM(L44:L48)</x:f>
        <x:v>89642.17102389144</x:v>
      </x:c>
      <x:c r="M49" s="58" t="n">
        <x:f>SUM(M44:M48)</x:f>
        <x:v>99697.04837414794</x:v>
      </x:c>
      <x:c r="N49" s="58" t="n">
        <x:f>SUM(N44:N48)</x:f>
        <x:v>136725.61774047284</x:v>
      </x:c>
      <x:c r="O49" s="58" t="n">
        <x:f>SUM(O44:O48)</x:f>
        <x:v>149520.76410449686</x:v>
      </x:c>
      <x:c r="P49" s="58" t="n">
        <x:f>SUM(P44:P48)</x:f>
        <x:v>163229.70338697158</x:v>
      </x:c>
      <x:c r="Q49" s="58" t="n">
        <x:f>SUM(Q44:Q48)</x:f>
        <x:v>180051.19783660295</x:v>
      </x:c>
      <x:c r="R49" s="58" t="n">
        <x:f>SUM(R44:R48)</x:f>
        <x:v>196101.96114298198</x:v>
      </x:c>
      <x:c r="S49" s="58" t="n">
        <x:f>SUM(S44:S48)</x:f>
        <x:v>213663.8139061172</x:v>
      </x:c>
      <x:c r="T49" s="58" t="n">
        <x:f>SUM(T44:T48)</x:f>
        <x:v>262846.23808519635</x:v>
      </x:c>
      <x:c r="U49" s="58" t="n">
        <x:f>SUM(U44:U48)</x:f>
        <x:v>285674.9075355654</x:v>
      </x:c>
      <x:c r="V49" s="58" t="n">
        <x:f>SUM(V44:V48)</x:f>
        <x:v>310509.0802118575</x:v>
      </x:c>
      <x:c r="W49" s="58" t="n">
        <x:f>SUM(W44:W48)</x:f>
        <x:v>337740.2027393275</x:v>
      </x:c>
      <x:c r="X49" s="58" t="n">
        <x:f>SUM(X44:X48)</x:f>
        <x:v>367692.2019699587</x:v>
      </x:c>
      <x:c r="Y49" s="58" t="n">
        <x:f>SUM(Y44:Y48)</x:f>
        <x:v>400724.47966917435</x:v>
      </x:c>
      <x:c r="Z49" s="58" t="n">
        <x:f>SUM(Z44:Z48)</x:f>
        <x:v>478618.96714408265</x:v>
      </x:c>
      <x:c r="AA49" s="58" t="n">
        <x:f>SUM(AA44:AA48)</x:f>
        <x:v>512400.571417171</x:v>
      </x:c>
      <x:c r="AB49" s="58" t="n">
        <x:f>SUM(AB44:AB48)</x:f>
        <x:v>548001.4450288012</x:v>
      </x:c>
      <x:c r="AC49" s="58" t="n">
        <x:f>SUM(AC44:AC48)</x:f>
        <x:v>587088.9141652966</x:v>
      </x:c>
      <x:c r="AD49" s="58" t="n">
        <x:f>SUM(AD44:AD48)</x:f>
        <x:v>627264.5991833652</x:v>
      </x:c>
      <x:c r="AE49" s="58" t="n">
        <x:f>SUM(AE44:AE48)</x:f>
        <x:v>670109.3796856153</x:v>
      </x:c>
      <x:c r="AF49" s="58" t="n">
        <x:f>SUM(AF44:AF48)</x:f>
        <x:v>794213.6638267053</x:v>
      </x:c>
      <x:c r="AG49" s="58" t="n">
        <x:f>SUM(AG44:AG48)</x:f>
        <x:v>847968.0577677105</x:v>
      </x:c>
      <x:c r="AH49" s="58" t="n">
        <x:f>SUM(AH44:AH48)</x:f>
        <x:v>904708.9215597477</x:v>
      </x:c>
      <x:c r="AI49" s="58" t="n">
        <x:f>SUM(AI44:AI48)</x:f>
        <x:v>965057.086449418</x:v>
      </x:c>
      <x:c r="AJ49" s="58" t="n">
        <x:f>SUM(AJ44:AJ48)</x:f>
        <x:v>1029385.4590518905</x:v>
      </x:c>
      <x:c r="AK49" s="58" t="n">
        <x:f>SUM(AK44:AK48)</x:f>
        <x:v>1098091.1514095925</x:v>
      </x:c>
    </x:row>
    <x:row r="50" ht="18" customHeight="1">
      <x:c r="A50" s="74" t="str">
        <x:v>CONTRIBUTION BEFORE ACQUISITION / FIXED</x:v>
      </x:c>
      <x:c r="B50" s="75" t="n">
        <x:f>B38-B49</x:f>
        <x:v>-1104.1700128060274</x:v>
      </x:c>
      <x:c r="C50" s="75" t="n">
        <x:f>C38-C49</x:f>
        <x:v>9930.626780944334</x:v>
      </x:c>
      <x:c r="D50" s="75" t="n">
        <x:f>D38-D49</x:f>
        <x:v>21522.46132160401</x:v>
      </x:c>
      <x:c r="E50" s="75" t="n">
        <x:f>E38-E49</x:f>
        <x:v>33674.01077235208</x:v>
      </x:c>
      <x:c r="F50" s="75" t="n">
        <x:f>F38-F49</x:f>
        <x:v>51332.94160906534</x:v>
      </x:c>
      <x:c r="G50" s="75" t="n">
        <x:f>G38-G49</x:f>
        <x:v>70149.43029360376</x:v>
      </x:c>
      <x:c r="H50" s="75" t="n">
        <x:f>H38-H49</x:f>
        <x:v>89271.94732781203</x:v>
      </x:c>
      <x:c r="I50" s="75" t="n">
        <x:f>I38-I49</x:f>
        <x:v>123272.8347936221</x:v>
      </x:c>
      <x:c r="J50" s="75" t="n">
        <x:f>J38-J49</x:f>
        <x:v>158798.99953591666</x:v>
      </x:c>
      <x:c r="K50" s="75" t="n">
        <x:f>K38-K49</x:f>
        <x:v>196502.53770157965</x:v>
      </x:c>
      <x:c r="L50" s="75" t="n">
        <x:f>L38-L49</x:f>
        <x:v>236803.15364173072</x:v>
      </x:c>
      <x:c r="M50" s="75" t="n">
        <x:f>M38-M49</x:f>
        <x:v>280172.5217563192</x:v>
      </x:c>
      <x:c r="N50" s="75" t="n">
        <x:f>N38-N49</x:f>
        <x:v>314829.92025272775</x:v>
      </x:c>
      <x:c r="O50" s="75" t="n">
        <x:f>O38-O49</x:f>
        <x:v>375438.4572229576</x:v>
      </x:c>
      <x:c r="P50" s="75" t="n">
        <x:f>P38-P49</x:f>
        <x:v>438383.269797837</x:v>
      </x:c>
      <x:c r="Q50" s="75" t="n">
        <x:f>Q38-Q49</x:f>
        <x:v>500628.1277959753</x:v>
      </x:c>
      <x:c r="R50" s="75" t="n">
        <x:f>R38-R49</x:f>
        <x:v>568604.0082236211</x:v>
      </x:c>
      <x:c r="S50" s="75" t="n">
        <x:f>S38-S49</x:f>
        <x:v>640732.8569038428</x:v>
      </x:c>
      <x:c r="T50" s="75" t="n">
        <x:f>T38-T49</x:f>
        <x:v>704215.2349042316</x:v>
      </x:c>
      <x:c r="U50" s="75" t="n">
        <x:f>U38-U49</x:f>
        <x:v>799197.1244189022</x:v>
      </x:c>
      <x:c r="V50" s="75" t="n">
        <x:f>V38-V49</x:f>
        <x:v>899372.8462176085</x:v>
      </x:c>
      <x:c r="W50" s="75" t="n">
        <x:f>W38-W49</x:f>
        <x:v>1005949.3878699939</x:v>
      </x:c>
      <x:c r="X50" s="75" t="n">
        <x:f>X38-X49</x:f>
        <x:v>1119784.395378583</x:v>
      </x:c>
      <x:c r="Y50" s="75" t="n">
        <x:f>Y38-Y49</x:f>
        <x:v>1241814.3568235098</x:v>
      </x:c>
      <x:c r="Z50" s="75" t="n">
        <x:f>Z38-Z49</x:f>
        <x:v>1350849.719138478</x:v>
      </x:c>
      <x:c r="AA50" s="75" t="n">
        <x:f>AA38-AA49</x:f>
        <x:v>1508383.8507465518</x:v>
      </x:c>
      <x:c r="AB50" s="75" t="n">
        <x:f>AB38-AB49</x:f>
        <x:v>1671031.5932499326</x:v>
      </x:c>
      <x:c r="AC50" s="75" t="n">
        <x:f>AC38-AC49</x:f>
        <x:v>1838179.2092850017</x:v>
      </x:c>
      <x:c r="AD50" s="75" t="n">
        <x:f>AD38-AD49</x:f>
        <x:v>2013584.551900067</x:v>
      </x:c>
      <x:c r="AE50" s="75" t="n">
        <x:f>AE38-AE49</x:f>
        <x:v>2196502.2254591133</x:v>
      </x:c>
      <x:c r="AF50" s="75" t="n">
        <x:f>AF38-AF49</x:f>
        <x:v>2359591.6302383128</x:v>
      </x:c>
      <x:c r="AG50" s="75" t="n">
        <x:f>AG38-AG49</x:f>
        <x:v>2599145.1692642057</x:v>
      </x:c>
      <x:c r="AH50" s="75" t="n">
        <x:f>AH38-AH49</x:f>
        <x:v>2845810.7276531444</x:v>
      </x:c>
      <x:c r="AI50" s="75" t="n">
        <x:f>AI38-AI49</x:f>
        <x:v>3101481.6055367216</x:v>
      </x:c>
      <x:c r="AJ50" s="75" t="n">
        <x:f>AJ38-AJ49</x:f>
        <x:v>3366902.5323494887</x:v>
      </x:c>
      <x:c r="AK50" s="75" t="n">
        <x:f>AK38-AK49</x:f>
        <x:v>3642811.76226821</x:v>
      </x:c>
    </x:row>
    <x:row r="51" ht="18" customHeight="1">
      <x:c r="A51" s="4" t="str">
        <x:v>Contribution margin (%)</x:v>
      </x:c>
      <x:c r="B51" s="62" t="n">
        <x:f>IFERROR(B50/B38,0)</x:f>
        <x:v>-0.08058488386923723</x:v>
      </x:c>
      <x:c r="C51" s="62" t="n">
        <x:f>IFERROR(C50/C38,0)</x:f>
        <x:v>0.36226765452448234</x:v>
      </x:c>
      <x:c r="D51" s="62" t="n">
        <x:f>IFERROR(D50/D38,0)</x:f>
        <x:v>0.5137087864709844</x:v>
      </x:c>
      <x:c r="E51" s="62" t="n">
        <x:f>IFERROR(E50/E38,0)</x:f>
        <x:v>0.5383505603131638</x:v>
      </x:c>
      <x:c r="F51" s="62" t="n">
        <x:f>IFERROR(F50/F38,0)</x:f>
        <x:v>0.6092976231217481</x:v>
      </x:c>
      <x:c r="G51" s="62" t="n">
        <x:f>IFERROR(G50/G38,0)</x:f>
        <x:v>0.6525034747573369</x:v>
      </x:c>
      <x:c r="H51" s="62" t="n">
        <x:f>IFERROR(H50/H38,0)</x:f>
        <x:v>0.605494902807777</x:v>
      </x:c>
      <x:c r="I51" s="62" t="n">
        <x:f>IFERROR(I50/I38,0)</x:f>
        <x:v>0.6546558842261199</x:v>
      </x:c>
      <x:c r="J51" s="62" t="n">
        <x:f>IFERROR(J50/J38,0)</x:f>
        <x:v>0.6867024805569297</x:v>
      </x:c>
      <x:c r="K51" s="62" t="n">
        <x:f>IFERROR(K50/K38,0)</x:f>
        <x:v>0.7091079682217445</x:v>
      </x:c>
      <x:c r="L51" s="62" t="n">
        <x:f>IFERROR(L50/L38,0)</x:f>
        <x:v>0.7253991273555169</x:v>
      </x:c>
      <x:c r="M51" s="62" t="n">
        <x:f>IFERROR(M50/M38,0)</x:f>
        <x:v>0.737549263711998</x:v>
      </x:c>
      <x:c r="N51" s="62" t="n">
        <x:f>IFERROR(N50/N38,0)</x:f>
        <x:v>0.6972119568102128</x:v>
      </x:c>
      <x:c r="O51" s="62" t="n">
        <x:f>IFERROR(O50/O38,0)</x:f>
        <x:v>0.7151764212724818</x:v>
      </x:c>
      <x:c r="P51" s="62" t="n">
        <x:f>IFERROR(P50/P38,0)</x:f>
        <x:v>0.7286798811487243</x:v>
      </x:c>
      <x:c r="Q51" s="62" t="n">
        <x:f>IFERROR(Q50/Q38,0)</x:f>
        <x:v>0.7354830813037031</x:v>
      </x:c>
      <x:c r="R51" s="62" t="n">
        <x:f>IFERROR(R50/R38,0)</x:f>
        <x:v>0.743559003069623</x:v>
      </x:c>
      <x:c r="S51" s="62" t="n">
        <x:f>IFERROR(S50/S38,0)</x:f>
        <x:v>0.7499243370136661</x:v>
      </x:c>
      <x:c r="T51" s="62" t="n">
        <x:f>IFERROR(T50/T38,0)</x:f>
        <x:v>0.7282011067272971</x:v>
      </x:c>
      <x:c r="U51" s="62" t="n">
        <x:f>IFERROR(U50/U38,0)</x:f>
        <x:v>0.7366740969246821</x:v>
      </x:c>
      <x:c r="V51" s="62" t="n">
        <x:f>IFERROR(V50/V38,0)</x:f>
        <x:v>0.7433558817361509</x:v>
      </x:c>
      <x:c r="W51" s="62" t="n">
        <x:f>IFERROR(W50/W38,0)</x:f>
        <x:v>0.7486471540006701</x:v>
      </x:c>
      <x:c r="X51" s="62" t="n">
        <x:f>IFERROR(X50/X38,0)</x:f>
        <x:v>0.7528080760225889</x:v>
      </x:c>
      <x:c r="Y51" s="62" t="n">
        <x:f>IFERROR(Y50/Y38,0)</x:f>
        <x:v>0.7560334825782007</x:v>
      </x:c>
      <x:c r="Z51" s="62" t="n">
        <x:f>IFERROR(Z50/Z38,0)</x:f>
        <x:v>0.7383836243097303</x:v>
      </x:c>
      <x:c r="AA51" s="62" t="n">
        <x:f>IFERROR(AA50/AA38,0)</x:f>
        <x:v>0.7464348171941437</x:v>
      </x:c>
      <x:c r="AB51" s="62" t="n">
        <x:f>IFERROR(AB50/AB38,0)</x:f>
        <x:v>0.7530449364314663</x:v>
      </x:c>
      <x:c r="AC51" s="62" t="n">
        <x:f>IFERROR(AC50/AC38,0)</x:f>
        <x:v>0.757928243690402</x:v>
      </x:c>
      <x:c r="AD51" s="62" t="n">
        <x:f>IFERROR(AD50/AD38,0)</x:f>
        <x:v>0.7624761721334881</x:v>
      </x:c>
      <x:c r="AE51" s="62" t="n">
        <x:f>IFERROR(AE50/AE38,0)</x:f>
        <x:v>0.7662364240474834</x:v>
      </x:c>
      <x:c r="AF51" s="62" t="n">
        <x:f>IFERROR(AF50/AF38,0)</x:f>
        <x:v>0.7481728928157694</x:v>
      </x:c>
      <x:c r="AG51" s="62" t="n">
        <x:f>IFERROR(AG50/AG38,0)</x:f>
        <x:v>0.7540063229957084</x:v>
      </x:c>
      <x:c r="AH51" s="62" t="n">
        <x:f>IFERROR(AH50/AH38,0)</x:f>
        <x:v>0.7587777145096105</x:v>
      </x:c>
      <x:c r="AI51" s="62" t="n">
        <x:f>IFERROR(AI50/AI38,0)</x:f>
        <x:v>0.7626834122219862</x:v>
      </x:c>
      <x:c r="AJ51" s="62" t="n">
        <x:f>IFERROR(AJ50/AJ38,0)</x:f>
        <x:v>0.7658512224255447</x:v>
      </x:c>
      <x:c r="AK51" s="62" t="n">
        <x:f>IFERROR(AK50/AK38,0)</x:f>
        <x:v>0.7683793211116957</x:v>
      </x:c>
    </x:row>
    <x:row r="52" ht="18" customHeight="1">
      <x:c r="A52" s="4" t="str">
        <x:v>Core operating overhead (INR)</x:v>
      </x:c>
      <x:c r="B52" s="60" t="n">
        <x:f>'Scenario Inputs'!$D$24</x:f>
        <x:v>10000</x:v>
      </x:c>
      <x:c r="C52" s="60" t="n">
        <x:f>'Scenario Inputs'!$D$24</x:f>
        <x:v>10000</x:v>
      </x:c>
      <x:c r="D52" s="60" t="n">
        <x:f>'Scenario Inputs'!$D$24</x:f>
        <x:v>10000</x:v>
      </x:c>
      <x:c r="E52" s="60" t="n">
        <x:f>'Scenario Inputs'!$D$24</x:f>
        <x:v>10000</x:v>
      </x:c>
      <x:c r="F52" s="60" t="n">
        <x:f>'Scenario Inputs'!$D$24</x:f>
        <x:v>10000</x:v>
      </x:c>
      <x:c r="G52" s="60" t="n">
        <x:f>'Scenario Inputs'!$D$24</x:f>
        <x:v>10000</x:v>
      </x:c>
      <x:c r="H52" s="60" t="n">
        <x:f>'Scenario Inputs'!$D$24</x:f>
        <x:v>10000</x:v>
      </x:c>
      <x:c r="I52" s="60" t="n">
        <x:f>'Scenario Inputs'!$D$24</x:f>
        <x:v>10000</x:v>
      </x:c>
      <x:c r="J52" s="60" t="n">
        <x:f>'Scenario Inputs'!$D$24</x:f>
        <x:v>10000</x:v>
      </x:c>
      <x:c r="K52" s="60" t="n">
        <x:f>'Scenario Inputs'!$D$24</x:f>
        <x:v>10000</x:v>
      </x:c>
      <x:c r="L52" s="60" t="n">
        <x:f>'Scenario Inputs'!$D$24</x:f>
        <x:v>10000</x:v>
      </x:c>
      <x:c r="M52" s="60" t="n">
        <x:f>'Scenario Inputs'!$D$24</x:f>
        <x:v>10000</x:v>
      </x:c>
      <x:c r="N52" s="60" t="n">
        <x:f>'Scenario Inputs'!$D$25</x:f>
        <x:v>20000</x:v>
      </x:c>
      <x:c r="O52" s="60" t="n">
        <x:f>'Scenario Inputs'!$D$25</x:f>
        <x:v>20000</x:v>
      </x:c>
      <x:c r="P52" s="60" t="n">
        <x:f>'Scenario Inputs'!$D$25</x:f>
        <x:v>20000</x:v>
      </x:c>
      <x:c r="Q52" s="60" t="n">
        <x:f>'Scenario Inputs'!$D$25</x:f>
        <x:v>20000</x:v>
      </x:c>
      <x:c r="R52" s="60" t="n">
        <x:f>'Scenario Inputs'!$D$25</x:f>
        <x:v>20000</x:v>
      </x:c>
      <x:c r="S52" s="60" t="n">
        <x:f>'Scenario Inputs'!$D$25</x:f>
        <x:v>20000</x:v>
      </x:c>
      <x:c r="T52" s="60" t="n">
        <x:f>'Scenario Inputs'!$D$25</x:f>
        <x:v>20000</x:v>
      </x:c>
      <x:c r="U52" s="60" t="n">
        <x:f>'Scenario Inputs'!$D$25</x:f>
        <x:v>20000</x:v>
      </x:c>
      <x:c r="V52" s="60" t="n">
        <x:f>'Scenario Inputs'!$D$25</x:f>
        <x:v>20000</x:v>
      </x:c>
      <x:c r="W52" s="60" t="n">
        <x:f>'Scenario Inputs'!$D$25</x:f>
        <x:v>20000</x:v>
      </x:c>
      <x:c r="X52" s="60" t="n">
        <x:f>'Scenario Inputs'!$D$25</x:f>
        <x:v>20000</x:v>
      </x:c>
      <x:c r="Y52" s="60" t="n">
        <x:f>'Scenario Inputs'!$D$25</x:f>
        <x:v>20000</x:v>
      </x:c>
      <x:c r="Z52" s="60" t="n">
        <x:f>'Scenario Inputs'!$D$26</x:f>
        <x:v>40000</x:v>
      </x:c>
      <x:c r="AA52" s="60" t="n">
        <x:f>'Scenario Inputs'!$D$26</x:f>
        <x:v>40000</x:v>
      </x:c>
      <x:c r="AB52" s="60" t="n">
        <x:f>'Scenario Inputs'!$D$26</x:f>
        <x:v>40000</x:v>
      </x:c>
      <x:c r="AC52" s="60" t="n">
        <x:f>'Scenario Inputs'!$D$26</x:f>
        <x:v>40000</x:v>
      </x:c>
      <x:c r="AD52" s="60" t="n">
        <x:f>'Scenario Inputs'!$D$26</x:f>
        <x:v>40000</x:v>
      </x:c>
      <x:c r="AE52" s="60" t="n">
        <x:f>'Scenario Inputs'!$D$26</x:f>
        <x:v>40000</x:v>
      </x:c>
      <x:c r="AF52" s="60" t="n">
        <x:f>'Scenario Inputs'!$D$26</x:f>
        <x:v>40000</x:v>
      </x:c>
      <x:c r="AG52" s="60" t="n">
        <x:f>'Scenario Inputs'!$D$26</x:f>
        <x:v>40000</x:v>
      </x:c>
      <x:c r="AH52" s="60" t="n">
        <x:f>'Scenario Inputs'!$D$26</x:f>
        <x:v>40000</x:v>
      </x:c>
      <x:c r="AI52" s="60" t="n">
        <x:f>'Scenario Inputs'!$D$26</x:f>
        <x:v>40000</x:v>
      </x:c>
      <x:c r="AJ52" s="60" t="n">
        <x:f>'Scenario Inputs'!$D$26</x:f>
        <x:v>40000</x:v>
      </x:c>
      <x:c r="AK52" s="60" t="n">
        <x:f>'Scenario Inputs'!$D$26</x:f>
        <x:v>40000</x:v>
      </x:c>
    </x:row>
    <x:row r="53" ht="18" customHeight="1">
      <x:c r="A53" s="4" t="str">
        <x:v>Scaled technical QA reserve (INR)</x:v>
      </x:c>
      <x:c r="B53" s="58" t="n">
        <x:f>IF(B34&gt;='Commercial Inputs'!$B$38,'Commercial Inputs'!$B$42,IF(B34&gt;='Commercial Inputs'!$B$37,'Commercial Inputs'!$B$41,IF(B34&gt;='Commercial Inputs'!$B$36,'Commercial Inputs'!$B$40,IF(B34&gt;='Commercial Inputs'!$B$35,'Commercial Inputs'!$B$39,0))))</x:f>
        <x:v>0</x:v>
      </x:c>
      <x:c r="C53" s="58" t="n">
        <x:f>IF(C34&gt;='Commercial Inputs'!$B$38,'Commercial Inputs'!$B$42,IF(C34&gt;='Commercial Inputs'!$B$37,'Commercial Inputs'!$B$41,IF(C34&gt;='Commercial Inputs'!$B$36,'Commercial Inputs'!$B$40,IF(C34&gt;='Commercial Inputs'!$B$35,'Commercial Inputs'!$B$39,0))))</x:f>
        <x:v>0</x:v>
      </x:c>
      <x:c r="D53" s="58" t="n">
        <x:f>IF(D34&gt;='Commercial Inputs'!$B$38,'Commercial Inputs'!$B$42,IF(D34&gt;='Commercial Inputs'!$B$37,'Commercial Inputs'!$B$41,IF(D34&gt;='Commercial Inputs'!$B$36,'Commercial Inputs'!$B$40,IF(D34&gt;='Commercial Inputs'!$B$35,'Commercial Inputs'!$B$39,0))))</x:f>
        <x:v>0</x:v>
      </x:c>
      <x:c r="E53" s="58" t="n">
        <x:f>IF(E34&gt;='Commercial Inputs'!$B$38,'Commercial Inputs'!$B$42,IF(E34&gt;='Commercial Inputs'!$B$37,'Commercial Inputs'!$B$41,IF(E34&gt;='Commercial Inputs'!$B$36,'Commercial Inputs'!$B$40,IF(E34&gt;='Commercial Inputs'!$B$35,'Commercial Inputs'!$B$39,0))))</x:f>
        <x:v>0</x:v>
      </x:c>
      <x:c r="F53" s="58" t="n">
        <x:f>IF(F34&gt;='Commercial Inputs'!$B$38,'Commercial Inputs'!$B$42,IF(F34&gt;='Commercial Inputs'!$B$37,'Commercial Inputs'!$B$41,IF(F34&gt;='Commercial Inputs'!$B$36,'Commercial Inputs'!$B$40,IF(F34&gt;='Commercial Inputs'!$B$35,'Commercial Inputs'!$B$39,0))))</x:f>
        <x:v>0</x:v>
      </x:c>
      <x:c r="G53" s="58" t="n">
        <x:f>IF(G34&gt;='Commercial Inputs'!$B$38,'Commercial Inputs'!$B$42,IF(G34&gt;='Commercial Inputs'!$B$37,'Commercial Inputs'!$B$41,IF(G34&gt;='Commercial Inputs'!$B$36,'Commercial Inputs'!$B$40,IF(G34&gt;='Commercial Inputs'!$B$35,'Commercial Inputs'!$B$39,0))))</x:f>
        <x:v>0</x:v>
      </x:c>
      <x:c r="H53" s="58" t="n">
        <x:f>IF(H34&gt;='Commercial Inputs'!$B$38,'Commercial Inputs'!$B$42,IF(H34&gt;='Commercial Inputs'!$B$37,'Commercial Inputs'!$B$41,IF(H34&gt;='Commercial Inputs'!$B$36,'Commercial Inputs'!$B$40,IF(H34&gt;='Commercial Inputs'!$B$35,'Commercial Inputs'!$B$39,0))))</x:f>
        <x:v>10000</x:v>
      </x:c>
      <x:c r="I53" s="58" t="n">
        <x:f>IF(I34&gt;='Commercial Inputs'!$B$38,'Commercial Inputs'!$B$42,IF(I34&gt;='Commercial Inputs'!$B$37,'Commercial Inputs'!$B$41,IF(I34&gt;='Commercial Inputs'!$B$36,'Commercial Inputs'!$B$40,IF(I34&gt;='Commercial Inputs'!$B$35,'Commercial Inputs'!$B$39,0))))</x:f>
        <x:v>10000</x:v>
      </x:c>
      <x:c r="J53" s="58" t="n">
        <x:f>IF(J34&gt;='Commercial Inputs'!$B$38,'Commercial Inputs'!$B$42,IF(J34&gt;='Commercial Inputs'!$B$37,'Commercial Inputs'!$B$41,IF(J34&gt;='Commercial Inputs'!$B$36,'Commercial Inputs'!$B$40,IF(J34&gt;='Commercial Inputs'!$B$35,'Commercial Inputs'!$B$39,0))))</x:f>
        <x:v>10000</x:v>
      </x:c>
      <x:c r="K53" s="58" t="n">
        <x:f>IF(K34&gt;='Commercial Inputs'!$B$38,'Commercial Inputs'!$B$42,IF(K34&gt;='Commercial Inputs'!$B$37,'Commercial Inputs'!$B$41,IF(K34&gt;='Commercial Inputs'!$B$36,'Commercial Inputs'!$B$40,IF(K34&gt;='Commercial Inputs'!$B$35,'Commercial Inputs'!$B$39,0))))</x:f>
        <x:v>10000</x:v>
      </x:c>
      <x:c r="L53" s="58" t="n">
        <x:f>IF(L34&gt;='Commercial Inputs'!$B$38,'Commercial Inputs'!$B$42,IF(L34&gt;='Commercial Inputs'!$B$37,'Commercial Inputs'!$B$41,IF(L34&gt;='Commercial Inputs'!$B$36,'Commercial Inputs'!$B$40,IF(L34&gt;='Commercial Inputs'!$B$35,'Commercial Inputs'!$B$39,0))))</x:f>
        <x:v>10000</x:v>
      </x:c>
      <x:c r="M53" s="58" t="n">
        <x:f>IF(M34&gt;='Commercial Inputs'!$B$38,'Commercial Inputs'!$B$42,IF(M34&gt;='Commercial Inputs'!$B$37,'Commercial Inputs'!$B$41,IF(M34&gt;='Commercial Inputs'!$B$36,'Commercial Inputs'!$B$40,IF(M34&gt;='Commercial Inputs'!$B$35,'Commercial Inputs'!$B$39,0))))</x:f>
        <x:v>10000</x:v>
      </x:c>
      <x:c r="N53" s="58" t="n">
        <x:f>IF(N34&gt;='Commercial Inputs'!$B$38,'Commercial Inputs'!$B$42,IF(N34&gt;='Commercial Inputs'!$B$37,'Commercial Inputs'!$B$41,IF(N34&gt;='Commercial Inputs'!$B$36,'Commercial Inputs'!$B$40,IF(N34&gt;='Commercial Inputs'!$B$35,'Commercial Inputs'!$B$39,0))))</x:f>
        <x:v>25000</x:v>
      </x:c>
      <x:c r="O53" s="58" t="n">
        <x:f>IF(O34&gt;='Commercial Inputs'!$B$38,'Commercial Inputs'!$B$42,IF(O34&gt;='Commercial Inputs'!$B$37,'Commercial Inputs'!$B$41,IF(O34&gt;='Commercial Inputs'!$B$36,'Commercial Inputs'!$B$40,IF(O34&gt;='Commercial Inputs'!$B$35,'Commercial Inputs'!$B$39,0))))</x:f>
        <x:v>25000</x:v>
      </x:c>
      <x:c r="P53" s="58" t="n">
        <x:f>IF(P34&gt;='Commercial Inputs'!$B$38,'Commercial Inputs'!$B$42,IF(P34&gt;='Commercial Inputs'!$B$37,'Commercial Inputs'!$B$41,IF(P34&gt;='Commercial Inputs'!$B$36,'Commercial Inputs'!$B$40,IF(P34&gt;='Commercial Inputs'!$B$35,'Commercial Inputs'!$B$39,0))))</x:f>
        <x:v>25000</x:v>
      </x:c>
      <x:c r="Q53" s="58" t="n">
        <x:f>IF(Q34&gt;='Commercial Inputs'!$B$38,'Commercial Inputs'!$B$42,IF(Q34&gt;='Commercial Inputs'!$B$37,'Commercial Inputs'!$B$41,IF(Q34&gt;='Commercial Inputs'!$B$36,'Commercial Inputs'!$B$40,IF(Q34&gt;='Commercial Inputs'!$B$35,'Commercial Inputs'!$B$39,0))))</x:f>
        <x:v>25000</x:v>
      </x:c>
      <x:c r="R53" s="58" t="n">
        <x:f>IF(R34&gt;='Commercial Inputs'!$B$38,'Commercial Inputs'!$B$42,IF(R34&gt;='Commercial Inputs'!$B$37,'Commercial Inputs'!$B$41,IF(R34&gt;='Commercial Inputs'!$B$36,'Commercial Inputs'!$B$40,IF(R34&gt;='Commercial Inputs'!$B$35,'Commercial Inputs'!$B$39,0))))</x:f>
        <x:v>25000</x:v>
      </x:c>
      <x:c r="S53" s="58" t="n">
        <x:f>IF(S34&gt;='Commercial Inputs'!$B$38,'Commercial Inputs'!$B$42,IF(S34&gt;='Commercial Inputs'!$B$37,'Commercial Inputs'!$B$41,IF(S34&gt;='Commercial Inputs'!$B$36,'Commercial Inputs'!$B$40,IF(S34&gt;='Commercial Inputs'!$B$35,'Commercial Inputs'!$B$39,0))))</x:f>
        <x:v>25000</x:v>
      </x:c>
      <x:c r="T53" s="58" t="n">
        <x:f>IF(T34&gt;='Commercial Inputs'!$B$38,'Commercial Inputs'!$B$42,IF(T34&gt;='Commercial Inputs'!$B$37,'Commercial Inputs'!$B$41,IF(T34&gt;='Commercial Inputs'!$B$36,'Commercial Inputs'!$B$40,IF(T34&gt;='Commercial Inputs'!$B$35,'Commercial Inputs'!$B$39,0))))</x:f>
        <x:v>25000</x:v>
      </x:c>
      <x:c r="U53" s="58" t="n">
        <x:f>IF(U34&gt;='Commercial Inputs'!$B$38,'Commercial Inputs'!$B$42,IF(U34&gt;='Commercial Inputs'!$B$37,'Commercial Inputs'!$B$41,IF(U34&gt;='Commercial Inputs'!$B$36,'Commercial Inputs'!$B$40,IF(U34&gt;='Commercial Inputs'!$B$35,'Commercial Inputs'!$B$39,0))))</x:f>
        <x:v>25000</x:v>
      </x:c>
      <x:c r="V53" s="58" t="n">
        <x:f>IF(V34&gt;='Commercial Inputs'!$B$38,'Commercial Inputs'!$B$42,IF(V34&gt;='Commercial Inputs'!$B$37,'Commercial Inputs'!$B$41,IF(V34&gt;='Commercial Inputs'!$B$36,'Commercial Inputs'!$B$40,IF(V34&gt;='Commercial Inputs'!$B$35,'Commercial Inputs'!$B$39,0))))</x:f>
        <x:v>25000</x:v>
      </x:c>
      <x:c r="W53" s="58" t="n">
        <x:f>IF(W34&gt;='Commercial Inputs'!$B$38,'Commercial Inputs'!$B$42,IF(W34&gt;='Commercial Inputs'!$B$37,'Commercial Inputs'!$B$41,IF(W34&gt;='Commercial Inputs'!$B$36,'Commercial Inputs'!$B$40,IF(W34&gt;='Commercial Inputs'!$B$35,'Commercial Inputs'!$B$39,0))))</x:f>
        <x:v>25000</x:v>
      </x:c>
      <x:c r="X53" s="58" t="n">
        <x:f>IF(X34&gt;='Commercial Inputs'!$B$38,'Commercial Inputs'!$B$42,IF(X34&gt;='Commercial Inputs'!$B$37,'Commercial Inputs'!$B$41,IF(X34&gt;='Commercial Inputs'!$B$36,'Commercial Inputs'!$B$40,IF(X34&gt;='Commercial Inputs'!$B$35,'Commercial Inputs'!$B$39,0))))</x:f>
        <x:v>75000</x:v>
      </x:c>
      <x:c r="Y53" s="58" t="n">
        <x:f>IF(Y34&gt;='Commercial Inputs'!$B$38,'Commercial Inputs'!$B$42,IF(Y34&gt;='Commercial Inputs'!$B$37,'Commercial Inputs'!$B$41,IF(Y34&gt;='Commercial Inputs'!$B$36,'Commercial Inputs'!$B$40,IF(Y34&gt;='Commercial Inputs'!$B$35,'Commercial Inputs'!$B$39,0))))</x:f>
        <x:v>75000</x:v>
      </x:c>
      <x:c r="Z53" s="58" t="n">
        <x:f>IF(Z34&gt;='Commercial Inputs'!$B$38,'Commercial Inputs'!$B$42,IF(Z34&gt;='Commercial Inputs'!$B$37,'Commercial Inputs'!$B$41,IF(Z34&gt;='Commercial Inputs'!$B$36,'Commercial Inputs'!$B$40,IF(Z34&gt;='Commercial Inputs'!$B$35,'Commercial Inputs'!$B$39,0))))</x:f>
        <x:v>75000</x:v>
      </x:c>
      <x:c r="AA53" s="58" t="n">
        <x:f>IF(AA34&gt;='Commercial Inputs'!$B$38,'Commercial Inputs'!$B$42,IF(AA34&gt;='Commercial Inputs'!$B$37,'Commercial Inputs'!$B$41,IF(AA34&gt;='Commercial Inputs'!$B$36,'Commercial Inputs'!$B$40,IF(AA34&gt;='Commercial Inputs'!$B$35,'Commercial Inputs'!$B$39,0))))</x:f>
        <x:v>75000</x:v>
      </x:c>
      <x:c r="AB53" s="58" t="n">
        <x:f>IF(AB34&gt;='Commercial Inputs'!$B$38,'Commercial Inputs'!$B$42,IF(AB34&gt;='Commercial Inputs'!$B$37,'Commercial Inputs'!$B$41,IF(AB34&gt;='Commercial Inputs'!$B$36,'Commercial Inputs'!$B$40,IF(AB34&gt;='Commercial Inputs'!$B$35,'Commercial Inputs'!$B$39,0))))</x:f>
        <x:v>75000</x:v>
      </x:c>
      <x:c r="AC53" s="58" t="n">
        <x:f>IF(AC34&gt;='Commercial Inputs'!$B$38,'Commercial Inputs'!$B$42,IF(AC34&gt;='Commercial Inputs'!$B$37,'Commercial Inputs'!$B$41,IF(AC34&gt;='Commercial Inputs'!$B$36,'Commercial Inputs'!$B$40,IF(AC34&gt;='Commercial Inputs'!$B$35,'Commercial Inputs'!$B$39,0))))</x:f>
        <x:v>75000</x:v>
      </x:c>
      <x:c r="AD53" s="58" t="n">
        <x:f>IF(AD34&gt;='Commercial Inputs'!$B$38,'Commercial Inputs'!$B$42,IF(AD34&gt;='Commercial Inputs'!$B$37,'Commercial Inputs'!$B$41,IF(AD34&gt;='Commercial Inputs'!$B$36,'Commercial Inputs'!$B$40,IF(AD34&gt;='Commercial Inputs'!$B$35,'Commercial Inputs'!$B$39,0))))</x:f>
        <x:v>75000</x:v>
      </x:c>
      <x:c r="AE53" s="58" t="n">
        <x:f>IF(AE34&gt;='Commercial Inputs'!$B$38,'Commercial Inputs'!$B$42,IF(AE34&gt;='Commercial Inputs'!$B$37,'Commercial Inputs'!$B$41,IF(AE34&gt;='Commercial Inputs'!$B$36,'Commercial Inputs'!$B$40,IF(AE34&gt;='Commercial Inputs'!$B$35,'Commercial Inputs'!$B$39,0))))</x:f>
        <x:v>150000</x:v>
      </x:c>
      <x:c r="AF53" s="58" t="n">
        <x:f>IF(AF34&gt;='Commercial Inputs'!$B$38,'Commercial Inputs'!$B$42,IF(AF34&gt;='Commercial Inputs'!$B$37,'Commercial Inputs'!$B$41,IF(AF34&gt;='Commercial Inputs'!$B$36,'Commercial Inputs'!$B$40,IF(AF34&gt;='Commercial Inputs'!$B$35,'Commercial Inputs'!$B$39,0))))</x:f>
        <x:v>150000</x:v>
      </x:c>
      <x:c r="AG53" s="58" t="n">
        <x:f>IF(AG34&gt;='Commercial Inputs'!$B$38,'Commercial Inputs'!$B$42,IF(AG34&gt;='Commercial Inputs'!$B$37,'Commercial Inputs'!$B$41,IF(AG34&gt;='Commercial Inputs'!$B$36,'Commercial Inputs'!$B$40,IF(AG34&gt;='Commercial Inputs'!$B$35,'Commercial Inputs'!$B$39,0))))</x:f>
        <x:v>150000</x:v>
      </x:c>
      <x:c r="AH53" s="58" t="n">
        <x:f>IF(AH34&gt;='Commercial Inputs'!$B$38,'Commercial Inputs'!$B$42,IF(AH34&gt;='Commercial Inputs'!$B$37,'Commercial Inputs'!$B$41,IF(AH34&gt;='Commercial Inputs'!$B$36,'Commercial Inputs'!$B$40,IF(AH34&gt;='Commercial Inputs'!$B$35,'Commercial Inputs'!$B$39,0))))</x:f>
        <x:v>150000</x:v>
      </x:c>
      <x:c r="AI53" s="58" t="n">
        <x:f>IF(AI34&gt;='Commercial Inputs'!$B$38,'Commercial Inputs'!$B$42,IF(AI34&gt;='Commercial Inputs'!$B$37,'Commercial Inputs'!$B$41,IF(AI34&gt;='Commercial Inputs'!$B$36,'Commercial Inputs'!$B$40,IF(AI34&gt;='Commercial Inputs'!$B$35,'Commercial Inputs'!$B$39,0))))</x:f>
        <x:v>150000</x:v>
      </x:c>
      <x:c r="AJ53" s="58" t="n">
        <x:f>IF(AJ34&gt;='Commercial Inputs'!$B$38,'Commercial Inputs'!$B$42,IF(AJ34&gt;='Commercial Inputs'!$B$37,'Commercial Inputs'!$B$41,IF(AJ34&gt;='Commercial Inputs'!$B$36,'Commercial Inputs'!$B$40,IF(AJ34&gt;='Commercial Inputs'!$B$35,'Commercial Inputs'!$B$39,0))))</x:f>
        <x:v>150000</x:v>
      </x:c>
      <x:c r="AK53" s="58" t="n">
        <x:f>IF(AK34&gt;='Commercial Inputs'!$B$38,'Commercial Inputs'!$B$42,IF(AK34&gt;='Commercial Inputs'!$B$37,'Commercial Inputs'!$B$41,IF(AK34&gt;='Commercial Inputs'!$B$36,'Commercial Inputs'!$B$40,IF(AK34&gt;='Commercial Inputs'!$B$35,'Commercial Inputs'!$B$39,0))))</x:f>
        <x:v>150000</x:v>
      </x:c>
    </x:row>
    <x:row r="54" ht="18" customHeight="1">
      <x:c r="A54" s="4" t="str">
        <x:v>Founder cash pay (INR)</x:v>
      </x:c>
      <x:c r="B54" s="60" t="n">
        <x:f>'Commercial Inputs'!$B$32</x:f>
        <x:v>0</x:v>
      </x:c>
      <x:c r="C54" s="60" t="n">
        <x:f>'Commercial Inputs'!$B$32</x:f>
        <x:v>0</x:v>
      </x:c>
      <x:c r="D54" s="60" t="n">
        <x:f>'Commercial Inputs'!$B$32</x:f>
        <x:v>0</x:v>
      </x:c>
      <x:c r="E54" s="60" t="n">
        <x:f>'Commercial Inputs'!$B$32</x:f>
        <x:v>0</x:v>
      </x:c>
      <x:c r="F54" s="60" t="n">
        <x:f>'Commercial Inputs'!$B$32</x:f>
        <x:v>0</x:v>
      </x:c>
      <x:c r="G54" s="60" t="n">
        <x:f>'Commercial Inputs'!$B$32</x:f>
        <x:v>0</x:v>
      </x:c>
      <x:c r="H54" s="60" t="n">
        <x:f>'Commercial Inputs'!$B$32</x:f>
        <x:v>0</x:v>
      </x:c>
      <x:c r="I54" s="60" t="n">
        <x:f>'Commercial Inputs'!$B$32</x:f>
        <x:v>0</x:v>
      </x:c>
      <x:c r="J54" s="60" t="n">
        <x:f>'Commercial Inputs'!$B$32</x:f>
        <x:v>0</x:v>
      </x:c>
      <x:c r="K54" s="60" t="n">
        <x:f>'Commercial Inputs'!$B$32</x:f>
        <x:v>0</x:v>
      </x:c>
      <x:c r="L54" s="60" t="n">
        <x:f>'Commercial Inputs'!$B$32</x:f>
        <x:v>0</x:v>
      </x:c>
      <x:c r="M54" s="60" t="n">
        <x:f>'Commercial Inputs'!$B$32</x:f>
        <x:v>0</x:v>
      </x:c>
      <x:c r="N54" s="60" t="n">
        <x:f>'Commercial Inputs'!$B$32</x:f>
        <x:v>0</x:v>
      </x:c>
      <x:c r="O54" s="60" t="n">
        <x:f>'Commercial Inputs'!$B$32</x:f>
        <x:v>0</x:v>
      </x:c>
      <x:c r="P54" s="60" t="n">
        <x:f>'Commercial Inputs'!$B$32</x:f>
        <x:v>0</x:v>
      </x:c>
      <x:c r="Q54" s="60" t="n">
        <x:f>'Commercial Inputs'!$B$32</x:f>
        <x:v>0</x:v>
      </x:c>
      <x:c r="R54" s="60" t="n">
        <x:f>'Commercial Inputs'!$B$32</x:f>
        <x:v>0</x:v>
      </x:c>
      <x:c r="S54" s="60" t="n">
        <x:f>'Commercial Inputs'!$B$32</x:f>
        <x:v>0</x:v>
      </x:c>
      <x:c r="T54" s="60" t="n">
        <x:f>'Commercial Inputs'!$B$32</x:f>
        <x:v>0</x:v>
      </x:c>
      <x:c r="U54" s="60" t="n">
        <x:f>'Commercial Inputs'!$B$32</x:f>
        <x:v>0</x:v>
      </x:c>
      <x:c r="V54" s="60" t="n">
        <x:f>'Commercial Inputs'!$B$32</x:f>
        <x:v>0</x:v>
      </x:c>
      <x:c r="W54" s="60" t="n">
        <x:f>'Commercial Inputs'!$B$32</x:f>
        <x:v>0</x:v>
      </x:c>
      <x:c r="X54" s="60" t="n">
        <x:f>'Commercial Inputs'!$B$32</x:f>
        <x:v>0</x:v>
      </x:c>
      <x:c r="Y54" s="60" t="n">
        <x:f>'Commercial Inputs'!$B$32</x:f>
        <x:v>0</x:v>
      </x:c>
      <x:c r="Z54" s="60" t="n">
        <x:f>'Commercial Inputs'!$B$32</x:f>
        <x:v>0</x:v>
      </x:c>
      <x:c r="AA54" s="60" t="n">
        <x:f>'Commercial Inputs'!$B$32</x:f>
        <x:v>0</x:v>
      </x:c>
      <x:c r="AB54" s="60" t="n">
        <x:f>'Commercial Inputs'!$B$32</x:f>
        <x:v>0</x:v>
      </x:c>
      <x:c r="AC54" s="60" t="n">
        <x:f>'Commercial Inputs'!$B$32</x:f>
        <x:v>0</x:v>
      </x:c>
      <x:c r="AD54" s="60" t="n">
        <x:f>'Commercial Inputs'!$B$32</x:f>
        <x:v>0</x:v>
      </x:c>
      <x:c r="AE54" s="60" t="n">
        <x:f>'Commercial Inputs'!$B$32</x:f>
        <x:v>0</x:v>
      </x:c>
      <x:c r="AF54" s="60" t="n">
        <x:f>'Commercial Inputs'!$B$32</x:f>
        <x:v>0</x:v>
      </x:c>
      <x:c r="AG54" s="60" t="n">
        <x:f>'Commercial Inputs'!$B$32</x:f>
        <x:v>0</x:v>
      </x:c>
      <x:c r="AH54" s="60" t="n">
        <x:f>'Commercial Inputs'!$B$32</x:f>
        <x:v>0</x:v>
      </x:c>
      <x:c r="AI54" s="60" t="n">
        <x:f>'Commercial Inputs'!$B$32</x:f>
        <x:v>0</x:v>
      </x:c>
      <x:c r="AJ54" s="60" t="n">
        <x:f>'Commercial Inputs'!$B$32</x:f>
        <x:v>0</x:v>
      </x:c>
      <x:c r="AK54" s="60" t="n">
        <x:f>'Commercial Inputs'!$B$32</x:f>
        <x:v>0</x:v>
      </x:c>
    </x:row>
    <x:row r="55" ht="18" customHeight="1">
      <x:c r="A55" s="4" t="str">
        <x:v>One-time launch expense (INR)</x:v>
      </x:c>
      <x:c r="B55" s="60" t="n">
        <x:f>'Commercial Inputs'!$B$30</x:f>
        <x:v>20000</x:v>
      </x:c>
      <x:c r="C55" s="60" t="n">
        <x:f>0</x:f>
        <x:v>0</x:v>
      </x:c>
      <x:c r="D55" s="60" t="n">
        <x:f>0</x:f>
        <x:v>0</x:v>
      </x:c>
      <x:c r="E55" s="60" t="n">
        <x:f>0</x:f>
        <x:v>0</x:v>
      </x:c>
      <x:c r="F55" s="60" t="n">
        <x:f>0</x:f>
        <x:v>0</x:v>
      </x:c>
      <x:c r="G55" s="60" t="n">
        <x:f>0</x:f>
        <x:v>0</x:v>
      </x:c>
      <x:c r="H55" s="60" t="n">
        <x:f>0</x:f>
        <x:v>0</x:v>
      </x:c>
      <x:c r="I55" s="60" t="n">
        <x:f>0</x:f>
        <x:v>0</x:v>
      </x:c>
      <x:c r="J55" s="60" t="n">
        <x:f>0</x:f>
        <x:v>0</x:v>
      </x:c>
      <x:c r="K55" s="60" t="n">
        <x:f>0</x:f>
        <x:v>0</x:v>
      </x:c>
      <x:c r="L55" s="60" t="n">
        <x:f>0</x:f>
        <x:v>0</x:v>
      </x:c>
      <x:c r="M55" s="60" t="n">
        <x:f>0</x:f>
        <x:v>0</x:v>
      </x:c>
      <x:c r="N55" s="60" t="n">
        <x:f>0</x:f>
        <x:v>0</x:v>
      </x:c>
      <x:c r="O55" s="60" t="n">
        <x:f>0</x:f>
        <x:v>0</x:v>
      </x:c>
      <x:c r="P55" s="60" t="n">
        <x:f>0</x:f>
        <x:v>0</x:v>
      </x:c>
      <x:c r="Q55" s="60" t="n">
        <x:f>0</x:f>
        <x:v>0</x:v>
      </x:c>
      <x:c r="R55" s="60" t="n">
        <x:f>0</x:f>
        <x:v>0</x:v>
      </x:c>
      <x:c r="S55" s="60" t="n">
        <x:f>0</x:f>
        <x:v>0</x:v>
      </x:c>
      <x:c r="T55" s="60" t="n">
        <x:f>0</x:f>
        <x:v>0</x:v>
      </x:c>
      <x:c r="U55" s="60" t="n">
        <x:f>0</x:f>
        <x:v>0</x:v>
      </x:c>
      <x:c r="V55" s="60" t="n">
        <x:f>0</x:f>
        <x:v>0</x:v>
      </x:c>
      <x:c r="W55" s="60" t="n">
        <x:f>0</x:f>
        <x:v>0</x:v>
      </x:c>
      <x:c r="X55" s="60" t="n">
        <x:f>0</x:f>
        <x:v>0</x:v>
      </x:c>
      <x:c r="Y55" s="60" t="n">
        <x:f>0</x:f>
        <x:v>0</x:v>
      </x:c>
      <x:c r="Z55" s="60" t="n">
        <x:f>0</x:f>
        <x:v>0</x:v>
      </x:c>
      <x:c r="AA55" s="60" t="n">
        <x:f>0</x:f>
        <x:v>0</x:v>
      </x:c>
      <x:c r="AB55" s="60" t="n">
        <x:f>0</x:f>
        <x:v>0</x:v>
      </x:c>
      <x:c r="AC55" s="60" t="n">
        <x:f>0</x:f>
        <x:v>0</x:v>
      </x:c>
      <x:c r="AD55" s="60" t="n">
        <x:f>0</x:f>
        <x:v>0</x:v>
      </x:c>
      <x:c r="AE55" s="60" t="n">
        <x:f>0</x:f>
        <x:v>0</x:v>
      </x:c>
      <x:c r="AF55" s="60" t="n">
        <x:f>0</x:f>
        <x:v>0</x:v>
      </x:c>
      <x:c r="AG55" s="60" t="n">
        <x:f>0</x:f>
        <x:v>0</x:v>
      </x:c>
      <x:c r="AH55" s="60" t="n">
        <x:f>0</x:f>
        <x:v>0</x:v>
      </x:c>
      <x:c r="AI55" s="60" t="n">
        <x:f>0</x:f>
        <x:v>0</x:v>
      </x:c>
      <x:c r="AJ55" s="60" t="n">
        <x:f>0</x:f>
        <x:v>0</x:v>
      </x:c>
      <x:c r="AK55" s="60" t="n">
        <x:f>0</x:f>
        <x:v>0</x:v>
      </x:c>
    </x:row>
    <x:row r="56" ht="18" customHeight="1">
      <x:c r="A56" s="74" t="str">
        <x:v>OPERATING PROFIT BEFORE INCOME TAX</x:v>
      </x:c>
      <x:c r="B56" s="75" t="n">
        <x:f>B50-B16-SUM(B52:B55)</x:f>
        <x:v>-51104.170012806026</x:v>
      </x:c>
      <x:c r="C56" s="75" t="n">
        <x:f>C50-C16-SUM(C52:C55)</x:f>
        <x:v>-20069.373219055666</x:v>
      </x:c>
      <x:c r="D56" s="75" t="n">
        <x:f>D50-D16-SUM(D52:D55)</x:f>
        <x:v>-8477.538678395991</x:v>
      </x:c>
      <x:c r="E56" s="75" t="n">
        <x:f>E50-E16-SUM(E52:E55)</x:f>
        <x:v>-8825.989227647922</x:v>
      </x:c>
      <x:c r="F56" s="75" t="n">
        <x:f>F50-F16-SUM(F52:F55)</x:f>
        <x:v>8832.94160906534</x:v>
      </x:c>
      <x:c r="G56" s="75" t="n">
        <x:f>G50-G16-SUM(G52:G55)</x:f>
        <x:v>27649.430293603757</x:v>
      </x:c>
      <x:c r="H56" s="75" t="n">
        <x:f>H50-H16-SUM(H52:H55)</x:f>
        <x:v>-728.0526721879723</x:v>
      </x:c>
      <x:c r="I56" s="75" t="n">
        <x:f>I50-I16-SUM(I52:I55)</x:f>
        <x:v>33272.834793622096</x:v>
      </x:c>
      <x:c r="J56" s="75" t="n">
        <x:f>J50-J16-SUM(J52:J55)</x:f>
        <x:v>68798.99953591666</x:v>
      </x:c>
      <x:c r="K56" s="75" t="n">
        <x:f>K50-K16-SUM(K52:K55)</x:f>
        <x:v>106502.53770157965</x:v>
      </x:c>
      <x:c r="L56" s="75" t="n">
        <x:f>L50-L16-SUM(L52:L55)</x:f>
        <x:v>146803.15364173072</x:v>
      </x:c>
      <x:c r="M56" s="75" t="n">
        <x:f>M50-M16-SUM(M52:M55)</x:f>
        <x:v>190172.5217563192</x:v>
      </x:c>
      <x:c r="N56" s="75" t="n">
        <x:f>N50-N16-SUM(N52:N55)</x:f>
        <x:v>129829.92025272775</x:v>
      </x:c>
      <x:c r="O56" s="75" t="n">
        <x:f>O50-O16-SUM(O52:O55)</x:f>
        <x:v>190438.45722295757</x:v>
      </x:c>
      <x:c r="P56" s="75" t="n">
        <x:f>P50-P16-SUM(P52:P55)</x:f>
        <x:v>253383.269797837</x:v>
      </x:c>
      <x:c r="Q56" s="75" t="n">
        <x:f>Q50-Q16-SUM(Q52:Q55)</x:f>
        <x:v>315628.1277959753</x:v>
      </x:c>
      <x:c r="R56" s="75" t="n">
        <x:f>R50-R16-SUM(R52:R55)</x:f>
        <x:v>383604.00822362106</x:v>
      </x:c>
      <x:c r="S56" s="75" t="n">
        <x:f>S50-S16-SUM(S52:S55)</x:f>
        <x:v>455732.85690384277</x:v>
      </x:c>
      <x:c r="T56" s="75" t="n">
        <x:f>T50-T16-SUM(T52:T55)</x:f>
        <x:v>456715.2349042316</x:v>
      </x:c>
      <x:c r="U56" s="75" t="n">
        <x:f>U50-U16-SUM(U52:U55)</x:f>
        <x:v>551697.1244189022</x:v>
      </x:c>
      <x:c r="V56" s="75" t="n">
        <x:f>V50-V16-SUM(V52:V55)</x:f>
        <x:v>651872.8462176085</x:v>
      </x:c>
      <x:c r="W56" s="75" t="n">
        <x:f>W50-W16-SUM(W52:W55)</x:f>
        <x:v>758449.3878699939</x:v>
      </x:c>
      <x:c r="X56" s="75" t="n">
        <x:f>X50-X16-SUM(X52:X55)</x:f>
        <x:v>822284.3953785831</x:v>
      </x:c>
      <x:c r="Y56" s="75" t="n">
        <x:f>Y50-Y16-SUM(Y52:Y55)</x:f>
        <x:v>944314.3568235098</x:v>
      </x:c>
      <x:c r="Z56" s="75" t="n">
        <x:f>Z50-Z16-SUM(Z52:Z55)</x:f>
        <x:v>898349.7191384779</x:v>
      </x:c>
      <x:c r="AA56" s="75" t="n">
        <x:f>AA50-AA16-SUM(AA52:AA55)</x:f>
        <x:v>1055883.8507465518</x:v>
      </x:c>
      <x:c r="AB56" s="75" t="n">
        <x:f>AB50-AB16-SUM(AB52:AB55)</x:f>
        <x:v>1218531.5932499326</x:v>
      </x:c>
      <x:c r="AC56" s="75" t="n">
        <x:f>AC50-AC16-SUM(AC52:AC55)</x:f>
        <x:v>1385679.2092850017</x:v>
      </x:c>
      <x:c r="AD56" s="75" t="n">
        <x:f>AD50-AD16-SUM(AD52:AD55)</x:f>
        <x:v>1561084.551900067</x:v>
      </x:c>
      <x:c r="AE56" s="75" t="n">
        <x:f>AE50-AE16-SUM(AE52:AE55)</x:f>
        <x:v>1669002.2254591133</x:v>
      </x:c>
      <x:c r="AF56" s="75" t="n">
        <x:f>AF50-AF16-SUM(AF52:AF55)</x:f>
        <x:v>1644591.6302383128</x:v>
      </x:c>
      <x:c r="AG56" s="75" t="n">
        <x:f>AG50-AG16-SUM(AG52:AG55)</x:f>
        <x:v>1884145.1692642057</x:v>
      </x:c>
      <x:c r="AH56" s="75" t="n">
        <x:f>AH50-AH16-SUM(AH52:AH55)</x:f>
        <x:v>2130810.7276531444</x:v>
      </x:c>
      <x:c r="AI56" s="75" t="n">
        <x:f>AI50-AI16-SUM(AI52:AI55)</x:f>
        <x:v>2386481.6055367216</x:v>
      </x:c>
      <x:c r="AJ56" s="75" t="n">
        <x:f>AJ50-AJ16-SUM(AJ52:AJ55)</x:f>
        <x:v>2651902.5323494887</x:v>
      </x:c>
      <x:c r="AK56" s="75" t="n">
        <x:f>AK50-AK16-SUM(AK52:AK55)</x:f>
        <x:v>2927811.76226821</x:v>
      </x:c>
    </x:row>
    <x:row r="57" ht="18" customHeight="1">
      <x:c r="A57" s="4" t="str">
        <x:v>Operating margin (%)</x:v>
      </x:c>
      <x:c r="B57" s="62" t="n">
        <x:f>IFERROR(B56/B38,0)</x:f>
        <x:v>-3.729700642068776</x:v>
      </x:c>
      <x:c r="C57" s="62" t="n">
        <x:f>IFERROR(C56/C38,0)</x:f>
        <x:v>-0.7321274803917646</x:v>
      </x:c>
      <x:c r="D57" s="62" t="n">
        <x:f>IFERROR(D56/D38,0)</x:f>
        <x:v>-0.20234609981006912</x:v>
      </x:c>
      <x:c r="E57" s="62" t="n">
        <x:f>IFERROR(E56/E38,0)</x:f>
        <x:v>-0.14110217752627757</x:v>
      </x:c>
      <x:c r="F57" s="62" t="n">
        <x:f>IFERROR(F56/F38,0)</x:f>
        <x:v>0.10484281942311804</x:v>
      </x:c>
      <x:c r="G57" s="62" t="n">
        <x:f>IFERROR(G56/G38,0)</x:f>
        <x:v>0.2571845454214935</x:v>
      </x:c>
      <x:c r="H57" s="62" t="n">
        <x:f>IFERROR(H56/H38,0)</x:f>
        <x:v>-0.004938081840722439</x:v>
      </x:c>
      <x:c r="I57" s="62" t="n">
        <x:f>IFERROR(I56/I38,0)</x:f>
        <x:v>0.1766995714748928</x:v>
      </x:c>
      <x:c r="J57" s="62" t="n">
        <x:f>IFERROR(J56/J38,0)</x:f>
        <x:v>0.2975109653034271</x:v>
      </x:c>
      <x:c r="K57" s="62" t="n">
        <x:f>IFERROR(K56/K38,0)</x:f>
        <x:v>0.3843298870507146</x:v>
      </x:c>
      <x:c r="L57" s="62" t="n">
        <x:f>IFERROR(L56/L38,0)</x:f>
        <x:v>0.4497021171680163</x:v>
      </x:c>
      <x:c r="M57" s="62" t="n">
        <x:f>IFERROR(M56/M38,0)</x:f>
        <x:v>0.5006258376816126</x:v>
      </x:c>
      <x:c r="N57" s="62" t="n">
        <x:f>IFERROR(N56/N38,0)</x:f>
        <x:v>0.287517058986181</x:v>
      </x:c>
      <x:c r="O57" s="62" t="n">
        <x:f>IFERROR(O56/O38,0)</x:f>
        <x:v>0.3627680960463928</x:v>
      </x:c>
      <x:c r="P57" s="62" t="n">
        <x:f>IFERROR(P56/P38,0)</x:f>
        <x:v>0.42117321449449624</x:v>
      </x:c>
      <x:c r="Q57" s="62" t="n">
        <x:f>IFERROR(Q56/Q38,0)</x:f>
        <x:v>0.46369577554401475</x:v>
      </x:c>
      <x:c r="R57" s="62" t="n">
        <x:f>IFERROR(R56/R38,0)</x:f>
        <x:v>0.5016359536742674</x:v>
      </x:c>
      <x:c r="S57" s="62" t="n">
        <x:f>IFERROR(S56/S38,0)</x:f>
        <x:v>0.5333972760823287</x:v>
      </x:c>
      <x:c r="T57" s="62" t="n">
        <x:f>IFERROR(T56/T38,0)</x:f>
        <x:v>0.47227115096666095</x:v>
      </x:c>
      <x:c r="U57" s="62" t="n">
        <x:f>IFERROR(U56/U38,0)</x:f>
        <x:v>0.5085365906474554</x:v>
      </x:c>
      <x:c r="V57" s="62" t="n">
        <x:f>IFERROR(V56/V38,0)</x:f>
        <x:v>0.5387904653980394</x:v>
      </x:c>
      <x:c r="W57" s="62" t="n">
        <x:f>IFERROR(W56/W38,0)</x:f>
        <x:v>0.5644528268809917</x:v>
      </x:c>
      <x:c r="X57" s="62" t="n">
        <x:f>IFERROR(X56/X38,0)</x:f>
        <x:v>0.5528049293980976</x:v>
      </x:c>
      <x:c r="Y57" s="62" t="n">
        <x:f>IFERROR(Y56/Y38,0)</x:f>
        <x:v>0.5749114333514973</x:v>
      </x:c>
      <x:c r="Z57" s="62" t="n">
        <x:f>IFERROR(Z56/Z38,0)</x:f>
        <x:v>0.4910440533223362</x:v>
      </x:c>
      <x:c r="AA57" s="62" t="n">
        <x:f>IFERROR(AA56/AA38,0)</x:f>
        <x:v>0.5225118717096903</x:v>
      </x:c>
      <x:c r="AB57" s="62" t="n">
        <x:f>IFERROR(AB56/AB38,0)</x:f>
        <x:v>0.5491272875302149</x:v>
      </x:c>
      <x:c r="AC57" s="62" t="n">
        <x:f>IFERROR(AC56/AC38,0)</x:f>
        <x:v>0.5713509347220836</x:v>
      </x:c>
      <x:c r="AD57" s="62" t="n">
        <x:f>IFERROR(AD56/AD38,0)</x:f>
        <x:v>0.5911297702330396</x:v>
      </x:c>
      <x:c r="AE57" s="62" t="n">
        <x:f>IFERROR(AE56/AE38,0)</x:f>
        <x:v>0.582221261667867</x:v>
      </x:c>
      <x:c r="AF57" s="62" t="n">
        <x:f>IFERROR(AF56/AF38,0)</x:f>
        <x:v>0.52146263858875</x:v>
      </x:c>
      <x:c r="AG57" s="62" t="n">
        <x:f>IFERROR(AG56/AG38,0)</x:f>
        <x:v>0.546586388427548</x:v>
      </x:c>
      <x:c r="AH57" s="62" t="n">
        <x:f>IFERROR(AH56/AH38,0)</x:f>
        <x:v>0.5681374654577079</x:v>
      </x:c>
      <x:c r="AI57" s="62" t="n">
        <x:f>IFERROR(AI56/AI38,0)</x:f>
        <x:v>0.5868582070151506</x:v>
      </x:c>
      <x:c r="AJ57" s="62" t="n">
        <x:f>IFERROR(AJ56/AJ38,0)</x:f>
        <x:v>0.6032140154458255</x:v>
      </x:c>
      <x:c r="AK57" s="62" t="n">
        <x:f>IFERROR(AK56/AK38,0)</x:f>
        <x:v>0.6175641677498371</x:v>
      </x:c>
    </x:row>
    <x:row r="58" ht="18" customHeight="1">
      <x:c r="A58" s="4" t="str">
        <x:v>After imputed founder time (INR)</x:v>
      </x:c>
      <x:c r="B58" s="58" t="n">
        <x:f>B56-'Commercial Inputs'!$B$33</x:f>
        <x:v>-151104.17001280602</x:v>
      </x:c>
      <x:c r="C58" s="58" t="n">
        <x:f>C56-'Commercial Inputs'!$B$33</x:f>
        <x:v>-120069.37321905566</x:v>
      </x:c>
      <x:c r="D58" s="58" t="n">
        <x:f>D56-'Commercial Inputs'!$B$33</x:f>
        <x:v>-108477.538678396</x:v>
      </x:c>
      <x:c r="E58" s="58" t="n">
        <x:f>E56-'Commercial Inputs'!$B$33</x:f>
        <x:v>-108825.98922764792</x:v>
      </x:c>
      <x:c r="F58" s="58" t="n">
        <x:f>F56-'Commercial Inputs'!$B$33</x:f>
        <x:v>-91167.05839093466</x:v>
      </x:c>
      <x:c r="G58" s="58" t="n">
        <x:f>G56-'Commercial Inputs'!$B$33</x:f>
        <x:v>-72350.56970639624</x:v>
      </x:c>
      <x:c r="H58" s="58" t="n">
        <x:f>H56-'Commercial Inputs'!$B$33</x:f>
        <x:v>-100728.05267218797</x:v>
      </x:c>
      <x:c r="I58" s="58" t="n">
        <x:f>I56-'Commercial Inputs'!$B$33</x:f>
        <x:v>-66727.1652063779</x:v>
      </x:c>
      <x:c r="J58" s="58" t="n">
        <x:f>J56-'Commercial Inputs'!$B$33</x:f>
        <x:v>-31201.000464083336</x:v>
      </x:c>
      <x:c r="K58" s="58" t="n">
        <x:f>K56-'Commercial Inputs'!$B$33</x:f>
        <x:v>6502.537701579655</x:v>
      </x:c>
      <x:c r="L58" s="58" t="n">
        <x:f>L56-'Commercial Inputs'!$B$33</x:f>
        <x:v>46803.15364173072</x:v>
      </x:c>
      <x:c r="M58" s="58" t="n">
        <x:f>M56-'Commercial Inputs'!$B$33</x:f>
        <x:v>90172.52175631921</x:v>
      </x:c>
      <x:c r="N58" s="58" t="n">
        <x:f>N56-'Commercial Inputs'!$B$33</x:f>
        <x:v>29829.920252727752</x:v>
      </x:c>
      <x:c r="O58" s="58" t="n">
        <x:f>O56-'Commercial Inputs'!$B$33</x:f>
        <x:v>90438.45722295757</x:v>
      </x:c>
      <x:c r="P58" s="58" t="n">
        <x:f>P56-'Commercial Inputs'!$B$33</x:f>
        <x:v>153383.269797837</x:v>
      </x:c>
      <x:c r="Q58" s="58" t="n">
        <x:f>Q56-'Commercial Inputs'!$B$33</x:f>
        <x:v>215628.1277959753</x:v>
      </x:c>
      <x:c r="R58" s="58" t="n">
        <x:f>R56-'Commercial Inputs'!$B$33</x:f>
        <x:v>283604.00822362106</x:v>
      </x:c>
      <x:c r="S58" s="58" t="n">
        <x:f>S56-'Commercial Inputs'!$B$33</x:f>
        <x:v>355732.85690384277</x:v>
      </x:c>
      <x:c r="T58" s="58" t="n">
        <x:f>T56-'Commercial Inputs'!$B$33</x:f>
        <x:v>356715.2349042316</x:v>
      </x:c>
      <x:c r="U58" s="58" t="n">
        <x:f>U56-'Commercial Inputs'!$B$33</x:f>
        <x:v>451697.1244189022</x:v>
      </x:c>
      <x:c r="V58" s="58" t="n">
        <x:f>V56-'Commercial Inputs'!$B$33</x:f>
        <x:v>551872.8462176085</x:v>
      </x:c>
      <x:c r="W58" s="58" t="n">
        <x:f>W56-'Commercial Inputs'!$B$33</x:f>
        <x:v>658449.3878699939</x:v>
      </x:c>
      <x:c r="X58" s="58" t="n">
        <x:f>X56-'Commercial Inputs'!$B$33</x:f>
        <x:v>722284.3953785831</x:v>
      </x:c>
      <x:c r="Y58" s="58" t="n">
        <x:f>Y56-'Commercial Inputs'!$B$33</x:f>
        <x:v>844314.3568235098</x:v>
      </x:c>
      <x:c r="Z58" s="58" t="n">
        <x:f>Z56-'Commercial Inputs'!$B$33</x:f>
        <x:v>798349.7191384779</x:v>
      </x:c>
      <x:c r="AA58" s="58" t="n">
        <x:f>AA56-'Commercial Inputs'!$B$33</x:f>
        <x:v>955883.8507465518</x:v>
      </x:c>
      <x:c r="AB58" s="58" t="n">
        <x:f>AB56-'Commercial Inputs'!$B$33</x:f>
        <x:v>1118531.5932499326</x:v>
      </x:c>
      <x:c r="AC58" s="58" t="n">
        <x:f>AC56-'Commercial Inputs'!$B$33</x:f>
        <x:v>1285679.2092850017</x:v>
      </x:c>
      <x:c r="AD58" s="58" t="n">
        <x:f>AD56-'Commercial Inputs'!$B$33</x:f>
        <x:v>1461084.551900067</x:v>
      </x:c>
      <x:c r="AE58" s="58" t="n">
        <x:f>AE56-'Commercial Inputs'!$B$33</x:f>
        <x:v>1569002.2254591133</x:v>
      </x:c>
      <x:c r="AF58" s="58" t="n">
        <x:f>AF56-'Commercial Inputs'!$B$33</x:f>
        <x:v>1544591.6302383128</x:v>
      </x:c>
      <x:c r="AG58" s="58" t="n">
        <x:f>AG56-'Commercial Inputs'!$B$33</x:f>
        <x:v>1784145.1692642057</x:v>
      </x:c>
      <x:c r="AH58" s="58" t="n">
        <x:f>AH56-'Commercial Inputs'!$B$33</x:f>
        <x:v>2030810.7276531444</x:v>
      </x:c>
      <x:c r="AI58" s="58" t="n">
        <x:f>AI56-'Commercial Inputs'!$B$33</x:f>
        <x:v>2286481.6055367216</x:v>
      </x:c>
      <x:c r="AJ58" s="58" t="n">
        <x:f>AJ56-'Commercial Inputs'!$B$33</x:f>
        <x:v>2551902.5323494887</x:v>
      </x:c>
      <x:c r="AK58" s="58" t="n">
        <x:f>AK56-'Commercial Inputs'!$B$33</x:f>
        <x:v>2827811.76226821</x:v>
      </x:c>
    </x:row>
    <x:row r="59" ht="18" customHeight="1">
      <x:c r="A59" s="4" t="str">
        <x:v>Net proceeds awaiting payout (INR)</x:v>
      </x:c>
      <x:c r="B59" s="58" t="n">
        <x:f>B43-B44</x:f>
        <x:v>105742.99111299435</x:v>
      </x:c>
      <x:c r="C59" s="58" t="n">
        <x:f>C43-C44</x:f>
        <x:v>118410.67567773674</x:v>
      </x:c>
      <x:c r="D59" s="58" t="n">
        <x:f>D43-D44</x:f>
        <x:v>132312.39141575608</x:v>
      </x:c>
      <x:c r="E59" s="58" t="n">
        <x:f>E43-E44</x:f>
        <x:v>185732.33408636073</x:v>
      </x:c>
      <x:c r="F59" s="58" t="n">
        <x:f>F43-F44</x:f>
        <x:v>204324.46198121615</x:v>
      </x:c>
      <x:c r="G59" s="58" t="n">
        <x:f>G43-G44</x:f>
        <x:v>225123.83916365428</x:v>
      </x:c>
      <x:c r="H59" s="58" t="n">
        <x:f>H43-H44</x:f>
        <x:v>361925.69950086996</x:v>
      </x:c>
      <x:c r="I59" s="58" t="n">
        <x:f>I43-I44</x:f>
        <x:v>391240.21541372477</x:v>
      </x:c>
      <x:c r="J59" s="58" t="n">
        <x:f>J43-J44</x:f>
        <x:v>423661.24826126633</x:v>
      </x:c>
      <x:c r="K59" s="58" t="n">
        <x:f>K43-K44</x:f>
        <x:v>460105.45147548296</x:v>
      </x:c>
      <x:c r="L59" s="58" t="n">
        <x:f>L43-L44</x:f>
        <x:v>501275.4187895096</x:v>
      </x:c>
      <x:c r="M59" s="58" t="n">
        <x:f>M43-M44</x:f>
        <x:v>547967.437051432</x:v>
      </x:c>
      <x:c r="N59" s="58" t="n">
        <x:f>N43-N44</x:f>
        <x:v>791137.9269745244</x:v>
      </x:c>
      <x:c r="O59" s="58" t="n">
        <x:f>O43-O44</x:f>
        <x:v>847399.6636897988</x:v>
      </x:c>
      <x:c r="P59" s="58" t="n">
        <x:f>P43-P44</x:f>
        <x:v>908855.366606132</x:v>
      </x:c>
      <x:c r="Q59" s="58" t="n">
        <x:f>Q43-Q44</x:f>
        <x:v>992830.4674391825</x:v>
      </x:c>
      <x:c r="R59" s="58" t="n">
        <x:f>R43-R44</x:f>
        <x:v>1068073.8223028553</x:v>
      </x:c>
      <x:c r="S59" s="58" t="n">
        <x:f>S43-S44</x:f>
        <x:v>1151694.8100554359</x:v>
      </x:c>
      <x:c r="T59" s="58" t="n">
        <x:f>T43-T44</x:f>
        <x:v>1464751.015992697</x:v>
      </x:c>
      <x:c r="U59" s="58" t="n">
        <x:f>U43-U44</x:f>
        <x:v>1572673.50102263</x:v>
      </x:c>
      <x:c r="V59" s="58" t="n">
        <x:f>V43-V44</x:f>
        <x:v>1691917.2135228072</x:v>
      </x:c>
      <x:c r="W59" s="58" t="n">
        <x:f>W43-W44</x:f>
        <x:v>1824554.0494351173</x:v>
      </x:c>
      <x:c r="X59" s="58" t="n">
        <x:f>X43-X44</x:f>
        <x:v>1972392.1793854642</x:v>
      </x:c>
      <x:c r="Y59" s="58" t="n">
        <x:f>Y43-Y44</x:f>
        <x:v>2137446.970980034</x:v>
      </x:c>
      <x:c r="Z59" s="58" t="n">
        <x:f>Z43-Z44</x:f>
        <x:v>2628440.250484976</x:v>
      </x:c>
      <x:c r="AA59" s="58" t="n">
        <x:f>AA43-AA44</x:f>
        <x:v>2778486.3813193273</x:v>
      </x:c>
      <x:c r="AB59" s="58" t="n">
        <x:f>AB43-AB44</x:f>
        <x:v>2938610.686717995</x:v>
      </x:c>
      <x:c r="AC59" s="58" t="n">
        <x:f>AC43-AC44</x:f>
        <x:v>3120974.6019908264</x:v>
      </x:c>
      <x:c r="AD59" s="58" t="n">
        <x:f>AD43-AD44</x:f>
        <x:v>3306391.6686398517</x:v>
      </x:c>
      <x:c r="AE59" s="58" t="n">
        <x:f>AE43-AE44</x:f>
        <x:v>3506513.6475845566</x:v>
      </x:c>
      <x:c r="AF59" s="58" t="n">
        <x:f>AF43-AF44</x:f>
        <x:v>4294884.961664721</x:v>
      </x:c>
      <x:c r="AG59" s="58" t="n">
        <x:f>AG43-AG44</x:f>
        <x:v>4540017.241748903</x:v>
      </x:c>
      <x:c r="AH59" s="58" t="n">
        <x:f>AH43-AH44</x:f>
        <x:v>4802410.92806413</x:v>
      </x:c>
      <x:c r="AI59" s="58" t="n">
        <x:f>AI43-AI44</x:f>
        <x:v>5085342.344437816</x:v>
      </x:c>
      <x:c r="AJ59" s="58" t="n">
        <x:f>AJ43-AJ44</x:f>
        <x:v>5391027.182319179</x:v>
      </x:c>
      <x:c r="AK59" s="58" t="n">
        <x:f>AK43-AK44</x:f>
        <x:v>5721857.250626404</x:v>
      </x:c>
    </x:row>
    <x:row r="60" ht="18" customHeight="1">
      <x:c r="A60" s="4" t="str">
        <x:v>Payouts received this month (INR)</x:v>
      </x:c>
      <x:c r="B60" s="58" t="n">
        <x:f>B59*(1-'Commercial Inputs'!$B$31)+0*'Commercial Inputs'!$B$31</x:f>
        <x:v>52871.495556497175</x:v>
      </x:c>
      <x:c r="C60" s="58" t="n">
        <x:f>C59*(1-'Commercial Inputs'!$B$31)+B59*'Commercial Inputs'!$B$31</x:f>
        <x:v>112076.83339536554</x:v>
      </x:c>
      <x:c r="D60" s="58" t="n">
        <x:f>D59*(1-'Commercial Inputs'!$B$31)+C59*'Commercial Inputs'!$B$31</x:f>
        <x:v>125361.53354674642</x:v>
      </x:c>
      <x:c r="E60" s="58" t="n">
        <x:f>E59*(1-'Commercial Inputs'!$B$31)+D59*'Commercial Inputs'!$B$31</x:f>
        <x:v>159022.36275105842</x:v>
      </x:c>
      <x:c r="F60" s="58" t="n">
        <x:f>F59*(1-'Commercial Inputs'!$B$31)+E59*'Commercial Inputs'!$B$31</x:f>
        <x:v>195028.39803378843</x:v>
      </x:c>
      <x:c r="G60" s="58" t="n">
        <x:f>G59*(1-'Commercial Inputs'!$B$31)+F59*'Commercial Inputs'!$B$31</x:f>
        <x:v>214724.15057243523</x:v>
      </x:c>
      <x:c r="H60" s="58" t="n">
        <x:f>H59*(1-'Commercial Inputs'!$B$31)+G59*'Commercial Inputs'!$B$31</x:f>
        <x:v>293524.7693322621</x:v>
      </x:c>
      <x:c r="I60" s="58" t="n">
        <x:f>I59*(1-'Commercial Inputs'!$B$31)+H59*'Commercial Inputs'!$B$31</x:f>
        <x:v>376582.95745729737</x:v>
      </x:c>
      <x:c r="J60" s="58" t="n">
        <x:f>J59*(1-'Commercial Inputs'!$B$31)+I59*'Commercial Inputs'!$B$31</x:f>
        <x:v>407450.7318374956</x:v>
      </x:c>
      <x:c r="K60" s="58" t="n">
        <x:f>K59*(1-'Commercial Inputs'!$B$31)+J59*'Commercial Inputs'!$B$31</x:f>
        <x:v>441883.34986837464</x:v>
      </x:c>
      <x:c r="L60" s="58" t="n">
        <x:f>L59*(1-'Commercial Inputs'!$B$31)+K59*'Commercial Inputs'!$B$31</x:f>
        <x:v>480690.4351324963</x:v>
      </x:c>
      <x:c r="M60" s="58" t="n">
        <x:f>M59*(1-'Commercial Inputs'!$B$31)+L59*'Commercial Inputs'!$B$31</x:f>
        <x:v>524621.4279204708</x:v>
      </x:c>
      <x:c r="N60" s="58" t="n">
        <x:f>N59*(1-'Commercial Inputs'!$B$31)+M59*'Commercial Inputs'!$B$31</x:f>
        <x:v>669552.6820129782</x:v>
      </x:c>
      <x:c r="O60" s="58" t="n">
        <x:f>O59*(1-'Commercial Inputs'!$B$31)+N59*'Commercial Inputs'!$B$31</x:f>
        <x:v>819268.7953321616</x:v>
      </x:c>
      <x:c r="P60" s="58" t="n">
        <x:f>P59*(1-'Commercial Inputs'!$B$31)+O59*'Commercial Inputs'!$B$31</x:f>
        <x:v>878127.5151479654</x:v>
      </x:c>
      <x:c r="Q60" s="58" t="n">
        <x:f>Q59*(1-'Commercial Inputs'!$B$31)+P59*'Commercial Inputs'!$B$31</x:f>
        <x:v>950842.9170226572</x:v>
      </x:c>
      <x:c r="R60" s="58" t="n">
        <x:f>R59*(1-'Commercial Inputs'!$B$31)+Q59*'Commercial Inputs'!$B$31</x:f>
        <x:v>1030452.1448710188</x:v>
      </x:c>
      <x:c r="S60" s="58" t="n">
        <x:f>S59*(1-'Commercial Inputs'!$B$31)+R59*'Commercial Inputs'!$B$31</x:f>
        <x:v>1109884.3161791456</x:v>
      </x:c>
      <x:c r="T60" s="58" t="n">
        <x:f>T59*(1-'Commercial Inputs'!$B$31)+S59*'Commercial Inputs'!$B$31</x:f>
        <x:v>1308222.9130240665</x:v>
      </x:c>
      <x:c r="U60" s="58" t="n">
        <x:f>U59*(1-'Commercial Inputs'!$B$31)+T59*'Commercial Inputs'!$B$31</x:f>
        <x:v>1518712.2585076634</x:v>
      </x:c>
      <x:c r="V60" s="58" t="n">
        <x:f>V59*(1-'Commercial Inputs'!$B$31)+U59*'Commercial Inputs'!$B$31</x:f>
        <x:v>1632295.3572727186</x:v>
      </x:c>
      <x:c r="W60" s="58" t="n">
        <x:f>W59*(1-'Commercial Inputs'!$B$31)+V59*'Commercial Inputs'!$B$31</x:f>
        <x:v>1758235.6314789623</x:v>
      </x:c>
      <x:c r="X60" s="58" t="n">
        <x:f>X59*(1-'Commercial Inputs'!$B$31)+W59*'Commercial Inputs'!$B$31</x:f>
        <x:v>1898473.1144102907</x:v>
      </x:c>
      <x:c r="Y60" s="58" t="n">
        <x:f>Y59*(1-'Commercial Inputs'!$B$31)+X59*'Commercial Inputs'!$B$31</x:f>
        <x:v>2054919.5751827492</x:v>
      </x:c>
      <x:c r="Z60" s="58" t="n">
        <x:f>Z59*(1-'Commercial Inputs'!$B$31)+Y59*'Commercial Inputs'!$B$31</x:f>
        <x:v>2382943.610732505</x:v>
      </x:c>
      <x:c r="AA60" s="58" t="n">
        <x:f>AA59*(1-'Commercial Inputs'!$B$31)+Z59*'Commercial Inputs'!$B$31</x:f>
        <x:v>2703463.3159021516</x:v>
      </x:c>
      <x:c r="AB60" s="58" t="n">
        <x:f>AB59*(1-'Commercial Inputs'!$B$31)+AA59*'Commercial Inputs'!$B$31</x:f>
        <x:v>2858548.534018661</x:v>
      </x:c>
      <x:c r="AC60" s="58" t="n">
        <x:f>AC59*(1-'Commercial Inputs'!$B$31)+AB59*'Commercial Inputs'!$B$31</x:f>
        <x:v>3029792.6443544105</x:v>
      </x:c>
      <x:c r="AD60" s="58" t="n">
        <x:f>AD59*(1-'Commercial Inputs'!$B$31)+AC59*'Commercial Inputs'!$B$31</x:f>
        <x:v>3213683.135315339</x:v>
      </x:c>
      <x:c r="AE60" s="58" t="n">
        <x:f>AE59*(1-'Commercial Inputs'!$B$31)+AD59*'Commercial Inputs'!$B$31</x:f>
        <x:v>3406452.658112204</x:v>
      </x:c>
      <x:c r="AF60" s="58" t="n">
        <x:f>AF59*(1-'Commercial Inputs'!$B$31)+AE59*'Commercial Inputs'!$B$31</x:f>
        <x:v>3900699.304624639</x:v>
      </x:c>
      <x:c r="AG60" s="58" t="n">
        <x:f>AG59*(1-'Commercial Inputs'!$B$31)+AF59*'Commercial Inputs'!$B$31</x:f>
        <x:v>4417451.101706812</x:v>
      </x:c>
      <x:c r="AH60" s="58" t="n">
        <x:f>AH59*(1-'Commercial Inputs'!$B$31)+AG59*'Commercial Inputs'!$B$31</x:f>
        <x:v>4671214.084906517</x:v>
      </x:c>
      <x:c r="AI60" s="58" t="n">
        <x:f>AI59*(1-'Commercial Inputs'!$B$31)+AH59*'Commercial Inputs'!$B$31</x:f>
        <x:v>4943876.636250973</x:v>
      </x:c>
      <x:c r="AJ60" s="58" t="n">
        <x:f>AJ59*(1-'Commercial Inputs'!$B$31)+AI59*'Commercial Inputs'!$B$31</x:f>
        <x:v>5238184.763378497</x:v>
      </x:c>
      <x:c r="AK60" s="58" t="n">
        <x:f>AK59*(1-'Commercial Inputs'!$B$31)+AJ59*'Commercial Inputs'!$B$31</x:f>
        <x:v>5556442.2164727915</x:v>
      </x:c>
    </x:row>
    <x:row r="61" ht="18" customHeight="1">
      <x:c r="A61" s="4" t="str">
        <x:v>Cash outgo other than withheld fees (INR)</x:v>
      </x:c>
      <x:c r="B61" s="58" t="n">
        <x:f>SUM(B45:B48)+B16+SUM(B52:B55)</x:f>
        <x:v>52113.9818</x:v>
      </x:c>
      <x:c r="C61" s="58" t="n">
        <x:f>SUM(C45:C48)+C16+SUM(C52:C55)</x:f>
        <x:v>33168.79682796</x:v>
      </x:c>
      <x:c r="D61" s="58" t="n">
        <x:f>SUM(D45:D48)+D16+SUM(D52:D55)</x:f>
        <x:v>34303.83018580464</x:v>
      </x:c>
      <x:c r="E61" s="58" t="n">
        <x:f>SUM(E45:E48)+E16+SUM(E52:E55)</x:f>
        <x:v>48806.37730311907</x:v>
      </x:c>
      <x:c r="F61" s="58" t="n">
        <x:f>SUM(F45:F48)+F16+SUM(F52:F55)</x:f>
        <x:v>50489.62799588018</x:v>
      </x:c>
      <x:c r="G61" s="58" t="n">
        <x:f>SUM(G45:G48)+G16+SUM(G52:G55)</x:f>
        <x:v>52314.94980353513</x:v>
      </x:c>
      <x:c r="H61" s="58" t="n">
        <x:f>SUM(H45:H48)+H16+SUM(H52:H55)</x:f>
        <x:v>104078.84233648986</x:v>
      </x:c>
      <x:c r="I61" s="58" t="n">
        <x:f>SUM(I45:I48)+I16+SUM(I52:I55)</x:f>
        <x:v>107192.09654062946</x:v>
      </x:c>
      <x:c r="J61" s="58" t="n">
        <x:f>SUM(J45:J48)+J16+SUM(J52:J55)</x:f>
        <x:v>110506.21334139435</x:v>
      </x:c>
      <x:c r="K61" s="58" t="n">
        <x:f>SUM(K45:K48)+K16+SUM(K52:K55)</x:f>
        <x:v>114078.69346465221</x:v>
      </x:c>
      <x:c r="L61" s="58" t="n">
        <x:f>SUM(L45:L48)+L16+SUM(L52:L55)</x:f>
        <x:v>117954.31124929638</x:v>
      </x:c>
      <x:c r="M61" s="58" t="n">
        <x:f>SUM(M45:M48)+M16+SUM(M52:M55)</x:f>
        <x:v>122183.84684387287</x:v>
      </x:c>
      <x:c r="N61" s="58" t="n">
        <x:f>SUM(N45:N48)+N16+SUM(N52:N55)</x:f>
        <x:v>224858.9020724935</x:v>
      </x:c>
      <x:c r="O61" s="58" t="n">
        <x:f>SUM(O45:O48)+O16+SUM(O52:O55)</x:f>
        <x:v>230524.96220928212</x:v>
      </x:c>
      <x:c r="P61" s="58" t="n">
        <x:f>SUM(P45:P48)+P16+SUM(P52:P55)</x:f>
        <x:v>236504.99704762542</x:v>
      </x:c>
      <x:c r="Q61" s="58" t="n">
        <x:f>SUM(Q45:Q48)+Q16+SUM(Q52:Q55)</x:f>
        <x:v>242919.94861277222</x:v>
      </x:c>
      <x:c r="R61" s="58" t="n">
        <x:f>SUM(R45:R48)+R16+SUM(R52:R55)</x:f>
        <x:v>249586.53438098</x:v>
      </x:c>
      <x:c r="S61" s="58" t="n">
        <x:f>SUM(S45:S48)+S16+SUM(S52:S55)</x:f>
        <x:v>256751.1117694155</x:v>
      </x:c>
      <x:c r="T61" s="58" t="n">
        <x:f>SUM(T45:T48)+T16+SUM(T52:T55)</x:f>
        <x:v>330554.2167918418</x:v>
      </x:c>
      <x:c r="U61" s="58" t="n">
        <x:f>SUM(U45:U48)+U16+SUM(U52:U55)</x:f>
        <x:v>339875.81753935025</x:v>
      </x:c>
      <x:c r="V61" s="58" t="n">
        <x:f>SUM(V45:V48)+V16+SUM(V52:V55)</x:f>
        <x:v>349856.5106837878</x:v>
      </x:c>
      <x:c r="W61" s="58" t="n">
        <x:f>SUM(W45:W48)+W16+SUM(W52:W55)</x:f>
        <x:v>360613.4797070471</x:v>
      </x:c>
      <x:c r="X61" s="58" t="n">
        <x:f>SUM(X45:X48)+X16+SUM(X52:X55)</x:f>
        <x:v>422246.06807196734</x:v>
      </x:c>
      <x:c r="Y61" s="58" t="n">
        <x:f>SUM(Y45:Y48)+Y16+SUM(Y52:Y55)</x:f>
        <x:v>434864.04372894595</x:v>
      </x:c>
      <x:c r="Z61" s="58" t="n">
        <x:f>SUM(Z45:Z48)+Z16+SUM(Z52:Z55)</x:f>
        <x:v>608315.5773598116</x:v>
      </x:c>
      <x:c r="AA61" s="58" t="n">
        <x:f>SUM(AA45:AA48)+AA16+SUM(AA52:AA55)</x:f>
        <x:v>623194.6761726576</x:v>
      </x:c>
      <x:c r="AB61" s="58" t="n">
        <x:f>SUM(AB45:AB48)+AB16+SUM(AB52:AB55)</x:f>
        <x:v>638728.7623876669</x:v>
      </x:c>
      <x:c r="AC61" s="58" t="n">
        <x:f>SUM(AC45:AC48)+AC16+SUM(AC52:AC55)</x:f>
        <x:v>655103.644634818</x:v>
      </x:c>
      <x:c r="AD61" s="58" t="n">
        <x:f>SUM(AD45:AD48)+AD16+SUM(AD52:AD55)</x:f>
        <x:v>672186.5274974186</x:v>
      </x:c>
      <x:c r="AE61" s="58" t="n">
        <x:f>SUM(AE45:AE48)+AE16+SUM(AE52:AE55)</x:f>
        <x:v>765166.8867693818</x:v>
      </x:c>
      <x:c r="AF61" s="58" t="n">
        <x:f>SUM(AF45:AF48)+AF16+SUM(AF52:AF55)</x:f>
        <x:v>981435.2197400184</x:v>
      </x:c>
      <x:c r="AG61" s="58" t="n">
        <x:f>SUM(AG45:AG48)+AG16+SUM(AG52:AG55)</x:f>
        <x:v>1004443.7996342275</x:v>
      </x:c>
      <x:c r="AH61" s="58" t="n">
        <x:f>SUM(AH45:AH48)+AH16+SUM(AH52:AH55)</x:f>
        <x:v>1028435.5101389585</x:v>
      </x:c>
      <x:c r="AI61" s="58" t="n">
        <x:f>SUM(AI45:AI48)+AI16+SUM(AI52:AI55)</x:f>
        <x:v>1053576.4683653195</x:v>
      </x:c>
      <x:c r="AJ61" s="58" t="n">
        <x:f>SUM(AJ45:AJ48)+AJ16+SUM(AJ52:AJ55)</x:f>
        <x:v>1079962.2684399264</x:v>
      </x:c>
      <x:c r="AK61" s="58" t="n">
        <x:f>SUM(AK45:AK48)+AK16+SUM(AK52:AK55)</x:f>
        <x:v>1107692.1645483524</x:v>
      </x:c>
    </x:row>
    <x:row r="62" ht="18" customHeight="1">
      <x:c r="A62" s="74" t="str">
        <x:v>NET CASH MOVEMENT (INR)</x:v>
      </x:c>
      <x:c r="B62" s="75" t="n">
        <x:f>B60-B61</x:f>
        <x:v>757.5137564971737</x:v>
      </x:c>
      <x:c r="C62" s="75" t="n">
        <x:f>C60-C61</x:f>
        <x:v>78908.03656740554</x:v>
      </x:c>
      <x:c r="D62" s="75" t="n">
        <x:f>D60-D61</x:f>
        <x:v>91057.70336094178</x:v>
      </x:c>
      <x:c r="E62" s="75" t="n">
        <x:f>E60-E61</x:f>
        <x:v>110215.98544793934</x:v>
      </x:c>
      <x:c r="F62" s="75" t="n">
        <x:f>F60-F61</x:f>
        <x:v>144538.77003790825</x:v>
      </x:c>
      <x:c r="G62" s="75" t="n">
        <x:f>G60-G61</x:f>
        <x:v>162409.2007689001</x:v>
      </x:c>
      <x:c r="H62" s="75" t="n">
        <x:f>H60-H61</x:f>
        <x:v>189445.92699577223</x:v>
      </x:c>
      <x:c r="I62" s="75" t="n">
        <x:f>I60-I61</x:f>
        <x:v>269390.8609166679</x:v>
      </x:c>
      <x:c r="J62" s="75" t="n">
        <x:f>J60-J61</x:f>
        <x:v>296944.51849610126</x:v>
      </x:c>
      <x:c r="K62" s="75" t="n">
        <x:f>K60-K61</x:f>
        <x:v>327804.6564037224</x:v>
      </x:c>
      <x:c r="L62" s="75" t="n">
        <x:f>L60-L61</x:f>
        <x:v>362736.1238831999</x:v>
      </x:c>
      <x:c r="M62" s="75" t="n">
        <x:f>M60-M61</x:f>
        <x:v>402437.58107659797</x:v>
      </x:c>
      <x:c r="N62" s="75" t="n">
        <x:f>N60-N61</x:f>
        <x:v>444693.77994048473</x:v>
      </x:c>
      <x:c r="O62" s="75" t="n">
        <x:f>O60-O61</x:f>
        <x:v>588743.8331228795</x:v>
      </x:c>
      <x:c r="P62" s="75" t="n">
        <x:f>P60-P61</x:f>
        <x:v>641622.5181003399</x:v>
      </x:c>
      <x:c r="Q62" s="75" t="n">
        <x:f>Q60-Q61</x:f>
        <x:v>707922.968409885</x:v>
      </x:c>
      <x:c r="R62" s="75" t="n">
        <x:f>R60-R61</x:f>
        <x:v>780865.6104900388</x:v>
      </x:c>
      <x:c r="S62" s="75" t="n">
        <x:f>S60-S61</x:f>
        <x:v>853133.2044097302</x:v>
      </x:c>
      <x:c r="T62" s="75" t="n">
        <x:f>T60-T61</x:f>
        <x:v>977668.6962322247</x:v>
      </x:c>
      <x:c r="U62" s="75" t="n">
        <x:f>U60-U61</x:f>
        <x:v>1178836.4409683133</x:v>
      </x:c>
      <x:c r="V62" s="75" t="n">
        <x:f>V60-V61</x:f>
        <x:v>1282438.8465889308</x:v>
      </x:c>
      <x:c r="W62" s="75" t="n">
        <x:f>W60-W61</x:f>
        <x:v>1397622.1517719151</x:v>
      </x:c>
      <x:c r="X62" s="75" t="n">
        <x:f>X60-X61</x:f>
        <x:v>1476227.0463383235</x:v>
      </x:c>
      <x:c r="Y62" s="75" t="n">
        <x:f>Y60-Y61</x:f>
        <x:v>1620055.5314538032</x:v>
      </x:c>
      <x:c r="Z62" s="75" t="n">
        <x:f>Z60-Z61</x:f>
        <x:v>1774628.0333726935</x:v>
      </x:c>
      <x:c r="AA62" s="75" t="n">
        <x:f>AA60-AA61</x:f>
        <x:v>2080268.639729494</x:v>
      </x:c>
      <x:c r="AB62" s="75" t="n">
        <x:f>AB60-AB61</x:f>
        <x:v>2219819.771630994</x:v>
      </x:c>
      <x:c r="AC62" s="75" t="n">
        <x:f>AC60-AC61</x:f>
        <x:v>2374688.9997195927</x:v>
      </x:c>
      <x:c r="AD62" s="75" t="n">
        <x:f>AD60-AD61</x:f>
        <x:v>2541496.6078179204</x:v>
      </x:c>
      <x:c r="AE62" s="75" t="n">
        <x:f>AE60-AE61</x:f>
        <x:v>2641285.7713428224</x:v>
      </x:c>
      <x:c r="AF62" s="75" t="n">
        <x:f>AF60-AF61</x:f>
        <x:v>2919264.0848846207</x:v>
      </x:c>
      <x:c r="AG62" s="75" t="n">
        <x:f>AG60-AG61</x:f>
        <x:v>3413007.3020725846</x:v>
      </x:c>
      <x:c r="AH62" s="75" t="n">
        <x:f>AH60-AH61</x:f>
        <x:v>3642778.574767558</x:v>
      </x:c>
      <x:c r="AI62" s="75" t="n">
        <x:f>AI60-AI61</x:f>
        <x:v>3890300.167885653</x:v>
      </x:c>
      <x:c r="AJ62" s="75" t="n">
        <x:f>AJ60-AJ61</x:f>
        <x:v>4158222.494938571</x:v>
      </x:c>
      <x:c r="AK62" s="75" t="n">
        <x:f>AK60-AK61</x:f>
        <x:v>4448750.051924439</x:v>
      </x:c>
    </x:row>
    <x:row r="63" ht="18" customHeight="1">
      <x:c r="A63" s="4" t="str">
        <x:v>Cumulative cash movement (INR)</x:v>
      </x:c>
      <x:c r="B63" s="58" t="n">
        <x:f>0+B62</x:f>
        <x:v>757.5137564971737</x:v>
      </x:c>
      <x:c r="C63" s="58" t="n">
        <x:f>B63+C62</x:f>
        <x:v>79665.55032390272</x:v>
      </x:c>
      <x:c r="D63" s="58" t="n">
        <x:f>C63+D62</x:f>
        <x:v>170723.2536848445</x:v>
      </x:c>
      <x:c r="E63" s="58" t="n">
        <x:f>D63+E62</x:f>
        <x:v>280939.23913278384</x:v>
      </x:c>
      <x:c r="F63" s="58" t="n">
        <x:f>E63+F62</x:f>
        <x:v>425478.00917069206</x:v>
      </x:c>
      <x:c r="G63" s="58" t="n">
        <x:f>F63+G62</x:f>
        <x:v>587887.2099395922</x:v>
      </x:c>
      <x:c r="H63" s="58" t="n">
        <x:f>G63+H62</x:f>
        <x:v>777333.1369353645</x:v>
      </x:c>
      <x:c r="I63" s="58" t="n">
        <x:f>H63+I62</x:f>
        <x:v>1046723.9978520323</x:v>
      </x:c>
      <x:c r="J63" s="58" t="n">
        <x:f>I63+J62</x:f>
        <x:v>1343668.5163481336</x:v>
      </x:c>
      <x:c r="K63" s="58" t="n">
        <x:f>J63+K62</x:f>
        <x:v>1671473.172751856</x:v>
      </x:c>
      <x:c r="L63" s="58" t="n">
        <x:f>K63+L62</x:f>
        <x:v>2034209.296635056</x:v>
      </x:c>
      <x:c r="M63" s="58" t="n">
        <x:f>L63+M62</x:f>
        <x:v>2436646.8777116537</x:v>
      </x:c>
      <x:c r="N63" s="58" t="n">
        <x:f>M63+N62</x:f>
        <x:v>2881340.6576521383</x:v>
      </x:c>
      <x:c r="O63" s="58" t="n">
        <x:f>N63+O62</x:f>
        <x:v>3470084.490775018</x:v>
      </x:c>
      <x:c r="P63" s="58" t="n">
        <x:f>O63+P62</x:f>
        <x:v>4111707.008875358</x:v>
      </x:c>
      <x:c r="Q63" s="58" t="n">
        <x:f>P63+Q62</x:f>
        <x:v>4819629.977285243</x:v>
      </x:c>
      <x:c r="R63" s="58" t="n">
        <x:f>Q63+R62</x:f>
        <x:v>5600495.587775282</x:v>
      </x:c>
      <x:c r="S63" s="58" t="n">
        <x:f>R63+S62</x:f>
        <x:v>6453628.792185012</x:v>
      </x:c>
      <x:c r="T63" s="58" t="n">
        <x:f>S63+T62</x:f>
        <x:v>7431297.488417237</x:v>
      </x:c>
      <x:c r="U63" s="58" t="n">
        <x:f>T63+U62</x:f>
        <x:v>8610133.92938555</x:v>
      </x:c>
      <x:c r="V63" s="58" t="n">
        <x:f>U63+V62</x:f>
        <x:v>9892572.77597448</x:v>
      </x:c>
      <x:c r="W63" s="58" t="n">
        <x:f>V63+W62</x:f>
        <x:v>11290194.927746397</x:v>
      </x:c>
      <x:c r="X63" s="58" t="n">
        <x:f>W63+X62</x:f>
        <x:v>12766421.97408472</x:v>
      </x:c>
      <x:c r="Y63" s="58" t="n">
        <x:f>X63+Y62</x:f>
        <x:v>14386477.505538523</x:v>
      </x:c>
      <x:c r="Z63" s="58" t="n">
        <x:f>Y63+Z62</x:f>
        <x:v>16161105.538911216</x:v>
      </x:c>
      <x:c r="AA63" s="58" t="n">
        <x:f>Z63+AA62</x:f>
        <x:v>18241374.17864071</x:v>
      </x:c>
      <x:c r="AB63" s="58" t="n">
        <x:f>AA63+AB62</x:f>
        <x:v>20461193.950271703</x:v>
      </x:c>
      <x:c r="AC63" s="58" t="n">
        <x:f>AB63+AC62</x:f>
        <x:v>22835882.949991297</x:v>
      </x:c>
      <x:c r="AD63" s="58" t="n">
        <x:f>AC63+AD62</x:f>
        <x:v>25377379.55780922</x:v>
      </x:c>
      <x:c r="AE63" s="58" t="n">
        <x:f>AD63+AE62</x:f>
        <x:v>28018665.32915204</x:v>
      </x:c>
      <x:c r="AF63" s="58" t="n">
        <x:f>AE63+AF62</x:f>
        <x:v>30937929.41403666</x:v>
      </x:c>
      <x:c r="AG63" s="58" t="n">
        <x:f>AF63+AG62</x:f>
        <x:v>34350936.716109246</x:v>
      </x:c>
      <x:c r="AH63" s="58" t="n">
        <x:f>AG63+AH62</x:f>
        <x:v>37993715.290876806</x:v>
      </x:c>
      <x:c r="AI63" s="58" t="n">
        <x:f>AH63+AI62</x:f>
        <x:v>41884015.45876246</x:v>
      </x:c>
      <x:c r="AJ63" s="58" t="n">
        <x:f>AI63+AJ62</x:f>
        <x:v>46042237.953701034</x:v>
      </x:c>
      <x:c r="AK63" s="58" t="n">
        <x:f>AJ63+AK62</x:f>
        <x:v>50490988.00562547</x:v>
      </x:c>
    </x:row>
    <x:row r="64" ht="18" customHeight="1">
      <x:c r="A64" s="74" t="str">
        <x:v>CLOSING CASH, BEFORE TAX / OWNER DRAWS</x:v>
      </x:c>
      <x:c r="B64" s="75" t="n">
        <x:f>'Commercial Inputs'!$B$29+B63</x:f>
        <x:v>100757.51375649718</x:v>
      </x:c>
      <x:c r="C64" s="75" t="n">
        <x:f>'Commercial Inputs'!$B$29+C63</x:f>
        <x:v>179665.55032390272</x:v>
      </x:c>
      <x:c r="D64" s="75" t="n">
        <x:f>'Commercial Inputs'!$B$29+D63</x:f>
        <x:v>270723.2536848445</x:v>
      </x:c>
      <x:c r="E64" s="75" t="n">
        <x:f>'Commercial Inputs'!$B$29+E63</x:f>
        <x:v>380939.23913278384</x:v>
      </x:c>
      <x:c r="F64" s="75" t="n">
        <x:f>'Commercial Inputs'!$B$29+F63</x:f>
        <x:v>525478.0091706921</x:v>
      </x:c>
      <x:c r="G64" s="75" t="n">
        <x:f>'Commercial Inputs'!$B$29+G63</x:f>
        <x:v>687887.2099395922</x:v>
      </x:c>
      <x:c r="H64" s="75" t="n">
        <x:f>'Commercial Inputs'!$B$29+H63</x:f>
        <x:v>877333.1369353645</x:v>
      </x:c>
      <x:c r="I64" s="75" t="n">
        <x:f>'Commercial Inputs'!$B$29+I63</x:f>
        <x:v>1146723.9978520323</x:v>
      </x:c>
      <x:c r="J64" s="75" t="n">
        <x:f>'Commercial Inputs'!$B$29+J63</x:f>
        <x:v>1443668.5163481336</x:v>
      </x:c>
      <x:c r="K64" s="75" t="n">
        <x:f>'Commercial Inputs'!$B$29+K63</x:f>
        <x:v>1771473.172751856</x:v>
      </x:c>
      <x:c r="L64" s="75" t="n">
        <x:f>'Commercial Inputs'!$B$29+L63</x:f>
        <x:v>2134209.296635056</x:v>
      </x:c>
      <x:c r="M64" s="75" t="n">
        <x:f>'Commercial Inputs'!$B$29+M63</x:f>
        <x:v>2536646.8777116537</x:v>
      </x:c>
      <x:c r="N64" s="75" t="n">
        <x:f>'Commercial Inputs'!$B$29+N63</x:f>
        <x:v>2981340.6576521383</x:v>
      </x:c>
      <x:c r="O64" s="75" t="n">
        <x:f>'Commercial Inputs'!$B$29+O63</x:f>
        <x:v>3570084.490775018</x:v>
      </x:c>
      <x:c r="P64" s="75" t="n">
        <x:f>'Commercial Inputs'!$B$29+P63</x:f>
        <x:v>4211707.008875358</x:v>
      </x:c>
      <x:c r="Q64" s="75" t="n">
        <x:f>'Commercial Inputs'!$B$29+Q63</x:f>
        <x:v>4919629.977285243</x:v>
      </x:c>
      <x:c r="R64" s="75" t="n">
        <x:f>'Commercial Inputs'!$B$29+R63</x:f>
        <x:v>5700495.587775282</x:v>
      </x:c>
      <x:c r="S64" s="75" t="n">
        <x:f>'Commercial Inputs'!$B$29+S63</x:f>
        <x:v>6553628.792185012</x:v>
      </x:c>
      <x:c r="T64" s="75" t="n">
        <x:f>'Commercial Inputs'!$B$29+T63</x:f>
        <x:v>7531297.488417237</x:v>
      </x:c>
      <x:c r="U64" s="75" t="n">
        <x:f>'Commercial Inputs'!$B$29+U63</x:f>
        <x:v>8710133.92938555</x:v>
      </x:c>
      <x:c r="V64" s="75" t="n">
        <x:f>'Commercial Inputs'!$B$29+V63</x:f>
        <x:v>9992572.77597448</x:v>
      </x:c>
      <x:c r="W64" s="75" t="n">
        <x:f>'Commercial Inputs'!$B$29+W63</x:f>
        <x:v>11390194.927746397</x:v>
      </x:c>
      <x:c r="X64" s="75" t="n">
        <x:f>'Commercial Inputs'!$B$29+X63</x:f>
        <x:v>12866421.97408472</x:v>
      </x:c>
      <x:c r="Y64" s="75" t="n">
        <x:f>'Commercial Inputs'!$B$29+Y63</x:f>
        <x:v>14486477.505538523</x:v>
      </x:c>
      <x:c r="Z64" s="75" t="n">
        <x:f>'Commercial Inputs'!$B$29+Z63</x:f>
        <x:v>16261105.538911216</x:v>
      </x:c>
      <x:c r="AA64" s="75" t="n">
        <x:f>'Commercial Inputs'!$B$29+AA63</x:f>
        <x:v>18341374.17864071</x:v>
      </x:c>
      <x:c r="AB64" s="75" t="n">
        <x:f>'Commercial Inputs'!$B$29+AB63</x:f>
        <x:v>20561193.950271703</x:v>
      </x:c>
      <x:c r="AC64" s="75" t="n">
        <x:f>'Commercial Inputs'!$B$29+AC63</x:f>
        <x:v>22935882.949991297</x:v>
      </x:c>
      <x:c r="AD64" s="75" t="n">
        <x:f>'Commercial Inputs'!$B$29+AD63</x:f>
        <x:v>25477379.55780922</x:v>
      </x:c>
      <x:c r="AE64" s="75" t="n">
        <x:f>'Commercial Inputs'!$B$29+AE63</x:f>
        <x:v>28118665.32915204</x:v>
      </x:c>
      <x:c r="AF64" s="75" t="n">
        <x:f>'Commercial Inputs'!$B$29+AF63</x:f>
        <x:v>31037929.41403666</x:v>
      </x:c>
      <x:c r="AG64" s="75" t="n">
        <x:f>'Commercial Inputs'!$B$29+AG63</x:f>
        <x:v>34450936.716109246</x:v>
      </x:c>
      <x:c r="AH64" s="75" t="n">
        <x:f>'Commercial Inputs'!$B$29+AH63</x:f>
        <x:v>38093715.290876806</x:v>
      </x:c>
      <x:c r="AI64" s="75" t="n">
        <x:f>'Commercial Inputs'!$B$29+AI63</x:f>
        <x:v>41984015.45876246</x:v>
      </x:c>
      <x:c r="AJ64" s="75" t="n">
        <x:f>'Commercial Inputs'!$B$29+AJ63</x:f>
        <x:v>46142237.953701034</x:v>
      </x:c>
      <x:c r="AK64" s="75" t="n">
        <x:f>'Commercial Inputs'!$B$29+AK63</x:f>
        <x:v>50590988.00562547</x:v>
      </x:c>
    </x:row>
    <x:row r="65" ht="18" customHeight="1">
      <x:c r="A65" s="74" t="str">
        <x:v>Unearned annual subscription revenue (INR)</x:v>
      </x:c>
      <x:c r="B65" s="75" t="n">
        <x:f>0+B43-B38</x:f>
        <x:v>104733.17932580039</x:v>
      </x:c>
      <x:c r="C65" s="75" t="n">
        <x:f>B65+C43-C38</x:f>
        <x:v>210044.4313946328</x:v>
      </x:c>
      <x:c r="D65" s="75" t="n">
        <x:f>C65+D43-D38</x:f>
        <x:v>316530.53130298026</x:v>
      </x:c>
      <x:c r="E65" s="75" t="n">
        <x:f>D65+E43-E38</x:f>
        <x:v>462282.4773138698</x:v>
      </x:c>
      <x:c r="F65" s="75" t="n">
        <x:f>E65+F43-F38</x:f>
        <x:v>607284.3696901405</x:v>
      </x:c>
      <x:c r="G65" s="75" t="n">
        <x:f>F65+G43-G38</x:f>
        <x:v>752443.8287566558</x:v>
      </x:c>
      <x:c r="H65" s="75" t="n">
        <x:f>G65+H43-H38</x:f>
        <x:v>1011018.7385932237</x:v>
      </x:c>
      <x:c r="I65" s="75" t="n">
        <x:f>H65+I43-I38</x:f>
        <x:v>1261794.022672697</x:v>
      </x:c>
      <x:c r="J65" s="75" t="n">
        <x:f>I65+J43-J38</x:f>
        <x:v>1506150.0580566525</x:v>
      </x:c>
      <x:c r="K65" s="75" t="n">
        <x:f>J65+K43-K38</x:f>
        <x:v>1745674.2783659038</x:v>
      </x:c>
      <x:c r="L65" s="75" t="n">
        <x:f>K65+L43-L38</x:f>
        <x:v>1982192.2322643863</x:v>
      </x:c>
      <x:c r="M65" s="75" t="n">
        <x:f>L65+M43-M38</x:f>
        <x:v>2217803.300715626</x:v>
      </x:c>
      <x:c r="N65" s="75" t="n">
        <x:f>M65+N43-N38</x:f>
        <x:v>2654252.405364929</x:v>
      </x:c>
      <x:c r="O65" s="75" t="n">
        <x:f>N65+O43-O38</x:f>
        <x:v>3080688.6496224883</x:v>
      </x:c>
      <x:c r="P65" s="75" t="n">
        <x:f>O65+P43-P38</x:f>
        <x:v>3499655.7493831576</x:v>
      </x:c>
      <x:c r="Q65" s="75" t="n">
        <x:f>P65+Q43-Q38</x:f>
        <x:v>3933938.140413593</x:v>
      </x:c>
      <x:c r="R65" s="75" t="n">
        <x:f>Q65+R43-R38</x:f>
        <x:v>4368821.420111848</x:v>
      </x:c>
      <x:c r="S65" s="75" t="n">
        <x:f>R65+S43-S38</x:f>
        <x:v>4808032.261494026</x:v>
      </x:c>
      <x:c r="T65" s="75" t="n">
        <x:f>S65+T43-T38</x:f>
        <x:v>5485513.825790649</x:v>
      </x:c>
      <x:c r="U65" s="75" t="n">
        <x:f>T65+U43-U38</x:f>
        <x:v>6166614.384855027</x:v>
      </x:c>
      <x:c r="V65" s="75" t="n">
        <x:f>U65+V43-V38</x:f>
        <x:v>6856802.241476438</x:v>
      </x:c>
      <x:c r="W65" s="75" t="n">
        <x:f>V65+W43-W38</x:f>
        <x:v>7562293.423334515</x:v>
      </x:c>
      <x:c r="X65" s="75" t="n">
        <x:f>W65+X43-X38</x:f>
        <x:v>8290155.139269429</x:v>
      </x:c>
      <x:c r="Y65" s="75" t="n">
        <x:f>X65+Y43-Y38</x:f>
        <x:v>9048423.709697008</x:v>
      </x:c>
      <x:c r="Z65" s="75" t="n">
        <x:f>Y65+Z43-Z38</x:f>
        <x:v>10170198.663683694</x:v>
      </x:c>
      <x:c r="AA65" s="75" t="n">
        <x:f>Z65+AA43-AA38</x:f>
        <x:v>11269606.51808381</x:v>
      </x:c>
      <x:c r="AB65" s="75" t="n">
        <x:f>AA65+AB43-AB38</x:f>
        <x:v>12350956.849164205</x:v>
      </x:c>
      <x:c r="AC65" s="75" t="n">
        <x:f>AB65+AC43-AC38</x:f>
        <x:v>13431148.597235212</x:v>
      </x:c>
      <x:c r="AD65" s="75" t="n">
        <x:f>AC65+AD43-AD38</x:f>
        <x:v>14504269.18647758</x:v>
      </x:c>
      <x:c r="AE65" s="75" t="n">
        <x:f>AD65+AE43-AE38</x:f>
        <x:v>15576613.721833643</x:v>
      </x:c>
      <x:c r="AF65" s="75" t="n">
        <x:f>AE65+AF43-AF38</x:f>
        <x:v>17245471.833520032</x:v>
      </x:c>
      <x:c r="AG65" s="75" t="n">
        <x:f>AF65+AG43-AG38</x:f>
        <x:v>18896900.1063705</x:v>
      </x:c>
      <x:c r="AH65" s="75" t="n">
        <x:f>AG65+AH43-AH38</x:f>
        <x:v>20540064.796642527</x:v>
      </x:c>
      <x:c r="AI65" s="75" t="n">
        <x:f>AH65+AI43-AI38</x:f>
        <x:v>22185349.0671783</x:v>
      </x:c>
      <x:c r="AJ65" s="75" t="n">
        <x:f>AI65+AJ43-AJ38</x:f>
        <x:v>23844511.44870807</x:v>
      </x:c>
      <x:c r="AK65" s="75" t="n">
        <x:f>AJ65+AK43-AK38</x:f>
        <x:v>25530864.772517912</x:v>
      </x:c>
    </x:row>
    <x:row r="66" ht="18" customHeight="1">
      <x:c r="A66" s="4" t="str">
        <x:v>Payout receivable (INR)</x:v>
      </x:c>
      <x:c r="B66" s="58" t="n">
        <x:f>'Commercial Inputs'!$B$31*B59</x:f>
        <x:v>52871.495556497175</x:v>
      </x:c>
      <x:c r="C66" s="58" t="n">
        <x:f>'Commercial Inputs'!$B$31*C59</x:f>
        <x:v>59205.33783886837</x:v>
      </x:c>
      <x:c r="D66" s="58" t="n">
        <x:f>'Commercial Inputs'!$B$31*D59</x:f>
        <x:v>66156.19570787804</x:v>
      </x:c>
      <x:c r="E66" s="58" t="n">
        <x:f>'Commercial Inputs'!$B$31*E59</x:f>
        <x:v>92866.16704318036</x:v>
      </x:c>
      <x:c r="F66" s="58" t="n">
        <x:f>'Commercial Inputs'!$B$31*F59</x:f>
        <x:v>102162.23099060808</x:v>
      </x:c>
      <x:c r="G66" s="58" t="n">
        <x:f>'Commercial Inputs'!$B$31*G59</x:f>
        <x:v>112561.91958182714</x:v>
      </x:c>
      <x:c r="H66" s="58" t="n">
        <x:f>'Commercial Inputs'!$B$31*H59</x:f>
        <x:v>180962.84975043498</x:v>
      </x:c>
      <x:c r="I66" s="58" t="n">
        <x:f>'Commercial Inputs'!$B$31*I59</x:f>
        <x:v>195620.10770686239</x:v>
      </x:c>
      <x:c r="J66" s="58" t="n">
        <x:f>'Commercial Inputs'!$B$31*J59</x:f>
        <x:v>211830.62413063316</x:v>
      </x:c>
      <x:c r="K66" s="58" t="n">
        <x:f>'Commercial Inputs'!$B$31*K59</x:f>
        <x:v>230052.72573774148</x:v>
      </x:c>
      <x:c r="L66" s="58" t="n">
        <x:f>'Commercial Inputs'!$B$31*L59</x:f>
        <x:v>250637.7093947548</x:v>
      </x:c>
      <x:c r="M66" s="58" t="n">
        <x:f>'Commercial Inputs'!$B$31*M59</x:f>
        <x:v>273983.718525716</x:v>
      </x:c>
      <x:c r="N66" s="58" t="n">
        <x:f>'Commercial Inputs'!$B$31*N59</x:f>
        <x:v>395568.9634872622</x:v>
      </x:c>
      <x:c r="O66" s="58" t="n">
        <x:f>'Commercial Inputs'!$B$31*O59</x:f>
        <x:v>423699.8318448994</x:v>
      </x:c>
      <x:c r="P66" s="58" t="n">
        <x:f>'Commercial Inputs'!$B$31*P59</x:f>
        <x:v>454427.683303066</x:v>
      </x:c>
      <x:c r="Q66" s="58" t="n">
        <x:f>'Commercial Inputs'!$B$31*Q59</x:f>
        <x:v>496415.2337195912</x:v>
      </x:c>
      <x:c r="R66" s="58" t="n">
        <x:f>'Commercial Inputs'!$B$31*R59</x:f>
        <x:v>534036.9111514277</x:v>
      </x:c>
      <x:c r="S66" s="58" t="n">
        <x:f>'Commercial Inputs'!$B$31*S59</x:f>
        <x:v>575847.4050277179</x:v>
      </x:c>
      <x:c r="T66" s="58" t="n">
        <x:f>'Commercial Inputs'!$B$31*T59</x:f>
        <x:v>732375.5079963485</x:v>
      </x:c>
      <x:c r="U66" s="58" t="n">
        <x:f>'Commercial Inputs'!$B$31*U59</x:f>
        <x:v>786336.750511315</x:v>
      </x:c>
      <x:c r="V66" s="58" t="n">
        <x:f>'Commercial Inputs'!$B$31*V59</x:f>
        <x:v>845958.6067614036</x:v>
      </x:c>
      <x:c r="W66" s="58" t="n">
        <x:f>'Commercial Inputs'!$B$31*W59</x:f>
        <x:v>912277.0247175586</x:v>
      </x:c>
      <x:c r="X66" s="58" t="n">
        <x:f>'Commercial Inputs'!$B$31*X59</x:f>
        <x:v>986196.0896927321</x:v>
      </x:c>
      <x:c r="Y66" s="58" t="n">
        <x:f>'Commercial Inputs'!$B$31*Y59</x:f>
        <x:v>1068723.485490017</x:v>
      </x:c>
      <x:c r="Z66" s="58" t="n">
        <x:f>'Commercial Inputs'!$B$31*Z59</x:f>
        <x:v>1314220.125242488</x:v>
      </x:c>
      <x:c r="AA66" s="58" t="n">
        <x:f>'Commercial Inputs'!$B$31*AA59</x:f>
        <x:v>1389243.1906596636</x:v>
      </x:c>
      <x:c r="AB66" s="58" t="n">
        <x:f>'Commercial Inputs'!$B$31*AB59</x:f>
        <x:v>1469305.3433589975</x:v>
      </x:c>
      <x:c r="AC66" s="58" t="n">
        <x:f>'Commercial Inputs'!$B$31*AC59</x:f>
        <x:v>1560487.3009954132</x:v>
      </x:c>
      <x:c r="AD66" s="58" t="n">
        <x:f>'Commercial Inputs'!$B$31*AD59</x:f>
        <x:v>1653195.8343199259</x:v>
      </x:c>
      <x:c r="AE66" s="58" t="n">
        <x:f>'Commercial Inputs'!$B$31*AE59</x:f>
        <x:v>1753256.8237922783</x:v>
      </x:c>
      <x:c r="AF66" s="58" t="n">
        <x:f>'Commercial Inputs'!$B$31*AF59</x:f>
        <x:v>2147442.4808323607</x:v>
      </x:c>
      <x:c r="AG66" s="58" t="n">
        <x:f>'Commercial Inputs'!$B$31*AG59</x:f>
        <x:v>2270008.6208744515</x:v>
      </x:c>
      <x:c r="AH66" s="58" t="n">
        <x:f>'Commercial Inputs'!$B$31*AH59</x:f>
        <x:v>2401205.464032065</x:v>
      </x:c>
      <x:c r="AI66" s="58" t="n">
        <x:f>'Commercial Inputs'!$B$31*AI59</x:f>
        <x:v>2542671.172218908</x:v>
      </x:c>
      <x:c r="AJ66" s="58" t="n">
        <x:f>'Commercial Inputs'!$B$31*AJ59</x:f>
        <x:v>2695513.5911595896</x:v>
      </x:c>
      <x:c r="AK66" s="58" t="n">
        <x:f>'Commercial Inputs'!$B$31*AK59</x:f>
        <x:v>2860928.625313202</x:v>
      </x:c>
    </x:row>
    <x:row r="67" ht="18" customHeight="1">
      <x:c r="A67" s="4" t="str">
        <x:v>Cash-profit bridge check: must be zero</x:v>
      </x:c>
      <x:c r="B67" s="58" t="n">
        <x:f>ROUND(B62-(B56+(B65-0)-(B66-0)),6)</x:f>
        <x:v>0</x:v>
      </x:c>
      <x:c r="C67" s="58" t="n">
        <x:f>ROUND(C62-(C56+(C65-B65)-(C66-B66)),6)</x:f>
        <x:v>0</x:v>
      </x:c>
      <x:c r="D67" s="58" t="n">
        <x:f>ROUND(D62-(D56+(D65-C65)-(D66-C66)),6)</x:f>
        <x:v>0</x:v>
      </x:c>
      <x:c r="E67" s="58" t="n">
        <x:f>ROUND(E62-(E56+(E65-D65)-(E66-D66)),6)</x:f>
        <x:v>0</x:v>
      </x:c>
      <x:c r="F67" s="58" t="n">
        <x:f>ROUND(F62-(F56+(F65-E65)-(F66-E66)),6)</x:f>
        <x:v>0</x:v>
      </x:c>
      <x:c r="G67" s="58" t="n">
        <x:f>ROUND(G62-(G56+(G65-F65)-(G66-F66)),6)</x:f>
        <x:v>0</x:v>
      </x:c>
      <x:c r="H67" s="58" t="n">
        <x:f>ROUND(H62-(H56+(H65-G65)-(H66-G66)),6)</x:f>
        <x:v>0</x:v>
      </x:c>
      <x:c r="I67" s="58" t="n">
        <x:f>ROUND(I62-(I56+(I65-H65)-(I66-H66)),6)</x:f>
        <x:v>0</x:v>
      </x:c>
      <x:c r="J67" s="58" t="n">
        <x:f>ROUND(J62-(J56+(J65-I65)-(J66-I66)),6)</x:f>
        <x:v>0</x:v>
      </x:c>
      <x:c r="K67" s="58" t="n">
        <x:f>ROUND(K62-(K56+(K65-J65)-(K66-J66)),6)</x:f>
        <x:v>0</x:v>
      </x:c>
      <x:c r="L67" s="58" t="n">
        <x:f>ROUND(L62-(L56+(L65-K65)-(L66-K66)),6)</x:f>
        <x:v>0</x:v>
      </x:c>
      <x:c r="M67" s="58" t="n">
        <x:f>ROUND(M62-(M56+(M65-L65)-(M66-L66)),6)</x:f>
        <x:v>0</x:v>
      </x:c>
      <x:c r="N67" s="58" t="n">
        <x:f>ROUND(N62-(N56+(N65-M65)-(N66-M66)),6)</x:f>
        <x:v>0</x:v>
      </x:c>
      <x:c r="O67" s="58" t="n">
        <x:f>ROUND(O62-(O56+(O65-N65)-(O66-N66)),6)</x:f>
        <x:v>0</x:v>
      </x:c>
      <x:c r="P67" s="58" t="n">
        <x:f>ROUND(P62-(P56+(P65-O65)-(P66-O66)),6)</x:f>
        <x:v>0</x:v>
      </x:c>
      <x:c r="Q67" s="58" t="n">
        <x:f>ROUND(Q62-(Q56+(Q65-P65)-(Q66-P66)),6)</x:f>
        <x:v>0</x:v>
      </x:c>
      <x:c r="R67" s="58" t="n">
        <x:f>ROUND(R62-(R56+(R65-Q65)-(R66-Q66)),6)</x:f>
        <x:v>0</x:v>
      </x:c>
      <x:c r="S67" s="58" t="n">
        <x:f>ROUND(S62-(S56+(S65-R65)-(S66-R66)),6)</x:f>
        <x:v>0</x:v>
      </x:c>
      <x:c r="T67" s="58" t="n">
        <x:f>ROUND(T62-(T56+(T65-S65)-(T66-S66)),6)</x:f>
        <x:v>0</x:v>
      </x:c>
      <x:c r="U67" s="58" t="n">
        <x:f>ROUND(U62-(U56+(U65-T65)-(U66-T66)),6)</x:f>
        <x:v>0</x:v>
      </x:c>
      <x:c r="V67" s="58" t="n">
        <x:f>ROUND(V62-(V56+(V65-U65)-(V66-U66)),6)</x:f>
        <x:v>0</x:v>
      </x:c>
      <x:c r="W67" s="58" t="n">
        <x:f>ROUND(W62-(W56+(W65-V65)-(W66-V66)),6)</x:f>
        <x:v>0</x:v>
      </x:c>
      <x:c r="X67" s="58" t="n">
        <x:f>ROUND(X62-(X56+(X65-W65)-(X66-W66)),6)</x:f>
        <x:v>0</x:v>
      </x:c>
      <x:c r="Y67" s="58" t="n">
        <x:f>ROUND(Y62-(Y56+(Y65-X65)-(Y66-X66)),6)</x:f>
        <x:v>0</x:v>
      </x:c>
      <x:c r="Z67" s="58" t="n">
        <x:f>ROUND(Z62-(Z56+(Z65-Y65)-(Z66-Y66)),6)</x:f>
        <x:v>0</x:v>
      </x:c>
      <x:c r="AA67" s="58" t="n">
        <x:f>ROUND(AA62-(AA56+(AA65-Z65)-(AA66-Z66)),6)</x:f>
        <x:v>0</x:v>
      </x:c>
      <x:c r="AB67" s="58" t="n">
        <x:f>ROUND(AB62-(AB56+(AB65-AA65)-(AB66-AA66)),6)</x:f>
        <x:v>0</x:v>
      </x:c>
      <x:c r="AC67" s="58" t="n">
        <x:f>ROUND(AC62-(AC56+(AC65-AB65)-(AC66-AB66)),6)</x:f>
        <x:v>0</x:v>
      </x:c>
      <x:c r="AD67" s="58" t="n">
        <x:f>ROUND(AD62-(AD56+(AD65-AC65)-(AD66-AC66)),6)</x:f>
        <x:v>0</x:v>
      </x:c>
      <x:c r="AE67" s="58" t="n">
        <x:f>ROUND(AE62-(AE56+(AE65-AD65)-(AE66-AD66)),6)</x:f>
        <x:v>0</x:v>
      </x:c>
      <x:c r="AF67" s="58" t="n">
        <x:f>ROUND(AF62-(AF56+(AF65-AE65)-(AF66-AE66)),6)</x:f>
        <x:v>0</x:v>
      </x:c>
      <x:c r="AG67" s="58" t="n">
        <x:f>ROUND(AG62-(AG56+(AG65-AF65)-(AG66-AF66)),6)</x:f>
        <x:v>0</x:v>
      </x:c>
      <x:c r="AH67" s="58" t="n">
        <x:f>ROUND(AH62-(AH56+(AH65-AG65)-(AH66-AG66)),6)</x:f>
        <x:v>0</x:v>
      </x:c>
      <x:c r="AI67" s="58" t="n">
        <x:f>ROUND(AI62-(AI56+(AI65-AH65)-(AI66-AH66)),6)</x:f>
        <x:v>0</x:v>
      </x:c>
      <x:c r="AJ67" s="58" t="n">
        <x:f>ROUND(AJ62-(AJ56+(AJ65-AI65)-(AJ66-AI66)),6)</x:f>
        <x:v>0</x:v>
      </x:c>
      <x:c r="AK67" s="58" t="n">
        <x:f>ROUND(AK62-(AK56+(AK65-AJ65)-(AK66-AJ66)),6)</x:f>
        <x:v>0</x:v>
      </x:c>
    </x:row>
    <x:row r="68" ht="18" customHeight="1">
      <x:c r="A68" s="4" t="str">
        <x:v>Remaining paid-service cost reserve (INR)</x:v>
      </x:c>
      <x:c r="B68" s="58" t="n">
        <x:f>B65/$B$84*'Commercial Inputs'!$B$46*('Commercial Inputs'!$B$24*$B$90+'Commercial Inputs'!$B$28)</x:f>
        <x:v>4602.053866666667</x:v>
      </x:c>
      <x:c r="C68" s="58" t="n">
        <x:f>C65/$B$84*'Commercial Inputs'!$B$46*('Commercial Inputs'!$B$24*$B$90+'Commercial Inputs'!$B$28)</x:f>
        <x:v>9229.508679999999</x:v>
      </x:c>
      <x:c r="D68" s="58" t="n">
        <x:f>D65/$B$84*'Commercial Inputs'!$B$46*('Commercial Inputs'!$B$24*$B$90+'Commercial Inputs'!$B$28)</x:f>
        <x:v>13908.587182</x:v>
      </x:c>
      <x:c r="E68" s="58" t="n">
        <x:f>E65/$B$84*'Commercial Inputs'!$B$46*('Commercial Inputs'!$B$24*$B$90+'Commercial Inputs'!$B$28)</x:f>
        <x:v>20313.03619263333</x:v>
      </x:c>
      <x:c r="F68" s="58" t="n">
        <x:f>F65/$B$84*'Commercial Inputs'!$B$46*('Commercial Inputs'!$B$24*$B$90+'Commercial Inputs'!$B$28)</x:f>
        <x:v>26684.527288194997</x:v>
      </x:c>
      <x:c r="G68" s="58" t="n">
        <x:f>G65/$B$84*'Commercial Inputs'!$B$46*('Commercial Inputs'!$B$24*$B$90+'Commercial Inputs'!$B$28)</x:f>
        <x:v>33062.941981424236</x:v>
      </x:c>
      <x:c r="H68" s="58" t="n">
        <x:f>H65/$B$84*'Commercial Inputs'!$B$46*('Commercial Inputs'!$B$24*$B$90+'Commercial Inputs'!$B$28)</x:f>
        <x:v>44424.916011971196</x:v>
      </x:c>
      <x:c r="I68" s="58" t="n">
        <x:f>I65/$B$84*'Commercial Inputs'!$B$46*('Commercial Inputs'!$B$24*$B$90+'Commercial Inputs'!$B$28)</x:f>
        <x:v>55444.168680433555</x:v>
      </x:c>
      <x:c r="J68" s="58" t="n">
        <x:f>J65/$B$84*'Commercial Inputs'!$B$46*('Commercial Inputs'!$B$24*$B$90+'Commercial Inputs'!$B$28)</x:f>
        <x:v>66181.3547824986</x:v>
      </x:c>
      <x:c r="K68" s="58" t="n">
        <x:f>K65/$B$84*'Commercial Inputs'!$B$46*('Commercial Inputs'!$B$24*$B$90+'Commercial Inputs'!$B$28)</x:f>
        <x:v>76706.22733320673</x:v>
      </x:c>
      <x:c r="L68" s="58" t="n">
        <x:f>L65/$B$84*'Commercial Inputs'!$B$46*('Commercial Inputs'!$B$24*$B$90+'Commercial Inputs'!$B$28)</x:f>
        <x:v>87099.00229985439</x:v>
      </x:c>
      <x:c r="M68" s="58" t="n">
        <x:f>M65/$B$84*'Commercial Inputs'!$B$46*('Commercial Inputs'!$B$24*$B$90+'Commercial Inputs'!$B$28)</x:f>
        <x:v>97451.92804483254</x:v>
      </x:c>
      <x:c r="N68" s="58" t="n">
        <x:f>N65/$B$84*'Commercial Inputs'!$B$46*('Commercial Inputs'!$B$24*$B$90+'Commercial Inputs'!$B$28)</x:f>
        <x:v>116629.82661130652</x:v>
      </x:c>
      <x:c r="O68" s="58" t="n">
        <x:f>O65/$B$84*'Commercial Inputs'!$B$46*('Commercial Inputs'!$B$24*$B$90+'Commercial Inputs'!$B$28)</x:f>
        <x:v>135367.7526382391</x:v>
      </x:c>
      <x:c r="P68" s="58" t="n">
        <x:f>P65/$B$84*'Commercial Inputs'!$B$46*('Commercial Inputs'!$B$24*$B$90+'Commercial Inputs'!$B$28)</x:f>
        <x:v>153777.4788956824</x:v>
      </x:c>
      <x:c r="Q68" s="58" t="n">
        <x:f>Q65/$B$84*'Commercial Inputs'!$B$46*('Commercial Inputs'!$B$24*$B$90+'Commercial Inputs'!$B$28)</x:f>
        <x:v>172860.17045276493</x:v>
      </x:c>
      <x:c r="R68" s="58" t="n">
        <x:f>R65/$B$84*'Commercial Inputs'!$B$46*('Commercial Inputs'!$B$24*$B$90+'Commercial Inputs'!$B$28)</x:f>
        <x:v>191969.26550523427</x:v>
      </x:c>
      <x:c r="S68" s="58" t="n">
        <x:f>S65/$B$84*'Commercial Inputs'!$B$46*('Commercial Inputs'!$B$24*$B$90+'Commercial Inputs'!$B$28)</x:f>
        <x:v>211268.51683968547</x:v>
      </x:c>
      <x:c r="T68" s="58" t="n">
        <x:f>T65/$B$84*'Commercial Inputs'!$B$46*('Commercial Inputs'!$B$24*$B$90+'Commercial Inputs'!$B$28)</x:f>
        <x:v>241037.56111616918</x:v>
      </x:c>
      <x:c r="U68" s="58" t="n">
        <x:f>U65/$B$84*'Commercial Inputs'!$B$46*('Commercial Inputs'!$B$24*$B$90+'Commercial Inputs'!$B$28)</x:f>
        <x:v>270965.626716856</x:v>
      </x:c>
      <x:c r="V68" s="58" t="n">
        <x:f>V65/$B$84*'Commercial Inputs'!$B$46*('Commercial Inputs'!$B$24*$B$90+'Commercial Inputs'!$B$28)</x:f>
        <x:v>301292.9949371052</x:v>
      </x:c>
      <x:c r="W68" s="58" t="n">
        <x:f>W65/$B$84*'Commercial Inputs'!$B$46*('Commercial Inputs'!$B$24*$B$90+'Commercial Inputs'!$B$28)</x:f>
        <x:v>332292.8026605913</x:v>
      </x:c>
      <x:c r="X68" s="58" t="n">
        <x:f>X65/$B$84*'Commercial Inputs'!$B$46*('Commercial Inputs'!$B$24*$B$90+'Commercial Inputs'!$B$28)</x:f>
        <x:v>364275.58830483205</x:v>
      </x:c>
      <x:c r="Y68" s="58" t="n">
        <x:f>Y65/$B$84*'Commercial Inputs'!$B$46*('Commercial Inputs'!$B$24*$B$90+'Commercial Inputs'!$B$28)</x:f>
        <x:v>397594.47377142083</x:v>
      </x:c>
      <x:c r="Z68" s="58" t="n">
        <x:f>Z65/$B$84*'Commercial Inputs'!$B$46*('Commercial Inputs'!$B$24*$B$90+'Commercial Inputs'!$B$28)</x:f>
        <x:v>446886.10033863335</x:v>
      </x:c>
      <x:c r="AA68" s="58" t="n">
        <x:f>AA65/$B$84*'Commercial Inputs'!$B$46*('Commercial Inputs'!$B$24*$B$90+'Commercial Inputs'!$B$28)</x:f>
        <x:v>495194.89989915024</x:v>
      </x:c>
      <x:c r="AB68" s="58" t="n">
        <x:f>AB65/$B$84*'Commercial Inputs'!$B$46*('Commercial Inputs'!$B$24*$B$90+'Commercial Inputs'!$B$28)</x:f>
        <x:v>542710.2384423381</x:v>
      </x:c>
      <x:c r="AC68" s="58" t="n">
        <x:f>AC65/$B$84*'Commercial Inputs'!$B$46*('Commercial Inputs'!$B$24*$B$90+'Commercial Inputs'!$B$28)</x:f>
        <x:v>590174.6679856031</x:v>
      </x:c>
      <x:c r="AD68" s="58" t="n">
        <x:f>AD65/$B$84*'Commercial Inputs'!$B$46*('Commercial Inputs'!$B$24*$B$90+'Commercial Inputs'!$B$28)</x:f>
        <x:v>637328.3855459166</x:v>
      </x:c>
      <x:c r="AE68" s="58" t="n">
        <x:f>AE65/$B$84*'Commercial Inputs'!$B$46*('Commercial Inputs'!$B$24*$B$90+'Commercial Inputs'!$B$28)</x:f>
        <x:v>684448.0027207438</x:v>
      </x:c>
      <x:c r="AF68" s="58" t="n">
        <x:f>AF65/$B$84*'Commercial Inputs'!$B$46*('Commercial Inputs'!$B$24*$B$90+'Commercial Inputs'!$B$28)</x:f>
        <x:v>757778.8705053754</x:v>
      </x:c>
      <x:c r="AG68" s="58" t="n">
        <x:f>AG65/$B$84*'Commercial Inputs'!$B$46*('Commercial Inputs'!$B$24*$B$90+'Commercial Inputs'!$B$28)</x:f>
        <x:v>830343.8581961668</x:v>
      </x:c>
      <x:c r="AH68" s="58" t="n">
        <x:f>AH65/$B$84*'Commercial Inputs'!$B$46*('Commercial Inputs'!$B$24*$B$90+'Commercial Inputs'!$B$28)</x:f>
        <x:v>902545.7379167578</x:v>
      </x:c>
      <x:c r="AI68" s="58" t="n">
        <x:f>AI65/$B$84*'Commercial Inputs'!$B$46*('Commercial Inputs'!$B$24*$B$90+'Commercial Inputs'!$B$28)</x:f>
        <x:v>974840.7535720284</x:v>
      </x:c>
      <x:c r="AJ68" s="58" t="n">
        <x:f>AJ65/$B$84*'Commercial Inputs'!$B$46*('Commercial Inputs'!$B$24*$B$90+'Commercial Inputs'!$B$28)</x:f>
        <x:v>1047745.5837557329</x:v>
      </x:c>
      <x:c r="AK68" s="58" t="n">
        <x:f>AK65/$B$84*'Commercial Inputs'!$B$46*('Commercial Inputs'!$B$24*$B$90+'Commercial Inputs'!$B$28)</x:f>
        <x:v>1121845.204185125</x:v>
      </x:c>
    </x:row>
    <x:row r="69" ht="18" customHeight="1">
      <x:c r="A69" s="4" t="str">
        <x:v>Forward liquidity buffer (INR)</x:v>
      </x:c>
      <x:c r="B69" s="58" t="n">
        <x:f>'Commercial Inputs'!$B$34*(SUM(B52:B54)+B47+B16)</x:f>
        <x:v>91059.4584</x:v>
      </x:c>
      <x:c r="C69" s="58" t="n">
        <x:f>'Commercial Inputs'!$B$34*(SUM(C52:C54)+C47+C16)</x:f>
        <x:v>92154.54487248001</x:v>
      </x:c>
      <x:c r="D69" s="58" t="n">
        <x:f>'Commercial Inputs'!$B$34*(SUM(D52:D54)+D47+D16)</x:f>
        <x:v>93329.30467501632</x:v>
      </x:c>
      <x:c r="E69" s="58" t="n">
        <x:f>'Commercial Inputs'!$B$34*(SUM(E52:E54)+E47+E16)</x:f>
        <x:v>132493.69873400225</x:v>
      </x:c>
      <x:c r="F69" s="58" t="n">
        <x:f>'Commercial Inputs'!$B$34*(SUM(F52:F54)+F47+F16)</x:f>
        <x:v>134264.58252726897</x:v>
      </x:c>
      <x:c r="G69" s="58" t="n">
        <x:f>'Commercial Inputs'!$B$34*(SUM(G52:G54)+G47+G16)</x:f>
        <x:v>136176.0775972008</x:v>
      </x:c>
      <x:c r="H69" s="58" t="n">
        <x:f>'Commercial Inputs'!$B$34*(SUM(H52:H54)+H47+H16)</x:f>
        <x:v>281894.2971299542</x:v>
      </x:c>
      <x:c r="I69" s="58" t="n">
        <x:f>'Commercial Inputs'!$B$34*(SUM(I52:I54)+I47+I16)</x:f>
        <x:v>285241.42940291716</x:v>
      </x:c>
      <x:c r="J69" s="58" t="n">
        <x:f>'Commercial Inputs'!$B$34*(SUM(J52:J54)+J47+J16)</x:f>
        <x:v>288787.68223011575</x:v>
      </x:c>
      <x:c r="K69" s="58" t="n">
        <x:f>'Commercial Inputs'!$B$34*(SUM(K52:K54)+K47+K16)</x:f>
        <x:v>292589.43448948395</x:v>
      </x:c>
      <x:c r="L69" s="58" t="n">
        <x:f>'Commercial Inputs'!$B$34*(SUM(L52:L54)+L47+L16)</x:f>
        <x:v>296690.84167549264</x:v>
      </x:c>
      <x:c r="M69" s="58" t="n">
        <x:f>'Commercial Inputs'!$B$34*(SUM(M52:M54)+M47+M16)</x:f>
        <x:v>301141.994598385</x:v>
      </x:c>
      <x:c r="N69" s="58" t="n">
        <x:f>'Commercial Inputs'!$B$34*(SUM(N52:N54)+N47+N16)</x:f>
        <x:v>591978.9514922642</x:v>
      </x:c>
      <x:c r="O69" s="58" t="n">
        <x:f>'Commercial Inputs'!$B$34*(SUM(O52:O54)+O47+O16)</x:f>
        <x:v>598030.0122192433</x:v>
      </x:c>
      <x:c r="P69" s="58" t="n">
        <x:f>'Commercial Inputs'!$B$34*(SUM(P52:P54)+P47+P16)</x:f>
        <x:v>604387.4957304816</x:v>
      </x:c>
      <x:c r="Q69" s="58" t="n">
        <x:f>'Commercial Inputs'!$B$34*(SUM(Q52:Q54)+Q47+Q16)</x:f>
        <x:v>610952.4111673996</x:v>
      </x:c>
      <x:c r="R69" s="58" t="n">
        <x:f>'Commercial Inputs'!$B$34*(SUM(R52:R54)+R47+R16)</x:f>
        <x:v>617944.9358318406</x:v>
      </x:c>
      <x:c r="S69" s="58" t="n">
        <x:f>'Commercial Inputs'!$B$34*(SUM(S52:S54)+S47+S16)</x:f>
        <x:v>625420.985792166</x:v>
      </x:c>
      <x:c r="T69" s="58" t="n">
        <x:f>'Commercial Inputs'!$B$34*(SUM(T52:T54)+T47+T16)</x:f>
        <x:v>822154.3533191883</x:v>
      </x:c>
      <x:c r="U69" s="58" t="n">
        <x:f>'Commercial Inputs'!$B$34*(SUM(U52:U54)+U47+U16)</x:f>
        <x:v>831892.6121306213</x:v>
      </x:c>
      <x:c r="V69" s="58" t="n">
        <x:f>'Commercial Inputs'!$B$34*(SUM(V52:V54)+V47+V16)</x:f>
        <x:v>842267.7686660526</x:v>
      </x:c>
      <x:c r="W69" s="58" t="n">
        <x:f>'Commercial Inputs'!$B$34*(SUM(W52:W54)+W47+W16)</x:f>
        <x:v>853391.9076951365</x:v>
      </x:c>
      <x:c r="X69" s="58" t="n">
        <x:f>'Commercial Inputs'!$B$34*(SUM(X52:X54)+X47+X16)</x:f>
        <x:v>1015359.4794458577</x:v>
      </x:c>
      <x:c r="Y69" s="58" t="n">
        <x:f>'Commercial Inputs'!$B$34*(SUM(Y52:Y54)+Y47+Y16)</x:f>
        <x:v>1028274.6049909611</x:v>
      </x:c>
      <x:c r="Z69" s="58" t="n">
        <x:f>'Commercial Inputs'!$B$34*(SUM(Z52:Z54)+Z47+Z16)</x:f>
        <x:v>1508631.0962211366</x:v>
      </x:c>
      <x:c r="AA69" s="58" t="n">
        <x:f>'Commercial Inputs'!$B$34*(SUM(AA52:AA54)+AA47+AA16)</x:f>
        <x:v>1524489.694568163</x:v>
      </x:c>
      <x:c r="AB69" s="58" t="n">
        <x:f>'Commercial Inputs'!$B$34*(SUM(AB52:AB54)+AB47+AB16)</x:f>
        <x:v>1540998.1989258416</x:v>
      </x:c>
      <x:c r="AC69" s="58" t="n">
        <x:f>'Commercial Inputs'!$B$34*(SUM(AC52:AC54)+AC47+AC16)</x:f>
        <x:v>1558208.8940397673</x:v>
      </x:c>
      <x:c r="AD69" s="58" t="n">
        <x:f>'Commercial Inputs'!$B$34*(SUM(AD52:AD54)+AD47+AD16)</x:f>
        <x:v>1576232.375812632</x:v>
      </x:c>
      <x:c r="AE69" s="58" t="n">
        <x:f>'Commercial Inputs'!$B$34*(SUM(AE52:AE54)+AE47+AE16)</x:f>
        <x:v>1820132.908590958</x:v>
      </x:c>
      <x:c r="AF69" s="58" t="n">
        <x:f>'Commercial Inputs'!$B$34*(SUM(AF52:AF54)+AF47+AF16)</x:f>
        <x:v>2406253.1914252676</x:v>
      </x:c>
      <x:c r="AG69" s="58" t="n">
        <x:f>'Commercial Inputs'!$B$34*(SUM(AG52:AG54)+AG47+AG16)</x:f>
        <x:v>2430591.569639444</x:v>
      </x:c>
      <x:c r="AH69" s="58" t="n">
        <x:f>'Commercial Inputs'!$B$34*(SUM(AH52:AH54)+AH47+AH16)</x:f>
        <x:v>2455875.244415015</x:v>
      </x:c>
      <x:c r="AI69" s="58" t="n">
        <x:f>'Commercial Inputs'!$B$34*(SUM(AI52:AI54)+AI47+AI16)</x:f>
        <x:v>2482258.015245588</x:v>
      </x:c>
      <x:c r="AJ69" s="58" t="n">
        <x:f>'Commercial Inputs'!$B$34*(SUM(AJ52:AJ54)+AJ47+AJ16)</x:f>
        <x:v>2509823.9859535247</x:v>
      </x:c>
      <x:c r="AK69" s="58" t="n">
        <x:f>'Commercial Inputs'!$B$34*(SUM(AK52:AK54)+AK47+AK16)</x:f>
        <x:v>2538659.199980229</x:v>
      </x:c>
    </x:row>
    <x:row r="70" ht="18" customHeight="1">
      <x:c r="A70" s="4" t="str">
        <x:v>Cash after service / liquidity reserves</x:v>
      </x:c>
      <x:c r="B70" s="58" t="n">
        <x:f>B64-B68-B69</x:f>
        <x:v>5096.001489830509</x:v>
      </x:c>
      <x:c r="C70" s="58" t="n">
        <x:f>C64-C68-C69</x:f>
        <x:v>78281.49677142271</x:v>
      </x:c>
      <x:c r="D70" s="58" t="n">
        <x:f>D64-D68-D69</x:f>
        <x:v>163485.36182782816</x:v>
      </x:c>
      <x:c r="E70" s="58" t="n">
        <x:f>E64-E68-E69</x:f>
        <x:v>228132.50420614827</x:v>
      </x:c>
      <x:c r="F70" s="58" t="n">
        <x:f>F64-F68-F69</x:f>
        <x:v>364528.8993552281</x:v>
      </x:c>
      <x:c r="G70" s="58" t="n">
        <x:f>G64-G68-G69</x:f>
        <x:v>518648.1903609671</x:v>
      </x:c>
      <x:c r="H70" s="58" t="n">
        <x:f>H64-H68-H69</x:f>
        <x:v>551013.923793439</x:v>
      </x:c>
      <x:c r="I70" s="58" t="n">
        <x:f>I64-I68-I69</x:f>
        <x:v>806038.3997686815</x:v>
      </x:c>
      <x:c r="J70" s="58" t="n">
        <x:f>J64-J68-J69</x:f>
        <x:v>1088699.479335519</x:v>
      </x:c>
      <x:c r="K70" s="58" t="n">
        <x:f>K64-K68-K69</x:f>
        <x:v>1402177.5109291654</x:v>
      </x:c>
      <x:c r="L70" s="58" t="n">
        <x:f>L64-L68-L69</x:f>
        <x:v>1750419.452659709</x:v>
      </x:c>
      <x:c r="M70" s="58" t="n">
        <x:f>M64-M68-M69</x:f>
        <x:v>2138052.9550684365</x:v>
      </x:c>
      <x:c r="N70" s="58" t="n">
        <x:f>N64-N68-N69</x:f>
        <x:v>2272731.8795485673</x:v>
      </x:c>
      <x:c r="O70" s="58" t="n">
        <x:f>O64-O68-O69</x:f>
        <x:v>2836686.725917536</x:v>
      </x:c>
      <x:c r="P70" s="58" t="n">
        <x:f>P64-P68-P69</x:f>
        <x:v>3453542.034249194</x:v>
      </x:c>
      <x:c r="Q70" s="58" t="n">
        <x:f>Q64-Q68-Q69</x:f>
        <x:v>4135817.395665078</x:v>
      </x:c>
      <x:c r="R70" s="58" t="n">
        <x:f>R64-R68-R69</x:f>
        <x:v>4890581.386438206</x:v>
      </x:c>
      <x:c r="S70" s="58" t="n">
        <x:f>S64-S68-S69</x:f>
        <x:v>5716939.289553161</x:v>
      </x:c>
      <x:c r="T70" s="58" t="n">
        <x:f>T64-T68-T69</x:f>
        <x:v>6468105.573981879</x:v>
      </x:c>
      <x:c r="U70" s="58" t="n">
        <x:f>U64-U68-U69</x:f>
        <x:v>7607275.690538073</x:v>
      </x:c>
      <x:c r="V70" s="58" t="n">
        <x:f>V64-V68-V69</x:f>
        <x:v>8849012.012371322</x:v>
      </x:c>
      <x:c r="W70" s="58" t="n">
        <x:f>W64-W68-W69</x:f>
        <x:v>10204510.217390668</x:v>
      </x:c>
      <x:c r="X70" s="58" t="n">
        <x:f>X64-X68-X69</x:f>
        <x:v>11486786.90633403</x:v>
      </x:c>
      <x:c r="Y70" s="58" t="n">
        <x:f>Y64-Y68-Y69</x:f>
        <x:v>13060608.42677614</x:v>
      </x:c>
      <x:c r="Z70" s="58" t="n">
        <x:f>Z64-Z68-Z69</x:f>
        <x:v>14305588.342351446</x:v>
      </x:c>
      <x:c r="AA70" s="58" t="n">
        <x:f>AA64-AA68-AA69</x:f>
        <x:v>16321689.584173394</x:v>
      </x:c>
      <x:c r="AB70" s="58" t="n">
        <x:f>AB64-AB68-AB69</x:f>
        <x:v>18477485.512903523</x:v>
      </x:c>
      <x:c r="AC70" s="58" t="n">
        <x:f>AC64-AC68-AC69</x:f>
        <x:v>20787499.387965925</x:v>
      </x:c>
      <x:c r="AD70" s="58" t="n">
        <x:f>AD64-AD68-AD69</x:f>
        <x:v>23263818.79645067</x:v>
      </x:c>
      <x:c r="AE70" s="58" t="n">
        <x:f>AE64-AE68-AE69</x:f>
        <x:v>25614084.41784034</x:v>
      </x:c>
      <x:c r="AF70" s="58" t="n">
        <x:f>AF64-AF68-AF69</x:f>
        <x:v>27873897.35210602</x:v>
      </x:c>
      <x:c r="AG70" s="58" t="n">
        <x:f>AG64-AG68-AG69</x:f>
        <x:v>31190001.288273633</x:v>
      </x:c>
      <x:c r="AH70" s="58" t="n">
        <x:f>AH64-AH68-AH69</x:f>
        <x:v>34735294.30854503</x:v>
      </x:c>
      <x:c r="AI70" s="58" t="n">
        <x:f>AI64-AI68-AI69</x:f>
        <x:v>38526916.68994484</x:v>
      </x:c>
      <x:c r="AJ70" s="58" t="n">
        <x:f>AJ64-AJ68-AJ69</x:f>
        <x:v>42584668.38399178</x:v>
      </x:c>
      <x:c r="AK70" s="58" t="n">
        <x:f>AK64-AK68-AK69</x:f>
        <x:v>46930483.601460114</x:v>
      </x:c>
    </x:row>
    <x:row r="71" ht="18" customHeight="1">
      <x:c r="A71" s="4" t="str">
        <x:v>Cumulative earned operating profit (INR)</x:v>
      </x:c>
      <x:c r="B71" s="58" t="n">
        <x:f>0+B56</x:f>
        <x:v>-51104.170012806026</x:v>
      </x:c>
      <x:c r="C71" s="58" t="n">
        <x:f>B71+C56</x:f>
        <x:v>-71173.5432318617</x:v>
      </x:c>
      <x:c r="D71" s="58" t="n">
        <x:f>C71+D56</x:f>
        <x:v>-79651.0819102577</x:v>
      </x:c>
      <x:c r="E71" s="58" t="n">
        <x:f>D71+E56</x:f>
        <x:v>-88477.07113790562</x:v>
      </x:c>
      <x:c r="F71" s="58" t="n">
        <x:f>E71+F56</x:f>
        <x:v>-79644.12952884028</x:v>
      </x:c>
      <x:c r="G71" s="58" t="n">
        <x:f>F71+G56</x:f>
        <x:v>-51994.69923523652</x:v>
      </x:c>
      <x:c r="H71" s="58" t="n">
        <x:f>G71+H56</x:f>
        <x:v>-52722.75190742449</x:v>
      </x:c>
      <x:c r="I71" s="58" t="n">
        <x:f>H71+I56</x:f>
        <x:v>-19449.917113802396</x:v>
      </x:c>
      <x:c r="J71" s="58" t="n">
        <x:f>I71+J56</x:f>
        <x:v>49349.08242211427</x:v>
      </x:c>
      <x:c r="K71" s="58" t="n">
        <x:f>J71+K56</x:f>
        <x:v>155851.62012369392</x:v>
      </x:c>
      <x:c r="L71" s="58" t="n">
        <x:f>K71+L56</x:f>
        <x:v>302654.7737654246</x:v>
      </x:c>
      <x:c r="M71" s="58" t="n">
        <x:f>L71+M56</x:f>
        <x:v>492827.2955217438</x:v>
      </x:c>
      <x:c r="N71" s="58" t="n">
        <x:f>M71+N56</x:f>
        <x:v>622657.2157744716</x:v>
      </x:c>
      <x:c r="O71" s="58" t="n">
        <x:f>N71+O56</x:f>
        <x:v>813095.6729974293</x:v>
      </x:c>
      <x:c r="P71" s="58" t="n">
        <x:f>O71+P56</x:f>
        <x:v>1066478.9427952664</x:v>
      </x:c>
      <x:c r="Q71" s="58" t="n">
        <x:f>P71+Q56</x:f>
        <x:v>1382107.0705912416</x:v>
      </x:c>
      <x:c r="R71" s="58" t="n">
        <x:f>Q71+R56</x:f>
        <x:v>1765711.0788148628</x:v>
      </x:c>
      <x:c r="S71" s="58" t="n">
        <x:f>R71+S56</x:f>
        <x:v>2221443.9357187054</x:v>
      </x:c>
      <x:c r="T71" s="58" t="n">
        <x:f>S71+T56</x:f>
        <x:v>2678159.170622937</x:v>
      </x:c>
      <x:c r="U71" s="58" t="n">
        <x:f>T71+U56</x:f>
        <x:v>3229856.295041839</x:v>
      </x:c>
      <x:c r="V71" s="58" t="n">
        <x:f>U71+V56</x:f>
        <x:v>3881729.1412594477</x:v>
      </x:c>
      <x:c r="W71" s="58" t="n">
        <x:f>V71+W56</x:f>
        <x:v>4640178.529129442</x:v>
      </x:c>
      <x:c r="X71" s="58" t="n">
        <x:f>W71+X56</x:f>
        <x:v>5462462.924508025</x:v>
      </x:c>
      <x:c r="Y71" s="58" t="n">
        <x:f>X71+Y56</x:f>
        <x:v>6406777.2813315345</x:v>
      </x:c>
      <x:c r="Z71" s="58" t="n">
        <x:f>Y71+Z56</x:f>
        <x:v>7305127.000470012</x:v>
      </x:c>
      <x:c r="AA71" s="58" t="n">
        <x:f>Z71+AA56</x:f>
        <x:v>8361010.851216564</x:v>
      </x:c>
      <x:c r="AB71" s="58" t="n">
        <x:f>AA71+AB56</x:f>
        <x:v>9579542.444466496</x:v>
      </x:c>
      <x:c r="AC71" s="58" t="n">
        <x:f>AB71+AC56</x:f>
        <x:v>10965221.653751498</x:v>
      </x:c>
      <x:c r="AD71" s="58" t="n">
        <x:f>AC71+AD56</x:f>
        <x:v>12526306.205651565</x:v>
      </x:c>
      <x:c r="AE71" s="58" t="n">
        <x:f>AD71+AE56</x:f>
        <x:v>14195308.431110678</x:v>
      </x:c>
      <x:c r="AF71" s="58" t="n">
        <x:f>AE71+AF56</x:f>
        <x:v>15839900.061348991</x:v>
      </x:c>
      <x:c r="AG71" s="58" t="n">
        <x:f>AF71+AG56</x:f>
        <x:v>17724045.230613198</x:v>
      </x:c>
      <x:c r="AH71" s="58" t="n">
        <x:f>AG71+AH56</x:f>
        <x:v>19854855.958266344</x:v>
      </x:c>
      <x:c r="AI71" s="58" t="n">
        <x:f>AH71+AI56</x:f>
        <x:v>22241337.563803066</x:v>
      </x:c>
      <x:c r="AJ71" s="58" t="n">
        <x:f>AI71+AJ56</x:f>
        <x:v>24893240.096152555</x:v>
      </x:c>
      <x:c r="AK71" s="58" t="n">
        <x:f>AJ71+AK56</x:f>
        <x:v>27821051.858420767</x:v>
      </x:c>
    </x:row>
    <x:row r="72" ht="18" customHeight="1">
      <x:c r="A72" s="4" t="str">
        <x:v>Pre-tax retained-profit / liquidity cap</x:v>
      </x:c>
      <x:c r="B72" s="58" t="n">
        <x:f>MAX(0,MIN(B71,B70))</x:f>
        <x:v>0</x:v>
      </x:c>
      <x:c r="C72" s="58" t="n">
        <x:f>MAX(0,MIN(C71,C70))</x:f>
        <x:v>0</x:v>
      </x:c>
      <x:c r="D72" s="58" t="n">
        <x:f>MAX(0,MIN(D71,D70))</x:f>
        <x:v>0</x:v>
      </x:c>
      <x:c r="E72" s="58" t="n">
        <x:f>MAX(0,MIN(E71,E70))</x:f>
        <x:v>0</x:v>
      </x:c>
      <x:c r="F72" s="58" t="n">
        <x:f>MAX(0,MIN(F71,F70))</x:f>
        <x:v>0</x:v>
      </x:c>
      <x:c r="G72" s="58" t="n">
        <x:f>MAX(0,MIN(G71,G70))</x:f>
        <x:v>0</x:v>
      </x:c>
      <x:c r="H72" s="58" t="n">
        <x:f>MAX(0,MIN(H71,H70))</x:f>
        <x:v>0</x:v>
      </x:c>
      <x:c r="I72" s="58" t="n">
        <x:f>MAX(0,MIN(I71,I70))</x:f>
        <x:v>0</x:v>
      </x:c>
      <x:c r="J72" s="58" t="n">
        <x:f>MAX(0,MIN(J71,J70))</x:f>
        <x:v>49349.08242211427</x:v>
      </x:c>
      <x:c r="K72" s="58" t="n">
        <x:f>MAX(0,MIN(K71,K70))</x:f>
        <x:v>155851.62012369392</x:v>
      </x:c>
      <x:c r="L72" s="58" t="n">
        <x:f>MAX(0,MIN(L71,L70))</x:f>
        <x:v>302654.7737654246</x:v>
      </x:c>
      <x:c r="M72" s="58" t="n">
        <x:f>MAX(0,MIN(M71,M70))</x:f>
        <x:v>492827.2955217438</x:v>
      </x:c>
      <x:c r="N72" s="58" t="n">
        <x:f>MAX(0,MIN(N71,N70))</x:f>
        <x:v>622657.2157744716</x:v>
      </x:c>
      <x:c r="O72" s="58" t="n">
        <x:f>MAX(0,MIN(O71,O70))</x:f>
        <x:v>813095.6729974293</x:v>
      </x:c>
      <x:c r="P72" s="58" t="n">
        <x:f>MAX(0,MIN(P71,P70))</x:f>
        <x:v>1066478.9427952664</x:v>
      </x:c>
      <x:c r="Q72" s="58" t="n">
        <x:f>MAX(0,MIN(Q71,Q70))</x:f>
        <x:v>1382107.0705912416</x:v>
      </x:c>
      <x:c r="R72" s="58" t="n">
        <x:f>MAX(0,MIN(R71,R70))</x:f>
        <x:v>1765711.0788148628</x:v>
      </x:c>
      <x:c r="S72" s="58" t="n">
        <x:f>MAX(0,MIN(S71,S70))</x:f>
        <x:v>2221443.9357187054</x:v>
      </x:c>
      <x:c r="T72" s="58" t="n">
        <x:f>MAX(0,MIN(T71,T70))</x:f>
        <x:v>2678159.170622937</x:v>
      </x:c>
      <x:c r="U72" s="58" t="n">
        <x:f>MAX(0,MIN(U71,U70))</x:f>
        <x:v>3229856.295041839</x:v>
      </x:c>
      <x:c r="V72" s="58" t="n">
        <x:f>MAX(0,MIN(V71,V70))</x:f>
        <x:v>3881729.1412594477</x:v>
      </x:c>
      <x:c r="W72" s="58" t="n">
        <x:f>MAX(0,MIN(W71,W70))</x:f>
        <x:v>4640178.529129442</x:v>
      </x:c>
      <x:c r="X72" s="58" t="n">
        <x:f>MAX(0,MIN(X71,X70))</x:f>
        <x:v>5462462.924508025</x:v>
      </x:c>
      <x:c r="Y72" s="58" t="n">
        <x:f>MAX(0,MIN(Y71,Y70))</x:f>
        <x:v>6406777.2813315345</x:v>
      </x:c>
      <x:c r="Z72" s="58" t="n">
        <x:f>MAX(0,MIN(Z71,Z70))</x:f>
        <x:v>7305127.000470012</x:v>
      </x:c>
      <x:c r="AA72" s="58" t="n">
        <x:f>MAX(0,MIN(AA71,AA70))</x:f>
        <x:v>8361010.851216564</x:v>
      </x:c>
      <x:c r="AB72" s="58" t="n">
        <x:f>MAX(0,MIN(AB71,AB70))</x:f>
        <x:v>9579542.444466496</x:v>
      </x:c>
      <x:c r="AC72" s="58" t="n">
        <x:f>MAX(0,MIN(AC71,AC70))</x:f>
        <x:v>10965221.653751498</x:v>
      </x:c>
      <x:c r="AD72" s="58" t="n">
        <x:f>MAX(0,MIN(AD71,AD70))</x:f>
        <x:v>12526306.205651565</x:v>
      </x:c>
      <x:c r="AE72" s="58" t="n">
        <x:f>MAX(0,MIN(AE71,AE70))</x:f>
        <x:v>14195308.431110678</x:v>
      </x:c>
      <x:c r="AF72" s="58" t="n">
        <x:f>MAX(0,MIN(AF71,AF70))</x:f>
        <x:v>15839900.061348991</x:v>
      </x:c>
      <x:c r="AG72" s="58" t="n">
        <x:f>MAX(0,MIN(AG71,AG70))</x:f>
        <x:v>17724045.230613198</x:v>
      </x:c>
      <x:c r="AH72" s="58" t="n">
        <x:f>MAX(0,MIN(AH71,AH70))</x:f>
        <x:v>19854855.958266344</x:v>
      </x:c>
      <x:c r="AI72" s="58" t="n">
        <x:f>MAX(0,MIN(AI71,AI70))</x:f>
        <x:v>22241337.563803066</x:v>
      </x:c>
      <x:c r="AJ72" s="58" t="n">
        <x:f>MAX(0,MIN(AJ71,AJ70))</x:f>
        <x:v>24893240.096152555</x:v>
      </x:c>
      <x:c r="AK72" s="58" t="n">
        <x:f>MAX(0,MIN(AK71,AK70))</x:f>
        <x:v>27821051.858420767</x:v>
      </x:c>
    </x:row>
    <x:row r="73" ht="18" customHeight="1">
      <x:c r="A73" s="74" t="str">
        <x:v>Revenue run rate: current month x 12</x:v>
      </x:c>
      <x:c r="B73" s="75" t="n">
        <x:f>B38*'Commercial Inputs'!$B$46</x:f>
        <x:v>164423.39453107346</x:v>
      </x:c>
      <x:c r="C73" s="75" t="n">
        <x:f>C38*'Commercial Inputs'!$B$46</x:f>
        <x:v>328948.83074160456</x:v>
      </x:c>
      <x:c r="D73" s="75" t="n">
        <x:f>D38*'Commercial Inputs'!$B$46</x:f>
        <x:v>502754.7565099626</x:v>
      </x:c>
      <x:c r="E73" s="75" t="n">
        <x:f>E38*'Commercial Inputs'!$B$46</x:f>
        <x:v>750604.0841364833</x:v>
      </x:c>
      <x:c r="F73" s="75" t="n">
        <x:f>F38*'Commercial Inputs'!$B$46</x:f>
        <x:v>1010992.4541519141</x:v>
      </x:c>
      <x:c r="G73" s="75" t="n">
        <x:f>G38*'Commercial Inputs'!$B$46</x:f>
        <x:v>1290097.5950148068</x:v>
      </x:c>
      <x:c r="H73" s="75" t="n">
        <x:f>H38*'Commercial Inputs'!$B$46</x:f>
        <x:v>1769235.9802966537</x:v>
      </x:c>
      <x:c r="I73" s="75" t="n">
        <x:f>I38*'Commercial Inputs'!$B$46</x:f>
        <x:v>2259620.7460536934</x:v>
      </x:c>
      <x:c r="J73" s="75" t="n">
        <x:f>J38*'Commercial Inputs'!$B$46</x:f>
        <x:v>2774983.4147759727</x:v>
      </x:c>
      <x:c r="K73" s="75" t="n">
        <x:f>K38*'Commercial Inputs'!$B$46</x:f>
        <x:v>3325347.5607279856</x:v>
      </x:c>
      <x:c r="L73" s="75" t="n">
        <x:f>L38*'Commercial Inputs'!$B$46</x:f>
        <x:v>3917343.895987466</x:v>
      </x:c>
      <x:c r="M73" s="75" t="n">
        <x:f>M38*'Commercial Inputs'!$B$46</x:f>
        <x:v>4558434.841565605</x:v>
      </x:c>
      <x:c r="N73" s="75" t="n">
        <x:f>N38*'Commercial Inputs'!$B$46</x:f>
        <x:v>5418666.455918407</x:v>
      </x:c>
      <x:c r="O73" s="75" t="n">
        <x:f>O38*'Commercial Inputs'!$B$46</x:f>
        <x:v>6299510.655929454</x:v>
      </x:c>
      <x:c r="P73" s="75" t="n">
        <x:f>P38*'Commercial Inputs'!$B$46</x:f>
        <x:v>7219355.6782177035</x:v>
      </x:c>
      <x:c r="Q73" s="75" t="n">
        <x:f>Q38*'Commercial Inputs'!$B$46</x:f>
        <x:v>8168151.907590939</x:v>
      </x:c>
      <x:c r="R73" s="75" t="n">
        <x:f>R38*'Commercial Inputs'!$B$46</x:f>
        <x:v>9176471.632399237</x:v>
      </x:c>
      <x:c r="S73" s="75" t="n">
        <x:f>S38*'Commercial Inputs'!$B$46</x:f>
        <x:v>10252760.04971952</x:v>
      </x:c>
      <x:c r="T73" s="75" t="n">
        <x:f>T38*'Commercial Inputs'!$B$46</x:f>
        <x:v>11604737.675873136</x:v>
      </x:c>
      <x:c r="U73" s="75" t="n">
        <x:f>U38*'Commercial Inputs'!$B$46</x:f>
        <x:v>13018464.383453611</x:v>
      </x:c>
      <x:c r="V73" s="75" t="n">
        <x:f>V38*'Commercial Inputs'!$B$46</x:f>
        <x:v>14518583.117153592</x:v>
      </x:c>
      <x:c r="W73" s="75" t="n">
        <x:f>W38*'Commercial Inputs'!$B$46</x:f>
        <x:v>16124275.087311856</x:v>
      </x:c>
      <x:c r="X73" s="75" t="n">
        <x:f>X38*'Commercial Inputs'!$B$46</x:f>
        <x:v>17849719.168182503</x:v>
      </x:c>
      <x:c r="Y73" s="75" t="n">
        <x:f>Y38*'Commercial Inputs'!$B$46</x:f>
        <x:v>19710466.037912212</x:v>
      </x:c>
      <x:c r="Z73" s="75" t="n">
        <x:f>Z38*'Commercial Inputs'!$B$46</x:f>
        <x:v>21953624.235390726</x:v>
      </x:c>
      <x:c r="AA73" s="75" t="n">
        <x:f>AA38*'Commercial Inputs'!$B$46</x:f>
        <x:v>24249413.065964673</x:v>
      </x:c>
      <x:c r="AB73" s="75" t="n">
        <x:f>AB38*'Commercial Inputs'!$B$46</x:f>
        <x:v>26628396.459344804</x:v>
      </x:c>
      <x:c r="AC73" s="75" t="n">
        <x:f>AC38*'Commercial Inputs'!$B$46</x:f>
        <x:v>29103217.48140358</x:v>
      </x:c>
      <x:c r="AD73" s="75" t="n">
        <x:f>AD38*'Commercial Inputs'!$B$46</x:f>
        <x:v>31690189.813001186</x:v>
      </x:c>
      <x:c r="AE73" s="75" t="n">
        <x:f>AE38*'Commercial Inputs'!$B$46</x:f>
        <x:v>34399339.26173674</x:v>
      </x:c>
      <x:c r="AF73" s="75" t="n">
        <x:f>AF38*'Commercial Inputs'!$B$46</x:f>
        <x:v>37845663.52878022</x:v>
      </x:c>
      <x:c r="AG73" s="75" t="n">
        <x:f>AG38*'Commercial Inputs'!$B$46</x:f>
        <x:v>41365358.724383</x:v>
      </x:c>
      <x:c r="AH73" s="75" t="n">
        <x:f>AH38*'Commercial Inputs'!$B$46</x:f>
        <x:v>45006235.7905547</x:v>
      </x:c>
      <x:c r="AI73" s="75" t="n">
        <x:f>AI38*'Commercial Inputs'!$B$46</x:f>
        <x:v>48798464.30383368</x:v>
      </x:c>
      <x:c r="AJ73" s="75" t="n">
        <x:f>AJ38*'Commercial Inputs'!$B$46</x:f>
        <x:v>52755455.89681655</x:v>
      </x:c>
      <x:c r="AK73" s="75" t="n">
        <x:f>AK38*'Commercial Inputs'!$B$46</x:f>
        <x:v>56890834.96413363</x:v>
      </x:c>
    </x:row>
    <x:row r="74" ht="18" customHeight="1">
      <x:c r="A74" s="4" t="str"/>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c r="AA74" s="58"/>
      <x:c r="AB74" s="58"/>
      <x:c r="AC74" s="58"/>
      <x:c r="AD74" s="58"/>
      <x:c r="AE74" s="58"/>
      <x:c r="AF74" s="58"/>
      <x:c r="AG74" s="58"/>
      <x:c r="AH74" s="58"/>
      <x:c r="AI74" s="58"/>
      <x:c r="AJ74" s="58"/>
      <x:c r="AK74" s="58"/>
    </x:row>
    <x:row r="75" ht="18" customHeight="1">
      <x:c r="A75" s="4" t="str">
        <x:v>Annual entitlement balance check</x:v>
      </x:c>
      <x:c r="B75" s="58" t="n">
        <x:f>ROUND(B24-(0+SUM(B20:B22)-B23),6)</x:f>
        <x:v>0</x:v>
      </x:c>
      <x:c r="C75" s="58" t="n">
        <x:f>ROUND(C24-(B24+SUM(C20:C22)-C23),6)</x:f>
        <x:v>0</x:v>
      </x:c>
      <x:c r="D75" s="58" t="n">
        <x:f>ROUND(D24-(C24+SUM(D20:D22)-D23),6)</x:f>
        <x:v>0</x:v>
      </x:c>
      <x:c r="E75" s="58" t="n">
        <x:f>ROUND(E24-(D24+SUM(E20:E22)-E23),6)</x:f>
        <x:v>0</x:v>
      </x:c>
      <x:c r="F75" s="58" t="n">
        <x:f>ROUND(F24-(E24+SUM(F20:F22)-F23),6)</x:f>
        <x:v>0</x:v>
      </x:c>
      <x:c r="G75" s="58" t="n">
        <x:f>ROUND(G24-(F24+SUM(G20:G22)-G23),6)</x:f>
        <x:v>0</x:v>
      </x:c>
      <x:c r="H75" s="58" t="n">
        <x:f>ROUND(H24-(G24+SUM(H20:H22)-H23),6)</x:f>
        <x:v>0</x:v>
      </x:c>
      <x:c r="I75" s="58" t="n">
        <x:f>ROUND(I24-(H24+SUM(I20:I22)-I23),6)</x:f>
        <x:v>0</x:v>
      </x:c>
      <x:c r="J75" s="58" t="n">
        <x:f>ROUND(J24-(I24+SUM(J20:J22)-J23),6)</x:f>
        <x:v>0</x:v>
      </x:c>
      <x:c r="K75" s="58" t="n">
        <x:f>ROUND(K24-(J24+SUM(K20:K22)-K23),6)</x:f>
        <x:v>0</x:v>
      </x:c>
      <x:c r="L75" s="58" t="n">
        <x:f>ROUND(L24-(K24+SUM(L20:L22)-L23),6)</x:f>
        <x:v>0</x:v>
      </x:c>
      <x:c r="M75" s="58" t="n">
        <x:f>ROUND(M24-(L24+SUM(M20:M22)-M23),6)</x:f>
        <x:v>0</x:v>
      </x:c>
      <x:c r="N75" s="58" t="n">
        <x:f>ROUND(N24-(M24+SUM(N20:N22)-N23),6)</x:f>
        <x:v>0</x:v>
      </x:c>
      <x:c r="O75" s="58" t="n">
        <x:f>ROUND(O24-(N24+SUM(O20:O22)-O23),6)</x:f>
        <x:v>0</x:v>
      </x:c>
      <x:c r="P75" s="58" t="n">
        <x:f>ROUND(P24-(O24+SUM(P20:P22)-P23),6)</x:f>
        <x:v>0</x:v>
      </x:c>
      <x:c r="Q75" s="58" t="n">
        <x:f>ROUND(Q24-(P24+SUM(Q20:Q22)-Q23),6)</x:f>
        <x:v>0</x:v>
      </x:c>
      <x:c r="R75" s="58" t="n">
        <x:f>ROUND(R24-(Q24+SUM(R20:R22)-R23),6)</x:f>
        <x:v>0</x:v>
      </x:c>
      <x:c r="S75" s="58" t="n">
        <x:f>ROUND(S24-(R24+SUM(S20:S22)-S23),6)</x:f>
        <x:v>0</x:v>
      </x:c>
      <x:c r="T75" s="58" t="n">
        <x:f>ROUND(T24-(S24+SUM(T20:T22)-T23),6)</x:f>
        <x:v>0</x:v>
      </x:c>
      <x:c r="U75" s="58" t="n">
        <x:f>ROUND(U24-(T24+SUM(U20:U22)-U23),6)</x:f>
        <x:v>0</x:v>
      </x:c>
      <x:c r="V75" s="58" t="n">
        <x:f>ROUND(V24-(U24+SUM(V20:V22)-V23),6)</x:f>
        <x:v>0</x:v>
      </x:c>
      <x:c r="W75" s="58" t="n">
        <x:f>ROUND(W24-(V24+SUM(W20:W22)-W23),6)</x:f>
        <x:v>0</x:v>
      </x:c>
      <x:c r="X75" s="58" t="n">
        <x:f>ROUND(X24-(W24+SUM(X20:X22)-X23),6)</x:f>
        <x:v>0</x:v>
      </x:c>
      <x:c r="Y75" s="58" t="n">
        <x:f>ROUND(Y24-(X24+SUM(Y20:Y22)-Y23),6)</x:f>
        <x:v>0</x:v>
      </x:c>
      <x:c r="Z75" s="58" t="n">
        <x:f>ROUND(Z24-(Y24+SUM(Z20:Z22)-Z23),6)</x:f>
        <x:v>0</x:v>
      </x:c>
      <x:c r="AA75" s="58" t="n">
        <x:f>ROUND(AA24-(Z24+SUM(AA20:AA22)-AA23),6)</x:f>
        <x:v>0</x:v>
      </x:c>
      <x:c r="AB75" s="58" t="n">
        <x:f>ROUND(AB24-(AA24+SUM(AB20:AB22)-AB23),6)</x:f>
        <x:v>0</x:v>
      </x:c>
      <x:c r="AC75" s="58" t="n">
        <x:f>ROUND(AC24-(AB24+SUM(AC20:AC22)-AC23),6)</x:f>
        <x:v>0</x:v>
      </x:c>
      <x:c r="AD75" s="58" t="n">
        <x:f>ROUND(AD24-(AC24+SUM(AD20:AD22)-AD23),6)</x:f>
        <x:v>0</x:v>
      </x:c>
      <x:c r="AE75" s="58" t="n">
        <x:f>ROUND(AE24-(AD24+SUM(AE20:AE22)-AE23),6)</x:f>
        <x:v>0</x:v>
      </x:c>
      <x:c r="AF75" s="58" t="n">
        <x:f>ROUND(AF24-(AE24+SUM(AF20:AF22)-AF23),6)</x:f>
        <x:v>0</x:v>
      </x:c>
      <x:c r="AG75" s="58" t="n">
        <x:f>ROUND(AG24-(AF24+SUM(AG20:AG22)-AG23),6)</x:f>
        <x:v>0</x:v>
      </x:c>
      <x:c r="AH75" s="58" t="n">
        <x:f>ROUND(AH24-(AG24+SUM(AH20:AH22)-AH23),6)</x:f>
        <x:v>0</x:v>
      </x:c>
      <x:c r="AI75" s="58" t="n">
        <x:f>ROUND(AI24-(AH24+SUM(AI20:AI22)-AI23),6)</x:f>
        <x:v>0</x:v>
      </x:c>
      <x:c r="AJ75" s="58" t="n">
        <x:f>ROUND(AJ24-(AI24+SUM(AJ20:AJ22)-AJ23),6)</x:f>
        <x:v>0</x:v>
      </x:c>
      <x:c r="AK75" s="58" t="n">
        <x:f>ROUND(AK24-(AJ24+SUM(AK20:AK22)-AK23),6)</x:f>
        <x:v>0</x:v>
      </x:c>
    </x:row>
    <x:row r="76" ht="18" customHeight="1">
      <x:c r="A76" s="4" t="str">
        <x:v>Monthly charge / refund check</x:v>
      </x:c>
      <x:c r="B76" s="58" t="n">
        <x:f>ROUND(B31-B32*(1-'Scenario Inputs'!$D$29),6)</x:f>
        <x:v>0</x:v>
      </x:c>
      <x:c r="C76" s="58" t="n">
        <x:f>ROUND(C31-C32*(1-'Scenario Inputs'!$D$29),6)</x:f>
        <x:v>0</x:v>
      </x:c>
      <x:c r="D76" s="58" t="n">
        <x:f>ROUND(D31-D32*(1-'Scenario Inputs'!$D$29),6)</x:f>
        <x:v>0</x:v>
      </x:c>
      <x:c r="E76" s="58" t="n">
        <x:f>ROUND(E31-E32*(1-'Scenario Inputs'!$D$29),6)</x:f>
        <x:v>0</x:v>
      </x:c>
      <x:c r="F76" s="58" t="n">
        <x:f>ROUND(F31-F32*(1-'Scenario Inputs'!$D$29),6)</x:f>
        <x:v>0</x:v>
      </x:c>
      <x:c r="G76" s="58" t="n">
        <x:f>ROUND(G31-G32*(1-'Scenario Inputs'!$D$29),6)</x:f>
        <x:v>0</x:v>
      </x:c>
      <x:c r="H76" s="58" t="n">
        <x:f>ROUND(H31-H32*(1-'Scenario Inputs'!$D$29),6)</x:f>
        <x:v>0</x:v>
      </x:c>
      <x:c r="I76" s="58" t="n">
        <x:f>ROUND(I31-I32*(1-'Scenario Inputs'!$D$29),6)</x:f>
        <x:v>0</x:v>
      </x:c>
      <x:c r="J76" s="58" t="n">
        <x:f>ROUND(J31-J32*(1-'Scenario Inputs'!$D$29),6)</x:f>
        <x:v>0</x:v>
      </x:c>
      <x:c r="K76" s="58" t="n">
        <x:f>ROUND(K31-K32*(1-'Scenario Inputs'!$D$29),6)</x:f>
        <x:v>0</x:v>
      </x:c>
      <x:c r="L76" s="58" t="n">
        <x:f>ROUND(L31-L32*(1-'Scenario Inputs'!$D$29),6)</x:f>
        <x:v>0</x:v>
      </x:c>
      <x:c r="M76" s="58" t="n">
        <x:f>ROUND(M31-M32*(1-'Scenario Inputs'!$D$29),6)</x:f>
        <x:v>0</x:v>
      </x:c>
      <x:c r="N76" s="58" t="n">
        <x:f>ROUND(N31-N32*(1-'Scenario Inputs'!$D$29),6)</x:f>
        <x:v>0</x:v>
      </x:c>
      <x:c r="O76" s="58" t="n">
        <x:f>ROUND(O31-O32*(1-'Scenario Inputs'!$D$29),6)</x:f>
        <x:v>0</x:v>
      </x:c>
      <x:c r="P76" s="58" t="n">
        <x:f>ROUND(P31-P32*(1-'Scenario Inputs'!$D$29),6)</x:f>
        <x:v>0</x:v>
      </x:c>
      <x:c r="Q76" s="58" t="n">
        <x:f>ROUND(Q31-Q32*(1-'Scenario Inputs'!$D$29),6)</x:f>
        <x:v>0</x:v>
      </x:c>
      <x:c r="R76" s="58" t="n">
        <x:f>ROUND(R31-R32*(1-'Scenario Inputs'!$D$29),6)</x:f>
        <x:v>0</x:v>
      </x:c>
      <x:c r="S76" s="58" t="n">
        <x:f>ROUND(S31-S32*(1-'Scenario Inputs'!$D$29),6)</x:f>
        <x:v>0</x:v>
      </x:c>
      <x:c r="T76" s="58" t="n">
        <x:f>ROUND(T31-T32*(1-'Scenario Inputs'!$D$29),6)</x:f>
        <x:v>0</x:v>
      </x:c>
      <x:c r="U76" s="58" t="n">
        <x:f>ROUND(U31-U32*(1-'Scenario Inputs'!$D$29),6)</x:f>
        <x:v>0</x:v>
      </x:c>
      <x:c r="V76" s="58" t="n">
        <x:f>ROUND(V31-V32*(1-'Scenario Inputs'!$D$29),6)</x:f>
        <x:v>0</x:v>
      </x:c>
      <x:c r="W76" s="58" t="n">
        <x:f>ROUND(W31-W32*(1-'Scenario Inputs'!$D$29),6)</x:f>
        <x:v>0</x:v>
      </x:c>
      <x:c r="X76" s="58" t="n">
        <x:f>ROUND(X31-X32*(1-'Scenario Inputs'!$D$29),6)</x:f>
        <x:v>0</x:v>
      </x:c>
      <x:c r="Y76" s="58" t="n">
        <x:f>ROUND(Y31-Y32*(1-'Scenario Inputs'!$D$29),6)</x:f>
        <x:v>0</x:v>
      </x:c>
      <x:c r="Z76" s="58" t="n">
        <x:f>ROUND(Z31-Z32*(1-'Scenario Inputs'!$D$29),6)</x:f>
        <x:v>0</x:v>
      </x:c>
      <x:c r="AA76" s="58" t="n">
        <x:f>ROUND(AA31-AA32*(1-'Scenario Inputs'!$D$29),6)</x:f>
        <x:v>0</x:v>
      </x:c>
      <x:c r="AB76" s="58" t="n">
        <x:f>ROUND(AB31-AB32*(1-'Scenario Inputs'!$D$29),6)</x:f>
        <x:v>0</x:v>
      </x:c>
      <x:c r="AC76" s="58" t="n">
        <x:f>ROUND(AC31-AC32*(1-'Scenario Inputs'!$D$29),6)</x:f>
        <x:v>0</x:v>
      </x:c>
      <x:c r="AD76" s="58" t="n">
        <x:f>ROUND(AD31-AD32*(1-'Scenario Inputs'!$D$29),6)</x:f>
        <x:v>0</x:v>
      </x:c>
      <x:c r="AE76" s="58" t="n">
        <x:f>ROUND(AE31-AE32*(1-'Scenario Inputs'!$D$29),6)</x:f>
        <x:v>0</x:v>
      </x:c>
      <x:c r="AF76" s="58" t="n">
        <x:f>ROUND(AF31-AF32*(1-'Scenario Inputs'!$D$29),6)</x:f>
        <x:v>0</x:v>
      </x:c>
      <x:c r="AG76" s="58" t="n">
        <x:f>ROUND(AG31-AG32*(1-'Scenario Inputs'!$D$29),6)</x:f>
        <x:v>0</x:v>
      </x:c>
      <x:c r="AH76" s="58" t="n">
        <x:f>ROUND(AH31-AH32*(1-'Scenario Inputs'!$D$29),6)</x:f>
        <x:v>0</x:v>
      </x:c>
      <x:c r="AI76" s="58" t="n">
        <x:f>ROUND(AI31-AI32*(1-'Scenario Inputs'!$D$29),6)</x:f>
        <x:v>0</x:v>
      </x:c>
      <x:c r="AJ76" s="58" t="n">
        <x:f>ROUND(AJ31-AJ32*(1-'Scenario Inputs'!$D$29),6)</x:f>
        <x:v>0</x:v>
      </x:c>
      <x:c r="AK76" s="58" t="n">
        <x:f>ROUND(AK31-AK32*(1-'Scenario Inputs'!$D$29),6)</x:f>
        <x:v>0</x:v>
      </x:c>
    </x:row>
    <x:row r="77" ht="18"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row>
    <x:row r="78" ht="18"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row>
    <x:row r="79" ht="18"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row>
    <x:row r="80" ht="18"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row>
    <x:row r="81" ht="18"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row>
    <x:row r="82" ht="18"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row>
    <x:row r="83" ht="18"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row>
    <x:row r="84" ht="18" customHeight="1">
      <x:c r="A84" s="4" t="str">
        <x:v>Blended annual price, ex-tax (INR)</x:v>
      </x:c>
      <x:c r="B84" s="56" t="n">
        <x:f>'Scenario Inputs'!$D$28*'Commercial Inputs'!$B$6/(1+'Commercial Inputs'!$B$10)+(1-'Scenario Inputs'!$D$28)*('Commercial Inputs'!$B$8*'Commercial Inputs'!$B$5)/(1+'Commercial Inputs'!$B$11)</x:f>
        <x:v>3122.841949152543</x:v>
      </x:c>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row>
    <x:row r="85" ht="18" customHeight="1">
      <x:c r="A85" s="4" t="str">
        <x:v>Blended monthly price, ex-tax (INR)</x:v>
      </x:c>
      <x:c r="B85" s="56" t="n">
        <x:f>'Scenario Inputs'!$D$28*'Commercial Inputs'!$B$7/(1+'Commercial Inputs'!$B$10)+(1-'Scenario Inputs'!$D$28)*('Commercial Inputs'!$B$9*'Commercial Inputs'!$B$5)/(1+'Commercial Inputs'!$B$11)</x:f>
        <x:v>457.07923728813563</x:v>
      </x:c>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row>
    <x:row r="86" ht="18" customHeight="1">
      <x:c r="A86" s="4" t="str">
        <x:v>Fee per annual charge (INR)</x:v>
      </x:c>
      <x:c r="B86" s="56" t="n">
        <x:f>'Scenario Inputs'!$D$28*('Commercial Inputs'!$B$12*'Commercial Inputs'!$B$6*'Commercial Inputs'!$B$14+(1-'Commercial Inputs'!$B$12)*'Commercial Inputs'!$B$6/(1+'Commercial Inputs'!$B$10)*'Commercial Inputs'!$B$13)+(1-'Scenario Inputs'!$D$28)*('Commercial Inputs'!$B$12*(('Commercial Inputs'!$B$8*'Commercial Inputs'!$B$5)*'Commercial Inputs'!$B$15+'Commercial Inputs'!$B$16*'Commercial Inputs'!$B$5)+(1-'Commercial Inputs'!$B$12)*('Commercial Inputs'!$B$8*'Commercial Inputs'!$B$5)/(1+'Commercial Inputs'!$B$11)*'Commercial Inputs'!$B$13)</x:f>
        <x:v>324.4683211864407</x:v>
      </x:c>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row>
    <x:row r="87" ht="18" customHeight="1">
      <x:c r="A87" s="4" t="str">
        <x:v>Fee per monthly charge (INR)</x:v>
      </x:c>
      <x:c r="B87" s="56" t="n">
        <x:f>'Scenario Inputs'!$D$28*('Commercial Inputs'!$B$12*'Commercial Inputs'!$B$7*'Commercial Inputs'!$B$14+(1-'Commercial Inputs'!$B$12)*'Commercial Inputs'!$B$7/(1+'Commercial Inputs'!$B$10)*'Commercial Inputs'!$B$13)+(1-'Scenario Inputs'!$D$28)*('Commercial Inputs'!$B$12*(('Commercial Inputs'!$B$9*'Commercial Inputs'!$B$5)*'Commercial Inputs'!$B$15+'Commercial Inputs'!$B$16*'Commercial Inputs'!$B$5)+(1-'Commercial Inputs'!$B$12)*('Commercial Inputs'!$B$9*'Commercial Inputs'!$B$5)/(1+'Commercial Inputs'!$B$11)*'Commercial Inputs'!$B$13)</x:f>
        <x:v>61.99861779661017</x:v>
      </x:c>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row>
    <x:row r="88" ht="18" customHeight="1">
      <x:c r="A88" s="4" t="str">
        <x:v>Billing reserve per annual charge (INR)</x:v>
      </x:c>
      <x:c r="B88" s="56" t="n">
        <x:f>('Scenario Inputs'!$D$28*'Commercial Inputs'!$B$6+(1-'Scenario Inputs'!$D$28)*('Commercial Inputs'!$B$8*'Commercial Inputs'!$B$5))*'Commercial Inputs'!$B$17</x:f>
        <x:v>31.990750000000002</x:v>
      </x:c>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row>
    <x:row r="89" ht="18" customHeight="1">
      <x:c r="A89" s="4" t="str">
        <x:v>Billing reserve per monthly charge (INR)</x:v>
      </x:c>
      <x:c r="B89" s="56" t="n">
        <x:f>('Scenario Inputs'!$D$28*'Commercial Inputs'!$B$7+(1-'Scenario Inputs'!$D$28)*('Commercial Inputs'!$B$9*'Commercial Inputs'!$B$5))*'Commercial Inputs'!$B$17</x:f>
        <x:v>4.665750000000001</x:v>
      </x:c>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row>
    <x:row r="90" ht="18" customHeight="1">
      <x:c r="A90" s="4" t="str">
        <x:v>Budgeted AI cost per job (INR)</x:v>
      </x:c>
      <x:c r="B90" s="56" t="n">
        <x:f>('Commercial Inputs'!$B$20*'Commercial Inputs'!$B$18+'Commercial Inputs'!$B$21*'Commercial Inputs'!$B$19)/'Commercial Inputs'!$B$47*'Commercial Inputs'!$B$22*'Commercial Inputs'!$B$5*(1+'Commercial Inputs'!$B$23)</x:f>
        <x:v>0.1287</x:v>
      </x:c>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row>
    <x:row r="91" ht="18"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row>
    <x:row r="92" ht="18"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row>
  </x:sheetData>
  <x:mergeCells>
    <x:mergeCell ref="A1:AK1"/>
    <x:mergeCell ref="A2:AK2"/>
  </x:mergeCells>
  <x:conditionalFormatting sqref="B67:AK67">
    <x:cfRule type="cellIs" dxfId="6" priority="1" operator="notEqual">
      <x:formula>0</x:formula>
    </x:cfRule>
  </x:conditionalFormatting>
  <x:conditionalFormatting sqref="B75:AK75">
    <x:cfRule type="cellIs" dxfId="7" priority="2" operator="notEqual">
      <x:formula>0</x:formula>
    </x:cfRule>
  </x:conditionalFormatting>
  <x:conditionalFormatting sqref="B76:AK76">
    <x:cfRule type="cellIs" dxfId="8" priority="3" operator="notEqual">
      <x:formula>0</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18" hidden="0" customWidth="1"/>
    <x:col min="7" max="7" width="65" hidden="0" customWidth="1"/>
  </x:cols>
  <x:sheetData>
    <x:row r="1" ht="34" customHeight="1">
      <x:c r="A1" s="7" t="str">
        <x:v>WHAT BREAKS THE BASE CASE?</x:v>
      </x:c>
      <x:c r="B1" s="7"/>
      <x:c r="C1" s="7"/>
      <x:c r="D1" s="7"/>
      <x:c r="E1" s="7"/>
      <x:c r="F1" s="7"/>
      <x:c r="G1" s="7"/>
    </x:row>
    <x:row r="2" ht="30" customHeight="1">
      <x:c r="A2" s="11" t="str">
        <x:v>One driver changes at a time. Traffic, conversion and price are held fixed except where explicitly changed. These are not elastic demand forecasts.</x:v>
      </x:c>
      <x:c r="B2" s="11"/>
      <x:c r="C2" s="11"/>
      <x:c r="D2" s="11"/>
      <x:c r="E2" s="11"/>
      <x:c r="F2" s="11"/>
      <x:c r="G2" s="11"/>
    </x:row>
    <x:row r="3" ht="18" customHeight="1">
      <x:c r="A3" s="4"/>
      <x:c r="B3" s="4"/>
      <x:c r="C3" s="4"/>
      <x:c r="D3" s="4"/>
      <x:c r="E3" s="4"/>
      <x:c r="F3" s="4"/>
      <x:c r="G3" s="4"/>
    </x:row>
    <x:row r="4" ht="44" customHeight="1">
      <x:c r="A4" s="16" t="str">
        <x:v>Case</x:v>
      </x:c>
      <x:c r="B4" s="16" t="str">
        <x:v>M36 payers</x:v>
      </x:c>
      <x:c r="C4" s="16" t="str">
        <x:v>M36 revenue (₹ lakh)</x:v>
      </x:c>
      <x:c r="D4" s="16" t="str">
        <x:v>M36 profit (₹ lakh)</x:v>
      </x:c>
      <x:c r="E4" s="16" t="str">
        <x:v>Change vs Base</x:v>
      </x:c>
      <x:c r="F4" s="16" t="str">
        <x:v>3Y earned profit (₹ lakh)</x:v>
      </x:c>
      <x:c r="G4" s="16" t="str">
        <x:v>Interpretation</x:v>
      </x:c>
    </x:row>
    <x:row r="5" ht="37" customHeight="1">
      <x:c r="A5" s="30" t="str">
        <x:v>Base</x:v>
      </x:c>
      <x:c r="B5" s="92" t="n">
        <x:f>'Monthly Base'!AK34</x:f>
        <x:v>3638.210561892481</x:v>
      </x:c>
      <x:c r="C5" s="93" t="n">
        <x:f>'Monthly Base'!AK38/'Commercial Inputs'!$B$45</x:f>
        <x:v>9.212255441111445</x:v>
      </x:c>
      <x:c r="D5" s="93" t="n">
        <x:f>'Monthly Base'!AK56/'Commercial Inputs'!$B$45</x:f>
        <x:v>4.941650242224033</x:v>
      </x:c>
      <x:c r="E5" s="93" t="n">
        <x:f>D5-$D$5</x:f>
        <x:v>0</x:v>
      </x:c>
      <x:c r="F5" s="93" t="n">
        <x:f>'Monthly Base'!AK71/'Commercial Inputs'!$B$45</x:f>
        <x:v>51.41205606414687</x:v>
      </x:c>
      <x:c r="G5" s="30" t="str">
        <x:v>Unchanged Base</x:v>
      </x:c>
    </x:row>
    <x:row r="6" ht="37" customHeight="1">
      <x:c r="A6" s="30" t="str">
        <x:v>Organic stalls</x:v>
      </x:c>
      <x:c r="B6" s="92" t="n">
        <x:f>'Stress Engine'!AK34</x:f>
        <x:v>2124.4402793152162</x:v>
      </x:c>
      <x:c r="C6" s="93" t="n">
        <x:f>'Stress Engine'!AK38/'Commercial Inputs'!$B$45</x:f>
        <x:v>5.348555197591122</x:v>
      </x:c>
      <x:c r="D6" s="93" t="n">
        <x:f>'Stress Engine'!AK56/'Commercial Inputs'!$B$45</x:f>
        <x:v>2.0299381126492833</x:v>
      </x:c>
      <x:c r="E6" s="93" t="n">
        <x:f>D6-$D$5</x:f>
        <x:v>-2.9117121295747497</x:v>
      </x:c>
      <x:c r="F6" s="93" t="n">
        <x:f>'Stress Engine'!AK71/'Commercial Inputs'!$B$45</x:f>
        <x:v>28.041504425366117</x:v>
      </x:c>
      <x:c r="G6" s="30" t="str">
        <x:v>Organic growth stops after year 1; not all organic traffic disappears.</x:v>
      </x:c>
    </x:row>
    <x:row r="7" ht="37" customHeight="1">
      <x:c r="A7" s="30" t="str">
        <x:v>Paid CAC doubles</x:v>
      </x:c>
      <x:c r="B7" s="92" t="n">
        <x:f>'Stress Engine'!AK139</x:f>
        <x:v>2918.545101361778</x:v>
      </x:c>
      <x:c r="C7" s="93" t="n">
        <x:f>'Stress Engine'!AK143/'Commercial Inputs'!$B$45</x:f>
        <x:v>7.395994145475289</x:v>
      </x:c>
      <x:c r="D7" s="93" t="n">
        <x:f>'Stress Engine'!AK161/'Commercial Inputs'!$B$45</x:f>
        <x:v>3.5058017340998586</x:v>
      </x:c>
      <x:c r="E7" s="93" t="n">
        <x:f>D7-$D$5</x:f>
        <x:v>-1.4358485081241743</x:v>
      </x:c>
      <x:c r="F7" s="93" t="n">
        <x:f>'Stress Engine'!AK176/'Commercial Inputs'!$B$45</x:f>
        <x:v>31.62919676286326</x:v>
      </x:c>
      <x:c r="G7" s="30" t="str">
        <x:v>Same media budget, half as many paid first purchases; conversion unchanged.</x:v>
      </x:c>
    </x:row>
    <x:row r="8" ht="37" customHeight="1">
      <x:c r="A8" s="30" t="str">
        <x:v>India only</x:v>
      </x:c>
      <x:c r="B8" s="92" t="n">
        <x:f>'Stress Engine'!AK244</x:f>
        <x:v>3638.210561892481</x:v>
      </x:c>
      <x:c r="C8" s="93" t="n">
        <x:f>'Stress Engine'!AK248/'Commercial Inputs'!$B$45</x:f>
        <x:v>5.384922820310881</x:v>
      </x:c>
      <x:c r="D8" s="93" t="n">
        <x:f>'Stress Engine'!AK266/'Commercial Inputs'!$B$45</x:f>
        <x:v>1.7830004674795863</x:v>
      </x:c>
      <x:c r="E8" s="93" t="n">
        <x:f>D8-$D$5</x:f>
        <x:v>-3.158649774744447</x:v>
      </x:c>
      <x:c r="F8" s="93" t="n">
        <x:f>'Stress Engine'!AK281/'Commercial Inputs'!$B$45</x:f>
        <x:v>9.563046655097152</x:v>
      </x:c>
      <x:c r="G8" s="30" t="str">
        <x:v>100% India prices, holding traffic and conversion constant.</x:v>
      </x:c>
    </x:row>
    <x:row r="9" ht="37" customHeight="1">
      <x:c r="A9" s="30" t="str">
        <x:v>Weak renewal</x:v>
      </x:c>
      <x:c r="B9" s="92" t="n">
        <x:f>'Stress Engine'!AK349</x:f>
        <x:v>3392.981052968407</x:v>
      </x:c>
      <x:c r="C9" s="93" t="n">
        <x:f>'Stress Engine'!AK353/'Commercial Inputs'!$B$45</x:f>
        <x:v>8.632474207044861</x:v>
      </x:c>
      <x:c r="D9" s="93" t="n">
        <x:f>'Stress Engine'!AK371/'Commercial Inputs'!$B$45</x:f>
        <x:v>4.502199977913134</x:v>
      </x:c>
      <x:c r="E9" s="93" t="n">
        <x:f>D9-$D$5</x:f>
        <x:v>-0.4394502643108993</x:v>
      </x:c>
      <x:c r="F9" s="93" t="n">
        <x:f>'Stress Engine'!AK386/'Commercial Inputs'!$B$45</x:f>
        <x:v>47.83485212772896</x:v>
      </x:c>
      <x:c r="G9" s="30" t="str">
        <x:v>15% first annual renewal before refunds.</x:v>
      </x:c>
    </x:row>
    <x:row r="10" ht="37" customHeight="1">
      <x:c r="A10" s="30" t="str">
        <x:v>Large free tier</x:v>
      </x:c>
      <x:c r="B10" s="92" t="n">
        <x:f>'Stress Engine'!AK454</x:f>
        <x:v>3638.210561892481</x:v>
      </x:c>
      <x:c r="C10" s="93" t="n">
        <x:f>'Stress Engine'!AK458/'Commercial Inputs'!$B$45</x:f>
        <x:v>9.212255441111445</x:v>
      </x:c>
      <x:c r="D10" s="93" t="n">
        <x:f>'Stress Engine'!AK476/'Commercial Inputs'!$B$45</x:f>
        <x:v>3.817879763866684</x:v>
      </x:c>
      <x:c r="E10" s="93" t="n">
        <x:f>D10-$D$5</x:f>
        <x:v>-1.1237704783573488</x:v>
      </x:c>
      <x:c r="F10" s="93" t="n">
        <x:f>'Stress Engine'!AK491/'Commercial Inputs'!$B$45</x:f>
        <x:v>36.280394161448804</x:v>
      </x:c>
      <x:c r="G10" s="30" t="str">
        <x:v>100 active free users per paying subscriber.</x:v>
      </x:c>
    </x:row>
    <x:row r="11" ht="37" customHeight="1">
      <x:c r="A11" s="30" t="str">
        <x:v>Monthly heavy</x:v>
      </x:c>
      <x:c r="B11" s="92" t="n">
        <x:f>'Stress Engine'!AK559</x:f>
        <x:v>2605.259209648343</x:v>
      </x:c>
      <x:c r="C11" s="93" t="n">
        <x:f>'Stress Engine'!AK563/'Commercial Inputs'!$B$45</x:f>
        <x:v>7.625028538899341</x:v>
      </x:c>
      <x:c r="D11" s="93" t="n">
        <x:f>'Stress Engine'!AK581/'Commercial Inputs'!$B$45</x:f>
        <x:v>3.7928065569964073</x:v>
      </x:c>
      <x:c r="E11" s="93" t="n">
        <x:f>D11-$D$5</x:f>
        <x:v>-1.1488436852276256</x:v>
      </x:c>
      <x:c r="F11" s="93" t="n">
        <x:f>'Stress Engine'!AK596/'Commercial Inputs'!$B$45</x:f>
        <x:v>40.0948840809645</x:v>
      </x:c>
      <x:c r="G11" s="30" t="str">
        <x:v>Only 40% choose annual; remaining 60% are monthly.</x:v>
      </x:c>
    </x:row>
    <x:row r="12" ht="37" customHeight="1">
      <x:c r="A12" s="30" t="str">
        <x:v>Higher store fee</x:v>
      </x:c>
      <x:c r="B12" s="92" t="n">
        <x:f>'Stress Engine'!AK664</x:f>
        <x:v>3638.210561892481</x:v>
      </x:c>
      <x:c r="C12" s="93" t="n">
        <x:f>'Stress Engine'!AK668/'Commercial Inputs'!$B$45</x:f>
        <x:v>9.212255441111445</x:v>
      </x:c>
      <x:c r="D12" s="93" t="n">
        <x:f>'Stress Engine'!AK686/'Commercial Inputs'!$B$45</x:f>
        <x:v>4.063155362126163</x:v>
      </x:c>
      <x:c r="E12" s="93" t="n">
        <x:f>D12-$D$5</x:f>
        <x:v>-0.87849488009787</x:v>
      </x:c>
      <x:c r="F12" s="93" t="n">
        <x:f>'Stress Engine'!AK701/'Commercial Inputs'!$B$45</x:f>
        <x:v>38.10972740525388</x:v>
      </x:c>
      <x:c r="G12" s="30" t="str">
        <x:v>30% on store sales; web fees unchanged.</x:v>
      </x:c>
    </x:row>
    <x:row r="13" ht="18" customHeight="1">
      <x:c r="A13" s="4"/>
      <x:c r="B13" s="4"/>
      <x:c r="C13" s="4"/>
      <x:c r="D13" s="4"/>
      <x:c r="E13" s="4"/>
      <x:c r="F13" s="4"/>
      <x:c r="G13" s="4"/>
    </x:row>
    <x:row r="14" ht="18" customHeight="1">
      <x:c r="A14" s="4"/>
      <x:c r="B14" s="4"/>
      <x:c r="C14" s="4"/>
      <x:c r="D14" s="4"/>
      <x:c r="E14" s="4"/>
      <x:c r="F14" s="4"/>
      <x:c r="G14" s="4"/>
    </x:row>
    <x:row r="15" ht="18" customHeight="1">
      <x:c r="A15" s="30" t="str">
        <x:v>Do not read a low blended CAC as proof that paid ads work. The base case has organic customers subsidizing a paid-channel CAC of approximately ₹938 in Y1, ₹1,031 in Y2 and ₹1,134 in Y3. Marginal acquisition must still justify itself.</x:v>
      </x:c>
      <x:c r="B15" s="30"/>
      <x:c r="C15" s="30"/>
      <x:c r="D15" s="30"/>
      <x:c r="E15" s="30"/>
      <x:c r="F15" s="30"/>
      <x:c r="G15" s="30"/>
    </x:row>
    <x:row r="16" ht="18" customHeight="1">
      <x:c r="A16" s="30"/>
      <x:c r="B16" s="30"/>
      <x:c r="C16" s="30"/>
      <x:c r="D16" s="30"/>
      <x:c r="E16" s="30"/>
      <x:c r="F16" s="30"/>
      <x:c r="G16" s="30"/>
    </x:row>
    <x:row r="17" ht="18" customHeight="1">
      <x:c r="A17" s="30"/>
      <x:c r="B17" s="30"/>
      <x:c r="C17" s="30"/>
      <x:c r="D17" s="30"/>
      <x:c r="E17" s="30"/>
      <x:c r="F17" s="30"/>
      <x:c r="G17" s="30"/>
    </x:row>
    <x:row r="18" ht="18" customHeight="1">
      <x:c r="A18" s="4"/>
      <x:c r="B18" s="4"/>
      <x:c r="C18" s="4"/>
      <x:c r="D18" s="4"/>
      <x:c r="E18" s="4"/>
      <x:c r="F18" s="4"/>
      <x:c r="G18" s="4"/>
    </x:row>
    <x:row r="19" ht="18" customHeight="1">
      <x:c r="A19" s="4"/>
      <x:c r="B19" s="4"/>
      <x:c r="C19" s="4"/>
      <x:c r="D19" s="4"/>
      <x:c r="E19" s="4"/>
      <x:c r="F19" s="4"/>
      <x:c r="G19" s="4"/>
    </x:row>
    <x:row r="20" ht="18" customHeight="1">
      <x:c r="A20" s="4"/>
      <x:c r="B20" s="4"/>
      <x:c r="C20" s="4"/>
      <x:c r="D20" s="4"/>
      <x:c r="E20" s="4"/>
      <x:c r="F20" s="4"/>
      <x:c r="G20" s="4"/>
    </x:row>
    <x:row r="21" ht="18" customHeight="1">
      <x:c r="A21" s="4"/>
      <x:c r="B21" s="4"/>
      <x:c r="C21" s="4"/>
      <x:c r="D21" s="4"/>
      <x:c r="E21" s="4"/>
      <x:c r="F21" s="4"/>
      <x:c r="G21" s="4"/>
    </x:row>
    <x:row r="22" ht="18" customHeight="1">
      <x:c r="A22" s="4"/>
      <x:c r="B22" s="4"/>
      <x:c r="C22" s="4"/>
      <x:c r="D22" s="4"/>
      <x:c r="E22" s="4"/>
      <x:c r="F22" s="4"/>
      <x:c r="G22" s="4"/>
    </x:row>
  </x:sheetData>
  <x:mergeCells>
    <x:mergeCell ref="A1:G1"/>
    <x:mergeCell ref="A2:G2"/>
    <x:mergeCell ref="A15:G17"/>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31" hidden="0" customWidth="1"/>
    <x:col min="3" max="3" width="14" hidden="0" customWidth="1"/>
    <x:col min="4" max="4" width="12" hidden="0" customWidth="1"/>
    <x:col min="5" max="5" width="62" hidden="0" customWidth="1"/>
  </x:cols>
  <x:sheetData>
    <x:row r="1" ht="34" customHeight="1">
      <x:c r="A1" s="7" t="str">
        <x:v>ONE-DRIVER STRESSES</x:v>
      </x:c>
      <x:c r="B1" s="7"/>
      <x:c r="C1" s="7"/>
      <x:c r="D1" s="7"/>
      <x:c r="E1" s="7"/>
    </x:row>
    <x:row r="2" ht="30" customHeight="1">
      <x:c r="A2" s="11" t="str">
        <x:v>Edit blue values. These are sensitivities around Base, not independent probability estimates.</x:v>
      </x:c>
      <x:c r="B2" s="11"/>
      <x:c r="C2" s="11"/>
      <x:c r="D2" s="11"/>
      <x:c r="E2" s="11"/>
    </x:row>
    <x:row r="3" ht="18" customHeight="1">
      <x:c r="A3" s="4"/>
      <x:c r="B3" s="4"/>
      <x:c r="C3" s="4"/>
      <x:c r="D3" s="4"/>
      <x:c r="E3" s="4"/>
    </x:row>
    <x:row r="4" ht="30" customHeight="1">
      <x:c r="A4" s="16" t="str">
        <x:v>Stress</x:v>
      </x:c>
      <x:c r="B4" s="16" t="str">
        <x:v>Changed driver</x:v>
      </x:c>
      <x:c r="C4" s="16" t="str">
        <x:v>Value</x:v>
      </x:c>
      <x:c r="D4" s="16" t="str">
        <x:v>Units</x:v>
      </x:c>
      <x:c r="E4" s="16" t="str">
        <x:v>Meaning</x:v>
      </x:c>
    </x:row>
    <x:row r="5" ht="40" customHeight="1">
      <x:c r="A5" s="30" t="str">
        <x:v>Organic stalls</x:v>
      </x:c>
      <x:c r="B5" s="30" t="str">
        <x:v>Organic growth Y2 &amp; Y3</x:v>
      </x:c>
      <x:c r="C5" s="40" t="n">
        <x:v>0</x:v>
      </x:c>
      <x:c r="D5" s="30" t="str">
        <x:v>%</x:v>
      </x:c>
      <x:c r="E5" s="30" t="str">
        <x:v>Organic growth stops after year 1; not all organic traffic disappears.</x:v>
      </x:c>
    </x:row>
    <x:row r="6" ht="40" customHeight="1">
      <x:c r="A6" s="30" t="str">
        <x:v>Paid CAC doubles</x:v>
      </x:c>
      <x:c r="B6" s="30" t="str">
        <x:v>Paid CPC multiplier</x:v>
      </x:c>
      <x:c r="C6" s="48" t="n">
        <x:v>2</x:v>
      </x:c>
      <x:c r="D6" s="30" t="str">
        <x:v>x</x:v>
      </x:c>
      <x:c r="E6" s="30" t="str">
        <x:v>Same media budget, half as many paid first purchases; conversion unchanged.</x:v>
      </x:c>
    </x:row>
    <x:row r="7" ht="40" customHeight="1">
      <x:c r="A7" s="30" t="str">
        <x:v>India only</x:v>
      </x:c>
      <x:c r="B7" s="30" t="str">
        <x:v>India buyer share</x:v>
      </x:c>
      <x:c r="C7" s="40" t="n">
        <x:v>1</x:v>
      </x:c>
      <x:c r="D7" s="30" t="str">
        <x:v>%</x:v>
      </x:c>
      <x:c r="E7" s="30" t="str">
        <x:v>100% India prices, holding traffic and conversion constant.</x:v>
      </x:c>
    </x:row>
    <x:row r="8" ht="40" customHeight="1">
      <x:c r="A8" s="30" t="str">
        <x:v>Weak renewal</x:v>
      </x:c>
      <x:c r="B8" s="30" t="str">
        <x:v>First annual renewal</x:v>
      </x:c>
      <x:c r="C8" s="40" t="n">
        <x:v>0.15</x:v>
      </x:c>
      <x:c r="D8" s="30" t="str">
        <x:v>%</x:v>
      </x:c>
      <x:c r="E8" s="30" t="str">
        <x:v>15% first annual renewal before refunds.</x:v>
      </x:c>
    </x:row>
    <x:row r="9" ht="40" customHeight="1">
      <x:c r="A9" s="30" t="str">
        <x:v>Large free tier</x:v>
      </x:c>
      <x:c r="B9" s="30" t="str">
        <x:v>Free MAU per payer</x:v>
      </x:c>
      <x:c r="C9" s="48" t="n">
        <x:v>100</x:v>
      </x:c>
      <x:c r="D9" s="30" t="str">
        <x:v>x</x:v>
      </x:c>
      <x:c r="E9" s="30" t="str">
        <x:v>100 active free users per paying subscriber.</x:v>
      </x:c>
    </x:row>
    <x:row r="10" ht="40" customHeight="1">
      <x:c r="A10" s="30" t="str">
        <x:v>Monthly heavy</x:v>
      </x:c>
      <x:c r="B10" s="30" t="str">
        <x:v>New-buyer annual share</x:v>
      </x:c>
      <x:c r="C10" s="40" t="n">
        <x:v>0.4</x:v>
      </x:c>
      <x:c r="D10" s="30" t="str">
        <x:v>%</x:v>
      </x:c>
      <x:c r="E10" s="30" t="str">
        <x:v>Only 40% choose annual; remaining 60% are monthly.</x:v>
      </x:c>
    </x:row>
    <x:row r="11" ht="40" customHeight="1">
      <x:c r="A11" s="30" t="str">
        <x:v>Higher store fee</x:v>
      </x:c>
      <x:c r="B11" s="30" t="str">
        <x:v>Store commission</x:v>
      </x:c>
      <x:c r="C11" s="40" t="n">
        <x:v>0.3</x:v>
      </x:c>
      <x:c r="D11" s="30" t="str">
        <x:v>%</x:v>
      </x:c>
      <x:c r="E11" s="30" t="str">
        <x:v>30% on store sales; web fees unchanged.</x:v>
      </x:c>
    </x:row>
    <x:row r="12" ht="18" customHeight="1">
      <x:c r="A12" s="4"/>
      <x:c r="B12" s="4"/>
      <x:c r="C12" s="4"/>
      <x:c r="D12" s="4"/>
      <x:c r="E12" s="4"/>
    </x:row>
    <x:row r="13" ht="18" customHeight="1">
      <x:c r="A13" s="4"/>
      <x:c r="B13" s="4"/>
      <x:c r="C13" s="4"/>
      <x:c r="D13" s="4"/>
      <x:c r="E13" s="4"/>
    </x:row>
    <x:row r="14" ht="18" customHeight="1">
      <x:c r="A14" s="4"/>
      <x:c r="B14" s="4"/>
      <x:c r="C14" s="4"/>
      <x:c r="D14" s="4"/>
      <x:c r="E14" s="4"/>
    </x:row>
    <x:row r="15" ht="18" customHeight="1">
      <x:c r="A15" s="4"/>
      <x:c r="B15" s="4"/>
      <x:c r="C15" s="4"/>
      <x:c r="D15" s="4"/>
      <x:c r="E15" s="4"/>
    </x:row>
    <x:row r="16" ht="18" customHeight="1">
      <x:c r="A16" s="4"/>
      <x:c r="B16" s="4"/>
      <x:c r="C16" s="4"/>
      <x:c r="D16" s="4"/>
      <x:c r="E16" s="4"/>
    </x:row>
    <x:row r="17" ht="18" customHeight="1">
      <x:c r="A17" s="4"/>
      <x:c r="B17" s="4"/>
      <x:c r="C17" s="4"/>
      <x:c r="D17" s="4"/>
      <x:c r="E17" s="4"/>
    </x:row>
    <x:row r="18" ht="18" customHeight="1">
      <x:c r="A18" s="4"/>
      <x:c r="B18" s="4"/>
      <x:c r="C18" s="4"/>
      <x:c r="D18" s="4"/>
      <x:c r="E18" s="4"/>
    </x:row>
    <x:row r="19" ht="18" customHeight="1">
      <x:c r="A19" s="4"/>
      <x:c r="B19" s="4"/>
      <x:c r="C19" s="4"/>
      <x:c r="D19" s="4"/>
      <x:c r="E19" s="4"/>
    </x:row>
    <x:row r="20" ht="18" customHeight="1">
      <x:c r="A20" s="4"/>
      <x:c r="B20" s="4"/>
      <x:c r="C20" s="4"/>
      <x:c r="D20" s="4"/>
      <x:c r="E20" s="4"/>
    </x:row>
  </x:sheetData>
  <x:mergeCells>
    <x:mergeCell ref="A1:E1"/>
    <x:mergeCell ref="A2:E2"/>
  </x:mergeCells>
  <x:pageMargins left="0.7" right="0.7" top="0.75" bottom="0.75" header="0.3" footer="0.3"/>
  <x:legacyDrawing xmlns:r="http://schemas.openxmlformats.org/officeDocument/2006/relationships" r:id="R361a298d89de45d8"/>
</x:worksheet>
</file>

<file path=xl/worksheets/sheet12.xml><?xml version="1.0" encoding="utf-8"?>
<x:worksheet xmlns:x="http://schemas.openxmlformats.org/spreadsheetml/2006/main">
  <x:sheetViews>
    <x:sheetView showGridLines="0" workbookViewId="0"/>
  </x:sheetViews>
  <x:sheetFormatPr defaultRowHeight="15"/>
  <x:cols>
    <x:col min="1" max="1" width="5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s>
  <x:sheetData>
    <x:row r="1" ht="29" customHeight="1">
      <x:c r="A1" s="50" t="str">
        <x:v>ORGANIC STALLS | MONTHLY COHORT MODEL</x:v>
      </x:c>
      <x:c r="B1" s="50"/>
      <x:c r="C1" s="50"/>
      <x:c r="D1" s="50"/>
      <x:c r="E1" s="50"/>
      <x:c r="F1" s="50"/>
      <x:c r="G1" s="50"/>
      <x:c r="H1" s="50"/>
      <x:c r="I1" s="50"/>
      <x:c r="J1" s="50"/>
      <x:c r="K1" s="50"/>
      <x:c r="L1" s="50"/>
      <x:c r="M1" s="50"/>
      <x:c r="N1" s="50"/>
      <x:c r="O1" s="50"/>
      <x:c r="P1" s="50"/>
      <x:c r="Q1" s="50"/>
      <x:c r="R1" s="50"/>
      <x:c r="S1" s="50"/>
      <x:c r="T1" s="50"/>
      <x:c r="U1" s="50"/>
      <x:c r="V1" s="50"/>
      <x:c r="W1" s="50"/>
      <x:c r="X1" s="50"/>
      <x:c r="Y1" s="50"/>
      <x:c r="Z1" s="50"/>
      <x:c r="AA1" s="50"/>
      <x:c r="AB1" s="50"/>
      <x:c r="AC1" s="50"/>
      <x:c r="AD1" s="50"/>
      <x:c r="AE1" s="50"/>
      <x:c r="AF1" s="50"/>
      <x:c r="AG1" s="50"/>
      <x:c r="AH1" s="50"/>
      <x:c r="AI1" s="50"/>
      <x:c r="AJ1" s="50"/>
      <x:c r="AK1" s="50"/>
    </x:row>
    <x:row r="2" ht="24" customHeight="1">
      <x:c r="A2" s="11" t="str">
        <x:v>INR unless stated. Purchases occur at month start; annual revenue is earned over 12 months. No founder salary or income tax in the base case.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row>
    <x:row r="3" ht="18"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row>
    <x:row r="4" ht="18"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row>
    <x:row r="5" ht="30" customHeight="1">
      <x:c r="A5" s="16" t="str">
        <x:v>Month after paid launch</x:v>
      </x:c>
      <x:c r="B5" s="16" t="n">
        <x:v>1</x:v>
      </x:c>
      <x:c r="C5" s="16" t="n">
        <x:v>2</x:v>
      </x:c>
      <x:c r="D5" s="16" t="n">
        <x:v>3</x:v>
      </x:c>
      <x:c r="E5" s="16" t="n">
        <x:v>4</x:v>
      </x:c>
      <x:c r="F5" s="16" t="n">
        <x:v>5</x:v>
      </x:c>
      <x:c r="G5" s="16" t="n">
        <x:v>6</x:v>
      </x:c>
      <x:c r="H5" s="16" t="n">
        <x:v>7</x:v>
      </x:c>
      <x:c r="I5" s="16" t="n">
        <x:v>8</x:v>
      </x:c>
      <x:c r="J5" s="16" t="n">
        <x:v>9</x:v>
      </x:c>
      <x:c r="K5" s="16" t="n">
        <x:v>10</x:v>
      </x:c>
      <x:c r="L5" s="16" t="n">
        <x:v>11</x:v>
      </x:c>
      <x:c r="M5" s="16" t="n">
        <x:v>12</x:v>
      </x:c>
      <x:c r="N5" s="16" t="n">
        <x:v>13</x:v>
      </x:c>
      <x:c r="O5" s="16" t="n">
        <x:v>14</x:v>
      </x:c>
      <x:c r="P5" s="16" t="n">
        <x:v>15</x:v>
      </x:c>
      <x:c r="Q5" s="16" t="n">
        <x:v>16</x:v>
      </x:c>
      <x:c r="R5" s="16" t="n">
        <x:v>17</x:v>
      </x:c>
      <x:c r="S5" s="16" t="n">
        <x:v>18</x:v>
      </x:c>
      <x:c r="T5" s="16" t="n">
        <x:v>19</x:v>
      </x:c>
      <x:c r="U5" s="16" t="n">
        <x:v>20</x:v>
      </x:c>
      <x:c r="V5" s="16" t="n">
        <x:v>21</x:v>
      </x:c>
      <x:c r="W5" s="16" t="n">
        <x:v>22</x:v>
      </x:c>
      <x:c r="X5" s="16" t="n">
        <x:v>23</x:v>
      </x:c>
      <x:c r="Y5" s="16" t="n">
        <x:v>24</x:v>
      </x:c>
      <x:c r="Z5" s="16" t="n">
        <x:v>25</x:v>
      </x:c>
      <x:c r="AA5" s="16" t="n">
        <x:v>26</x:v>
      </x:c>
      <x:c r="AB5" s="16" t="n">
        <x:v>27</x:v>
      </x:c>
      <x:c r="AC5" s="16" t="n">
        <x:v>28</x:v>
      </x:c>
      <x:c r="AD5" s="16" t="n">
        <x:v>29</x:v>
      </x:c>
      <x:c r="AE5" s="16" t="n">
        <x:v>30</x:v>
      </x:c>
      <x:c r="AF5" s="16" t="n">
        <x:v>31</x:v>
      </x:c>
      <x:c r="AG5" s="16" t="n">
        <x:v>32</x:v>
      </x:c>
      <x:c r="AH5" s="16" t="n">
        <x:v>33</x:v>
      </x:c>
      <x:c r="AI5" s="16" t="n">
        <x:v>34</x:v>
      </x:c>
      <x:c r="AJ5" s="16" t="n">
        <x:v>35</x:v>
      </x:c>
      <x:c r="AK5" s="16" t="n">
        <x:v>36</x:v>
      </x:c>
    </x:row>
    <x:row r="6" ht="18" customHeight="1">
      <x:c r="A6" s="4" t="str">
        <x:v>Qualified organic prospects</x:v>
      </x:c>
      <x:c r="B6" s="58" t="n">
        <x:f>'Scenario Inputs'!$C$5</x:f>
        <x:v>1000</x:v>
      </x:c>
      <x:c r="C6" s="58" t="n">
        <x:f>B6*(1+'Scenario Inputs'!$C$6)</x:f>
        <x:v>1120</x:v>
      </x:c>
      <x:c r="D6" s="58" t="n">
        <x:f>C6*(1+'Scenario Inputs'!$C$6)</x:f>
        <x:v>1254.4</x:v>
      </x:c>
      <x:c r="E6" s="58" t="n">
        <x:f>D6*(1+'Scenario Inputs'!$C$6)</x:f>
        <x:v>1404.9280000000003</x:v>
      </x:c>
      <x:c r="F6" s="58" t="n">
        <x:f>E6*(1+'Scenario Inputs'!$C$6)</x:f>
        <x:v>1573.5193600000005</x:v>
      </x:c>
      <x:c r="G6" s="58" t="n">
        <x:f>F6*(1+'Scenario Inputs'!$C$6)</x:f>
        <x:v>1762.3416832000007</x:v>
      </x:c>
      <x:c r="H6" s="58" t="n">
        <x:f>G6*(1+'Scenario Inputs'!$C$6)</x:f>
        <x:v>1973.822685184001</x:v>
      </x:c>
      <x:c r="I6" s="58" t="n">
        <x:f>H6*(1+'Scenario Inputs'!$C$6)</x:f>
        <x:v>2210.6814074060812</x:v>
      </x:c>
      <x:c r="J6" s="58" t="n">
        <x:f>I6*(1+'Scenario Inputs'!$C$6)</x:f>
        <x:v>2475.963176294811</x:v>
      </x:c>
      <x:c r="K6" s="58" t="n">
        <x:f>J6*(1+'Scenario Inputs'!$C$6)</x:f>
        <x:v>2773.0787574501887</x:v>
      </x:c>
      <x:c r="L6" s="58" t="n">
        <x:f>K6*(1+'Scenario Inputs'!$C$6)</x:f>
        <x:v>3105.848208344212</x:v>
      </x:c>
      <x:c r="M6" s="58" t="n">
        <x:f>L6*(1+'Scenario Inputs'!$C$6)</x:f>
        <x:v>3478.5499933455176</x:v>
      </x:c>
      <x:c r="N6" s="58" t="n">
        <x:f>M6*(1+'Stress Inputs'!$C$5)</x:f>
        <x:v>3478.5499933455176</x:v>
      </x:c>
      <x:c r="O6" s="58" t="n">
        <x:f>N6*(1+'Stress Inputs'!$C$5)</x:f>
        <x:v>3478.5499933455176</x:v>
      </x:c>
      <x:c r="P6" s="58" t="n">
        <x:f>O6*(1+'Stress Inputs'!$C$5)</x:f>
        <x:v>3478.5499933455176</x:v>
      </x:c>
      <x:c r="Q6" s="58" t="n">
        <x:f>P6*(1+'Stress Inputs'!$C$5)</x:f>
        <x:v>3478.5499933455176</x:v>
      </x:c>
      <x:c r="R6" s="58" t="n">
        <x:f>Q6*(1+'Stress Inputs'!$C$5)</x:f>
        <x:v>3478.5499933455176</x:v>
      </x:c>
      <x:c r="S6" s="58" t="n">
        <x:f>R6*(1+'Stress Inputs'!$C$5)</x:f>
        <x:v>3478.5499933455176</x:v>
      </x:c>
      <x:c r="T6" s="58" t="n">
        <x:f>S6*(1+'Stress Inputs'!$C$5)</x:f>
        <x:v>3478.5499933455176</x:v>
      </x:c>
      <x:c r="U6" s="58" t="n">
        <x:f>T6*(1+'Stress Inputs'!$C$5)</x:f>
        <x:v>3478.5499933455176</x:v>
      </x:c>
      <x:c r="V6" s="58" t="n">
        <x:f>U6*(1+'Stress Inputs'!$C$5)</x:f>
        <x:v>3478.5499933455176</x:v>
      </x:c>
      <x:c r="W6" s="58" t="n">
        <x:f>V6*(1+'Stress Inputs'!$C$5)</x:f>
        <x:v>3478.5499933455176</x:v>
      </x:c>
      <x:c r="X6" s="58" t="n">
        <x:f>W6*(1+'Stress Inputs'!$C$5)</x:f>
        <x:v>3478.5499933455176</x:v>
      </x:c>
      <x:c r="Y6" s="58" t="n">
        <x:f>X6*(1+'Stress Inputs'!$C$5)</x:f>
        <x:v>3478.5499933455176</x:v>
      </x:c>
      <x:c r="Z6" s="58" t="n">
        <x:f>Y6*(1+'Stress Inputs'!$C$5)</x:f>
        <x:v>3478.5499933455176</x:v>
      </x:c>
      <x:c r="AA6" s="58" t="n">
        <x:f>Z6*(1+'Stress Inputs'!$C$5)</x:f>
        <x:v>3478.5499933455176</x:v>
      </x:c>
      <x:c r="AB6" s="58" t="n">
        <x:f>AA6*(1+'Stress Inputs'!$C$5)</x:f>
        <x:v>3478.5499933455176</x:v>
      </x:c>
      <x:c r="AC6" s="58" t="n">
        <x:f>AB6*(1+'Stress Inputs'!$C$5)</x:f>
        <x:v>3478.5499933455176</x:v>
      </x:c>
      <x:c r="AD6" s="58" t="n">
        <x:f>AC6*(1+'Stress Inputs'!$C$5)</x:f>
        <x:v>3478.5499933455176</x:v>
      </x:c>
      <x:c r="AE6" s="58" t="n">
        <x:f>AD6*(1+'Stress Inputs'!$C$5)</x:f>
        <x:v>3478.5499933455176</x:v>
      </x:c>
      <x:c r="AF6" s="58" t="n">
        <x:f>AE6*(1+'Stress Inputs'!$C$5)</x:f>
        <x:v>3478.5499933455176</x:v>
      </x:c>
      <x:c r="AG6" s="58" t="n">
        <x:f>AF6*(1+'Stress Inputs'!$C$5)</x:f>
        <x:v>3478.5499933455176</x:v>
      </x:c>
      <x:c r="AH6" s="58" t="n">
        <x:f>AG6*(1+'Stress Inputs'!$C$5)</x:f>
        <x:v>3478.5499933455176</x:v>
      </x:c>
      <x:c r="AI6" s="58" t="n">
        <x:f>AH6*(1+'Stress Inputs'!$C$5)</x:f>
        <x:v>3478.5499933455176</x:v>
      </x:c>
      <x:c r="AJ6" s="58" t="n">
        <x:f>AI6*(1+'Stress Inputs'!$C$5)</x:f>
        <x:v>3478.5499933455176</x:v>
      </x:c>
      <x:c r="AK6" s="58" t="n">
        <x:f>AJ6*(1+'Stress Inputs'!$C$5)</x:f>
        <x:v>3478.5499933455176</x:v>
      </x:c>
    </x:row>
    <x:row r="7" ht="18" customHeight="1">
      <x:c r="A7" s="4" t="str">
        <x:v>Paid media spend (INR)</x:v>
      </x:c>
      <x:c r="B7" s="60" t="n">
        <x:f>'Scenario Inputs'!$C$14</x:f>
        <x:v>6000</x:v>
      </x:c>
      <x:c r="C7" s="60" t="n">
        <x:f>'Scenario Inputs'!$C$14</x:f>
        <x:v>6000</x:v>
      </x:c>
      <x:c r="D7" s="60" t="n">
        <x:f>'Scenario Inputs'!$C$14</x:f>
        <x:v>6000</x:v>
      </x:c>
      <x:c r="E7" s="60" t="n">
        <x:f>'Scenario Inputs'!$C$15</x:f>
        <x:v>12000</x:v>
      </x:c>
      <x:c r="F7" s="60" t="n">
        <x:f>'Scenario Inputs'!$C$15</x:f>
        <x:v>12000</x:v>
      </x:c>
      <x:c r="G7" s="60" t="n">
        <x:f>'Scenario Inputs'!$C$15</x:f>
        <x:v>12000</x:v>
      </x:c>
      <x:c r="H7" s="60" t="n">
        <x:f>'Scenario Inputs'!$C$16</x:f>
        <x:v>25000</x:v>
      </x:c>
      <x:c r="I7" s="60" t="n">
        <x:f>'Scenario Inputs'!$C$16</x:f>
        <x:v>25000</x:v>
      </x:c>
      <x:c r="J7" s="60" t="n">
        <x:f>'Scenario Inputs'!$C$16</x:f>
        <x:v>25000</x:v>
      </x:c>
      <x:c r="K7" s="60" t="n">
        <x:f>'Scenario Inputs'!$C$16</x:f>
        <x:v>25000</x:v>
      </x:c>
      <x:c r="L7" s="60" t="n">
        <x:f>'Scenario Inputs'!$C$16</x:f>
        <x:v>25000</x:v>
      </x:c>
      <x:c r="M7" s="60" t="n">
        <x:f>'Scenario Inputs'!$C$16</x:f>
        <x:v>25000</x:v>
      </x:c>
      <x:c r="N7" s="60" t="n">
        <x:f>'Scenario Inputs'!$C$17</x:f>
        <x:v>50000</x:v>
      </x:c>
      <x:c r="O7" s="60" t="n">
        <x:f>'Scenario Inputs'!$C$17</x:f>
        <x:v>50000</x:v>
      </x:c>
      <x:c r="P7" s="60" t="n">
        <x:f>'Scenario Inputs'!$C$17</x:f>
        <x:v>50000</x:v>
      </x:c>
      <x:c r="Q7" s="60" t="n">
        <x:f>'Scenario Inputs'!$C$17</x:f>
        <x:v>50000</x:v>
      </x:c>
      <x:c r="R7" s="60" t="n">
        <x:f>'Scenario Inputs'!$C$17</x:f>
        <x:v>50000</x:v>
      </x:c>
      <x:c r="S7" s="60" t="n">
        <x:f>'Scenario Inputs'!$C$17</x:f>
        <x:v>50000</x:v>
      </x:c>
      <x:c r="T7" s="60" t="n">
        <x:f>'Scenario Inputs'!$C$18</x:f>
        <x:v>75000</x:v>
      </x:c>
      <x:c r="U7" s="60" t="n">
        <x:f>'Scenario Inputs'!$C$18</x:f>
        <x:v>75000</x:v>
      </x:c>
      <x:c r="V7" s="60" t="n">
        <x:f>'Scenario Inputs'!$C$18</x:f>
        <x:v>75000</x:v>
      </x:c>
      <x:c r="W7" s="60" t="n">
        <x:f>'Scenario Inputs'!$C$18</x:f>
        <x:v>75000</x:v>
      </x:c>
      <x:c r="X7" s="60" t="n">
        <x:f>'Scenario Inputs'!$C$18</x:f>
        <x:v>75000</x:v>
      </x:c>
      <x:c r="Y7" s="60" t="n">
        <x:f>'Scenario Inputs'!$C$18</x:f>
        <x:v>75000</x:v>
      </x:c>
      <x:c r="Z7" s="60" t="n">
        <x:f>'Scenario Inputs'!$C$19</x:f>
        <x:v>100000</x:v>
      </x:c>
      <x:c r="AA7" s="60" t="n">
        <x:f>'Scenario Inputs'!$C$19</x:f>
        <x:v>100000</x:v>
      </x:c>
      <x:c r="AB7" s="60" t="n">
        <x:f>'Scenario Inputs'!$C$19</x:f>
        <x:v>100000</x:v>
      </x:c>
      <x:c r="AC7" s="60" t="n">
        <x:f>'Scenario Inputs'!$C$19</x:f>
        <x:v>100000</x:v>
      </x:c>
      <x:c r="AD7" s="60" t="n">
        <x:f>'Scenario Inputs'!$C$19</x:f>
        <x:v>100000</x:v>
      </x:c>
      <x:c r="AE7" s="60" t="n">
        <x:f>'Scenario Inputs'!$C$19</x:f>
        <x:v>100000</x:v>
      </x:c>
      <x:c r="AF7" s="60" t="n">
        <x:f>'Scenario Inputs'!$C$20</x:f>
        <x:v>125000</x:v>
      </x:c>
      <x:c r="AG7" s="60" t="n">
        <x:f>'Scenario Inputs'!$C$20</x:f>
        <x:v>125000</x:v>
      </x:c>
      <x:c r="AH7" s="60" t="n">
        <x:f>'Scenario Inputs'!$C$20</x:f>
        <x:v>125000</x:v>
      </x:c>
      <x:c r="AI7" s="60" t="n">
        <x:f>'Scenario Inputs'!$C$20</x:f>
        <x:v>125000</x:v>
      </x:c>
      <x:c r="AJ7" s="60" t="n">
        <x:f>'Scenario Inputs'!$C$20</x:f>
        <x:v>125000</x:v>
      </x:c>
      <x:c r="AK7" s="60" t="n">
        <x:f>'Scenario Inputs'!$C$20</x:f>
        <x:v>125000</x:v>
      </x:c>
    </x:row>
    <x:row r="8" ht="18" customHeight="1">
      <x:c r="A8" s="4" t="str">
        <x:v>Paid CPC (INR)</x:v>
      </x:c>
      <x:c r="B8" s="64" t="n">
        <x:f>'Scenario Inputs'!$C$10*(1+'Scenario Inputs'!$C$11)^0</x:f>
        <x:v>15</x:v>
      </x:c>
      <x:c r="C8" s="64" t="n">
        <x:f>'Scenario Inputs'!$C$10*(1+'Scenario Inputs'!$C$11)^0</x:f>
        <x:v>15</x:v>
      </x:c>
      <x:c r="D8" s="64" t="n">
        <x:f>'Scenario Inputs'!$C$10*(1+'Scenario Inputs'!$C$11)^0</x:f>
        <x:v>15</x:v>
      </x:c>
      <x:c r="E8" s="64" t="n">
        <x:f>'Scenario Inputs'!$C$10*(1+'Scenario Inputs'!$C$11)^0</x:f>
        <x:v>15</x:v>
      </x:c>
      <x:c r="F8" s="64" t="n">
        <x:f>'Scenario Inputs'!$C$10*(1+'Scenario Inputs'!$C$11)^0</x:f>
        <x:v>15</x:v>
      </x:c>
      <x:c r="G8" s="64" t="n">
        <x:f>'Scenario Inputs'!$C$10*(1+'Scenario Inputs'!$C$11)^0</x:f>
        <x:v>15</x:v>
      </x:c>
      <x:c r="H8" s="64" t="n">
        <x:f>'Scenario Inputs'!$C$10*(1+'Scenario Inputs'!$C$11)^0</x:f>
        <x:v>15</x:v>
      </x:c>
      <x:c r="I8" s="64" t="n">
        <x:f>'Scenario Inputs'!$C$10*(1+'Scenario Inputs'!$C$11)^0</x:f>
        <x:v>15</x:v>
      </x:c>
      <x:c r="J8" s="64" t="n">
        <x:f>'Scenario Inputs'!$C$10*(1+'Scenario Inputs'!$C$11)^0</x:f>
        <x:v>15</x:v>
      </x:c>
      <x:c r="K8" s="64" t="n">
        <x:f>'Scenario Inputs'!$C$10*(1+'Scenario Inputs'!$C$11)^0</x:f>
        <x:v>15</x:v>
      </x:c>
      <x:c r="L8" s="64" t="n">
        <x:f>'Scenario Inputs'!$C$10*(1+'Scenario Inputs'!$C$11)^0</x:f>
        <x:v>15</x:v>
      </x:c>
      <x:c r="M8" s="64" t="n">
        <x:f>'Scenario Inputs'!$C$10*(1+'Scenario Inputs'!$C$11)^0</x:f>
        <x:v>15</x:v>
      </x:c>
      <x:c r="N8" s="64" t="n">
        <x:f>'Scenario Inputs'!$C$10*(1+'Scenario Inputs'!$C$11)^1</x:f>
        <x:v>16.5</x:v>
      </x:c>
      <x:c r="O8" s="64" t="n">
        <x:f>'Scenario Inputs'!$C$10*(1+'Scenario Inputs'!$C$11)^1</x:f>
        <x:v>16.5</x:v>
      </x:c>
      <x:c r="P8" s="64" t="n">
        <x:f>'Scenario Inputs'!$C$10*(1+'Scenario Inputs'!$C$11)^1</x:f>
        <x:v>16.5</x:v>
      </x:c>
      <x:c r="Q8" s="64" t="n">
        <x:f>'Scenario Inputs'!$C$10*(1+'Scenario Inputs'!$C$11)^1</x:f>
        <x:v>16.5</x:v>
      </x:c>
      <x:c r="R8" s="64" t="n">
        <x:f>'Scenario Inputs'!$C$10*(1+'Scenario Inputs'!$C$11)^1</x:f>
        <x:v>16.5</x:v>
      </x:c>
      <x:c r="S8" s="64" t="n">
        <x:f>'Scenario Inputs'!$C$10*(1+'Scenario Inputs'!$C$11)^1</x:f>
        <x:v>16.5</x:v>
      </x:c>
      <x:c r="T8" s="64" t="n">
        <x:f>'Scenario Inputs'!$C$10*(1+'Scenario Inputs'!$C$11)^1</x:f>
        <x:v>16.5</x:v>
      </x:c>
      <x:c r="U8" s="64" t="n">
        <x:f>'Scenario Inputs'!$C$10*(1+'Scenario Inputs'!$C$11)^1</x:f>
        <x:v>16.5</x:v>
      </x:c>
      <x:c r="V8" s="64" t="n">
        <x:f>'Scenario Inputs'!$C$10*(1+'Scenario Inputs'!$C$11)^1</x:f>
        <x:v>16.5</x:v>
      </x:c>
      <x:c r="W8" s="64" t="n">
        <x:f>'Scenario Inputs'!$C$10*(1+'Scenario Inputs'!$C$11)^1</x:f>
        <x:v>16.5</x:v>
      </x:c>
      <x:c r="X8" s="64" t="n">
        <x:f>'Scenario Inputs'!$C$10*(1+'Scenario Inputs'!$C$11)^1</x:f>
        <x:v>16.5</x:v>
      </x:c>
      <x:c r="Y8" s="64" t="n">
        <x:f>'Scenario Inputs'!$C$10*(1+'Scenario Inputs'!$C$11)^1</x:f>
        <x:v>16.5</x:v>
      </x:c>
      <x:c r="Z8" s="64" t="n">
        <x:f>'Scenario Inputs'!$C$10*(1+'Scenario Inputs'!$C$11)^2</x:f>
        <x:v>18.150000000000002</x:v>
      </x:c>
      <x:c r="AA8" s="64" t="n">
        <x:f>'Scenario Inputs'!$C$10*(1+'Scenario Inputs'!$C$11)^2</x:f>
        <x:v>18.150000000000002</x:v>
      </x:c>
      <x:c r="AB8" s="64" t="n">
        <x:f>'Scenario Inputs'!$C$10*(1+'Scenario Inputs'!$C$11)^2</x:f>
        <x:v>18.150000000000002</x:v>
      </x:c>
      <x:c r="AC8" s="64" t="n">
        <x:f>'Scenario Inputs'!$C$10*(1+'Scenario Inputs'!$C$11)^2</x:f>
        <x:v>18.150000000000002</x:v>
      </x:c>
      <x:c r="AD8" s="64" t="n">
        <x:f>'Scenario Inputs'!$C$10*(1+'Scenario Inputs'!$C$11)^2</x:f>
        <x:v>18.150000000000002</x:v>
      </x:c>
      <x:c r="AE8" s="64" t="n">
        <x:f>'Scenario Inputs'!$C$10*(1+'Scenario Inputs'!$C$11)^2</x:f>
        <x:v>18.150000000000002</x:v>
      </x:c>
      <x:c r="AF8" s="64" t="n">
        <x:f>'Scenario Inputs'!$C$10*(1+'Scenario Inputs'!$C$11)^2</x:f>
        <x:v>18.150000000000002</x:v>
      </x:c>
      <x:c r="AG8" s="64" t="n">
        <x:f>'Scenario Inputs'!$C$10*(1+'Scenario Inputs'!$C$11)^2</x:f>
        <x:v>18.150000000000002</x:v>
      </x:c>
      <x:c r="AH8" s="64" t="n">
        <x:f>'Scenario Inputs'!$C$10*(1+'Scenario Inputs'!$C$11)^2</x:f>
        <x:v>18.150000000000002</x:v>
      </x:c>
      <x:c r="AI8" s="64" t="n">
        <x:f>'Scenario Inputs'!$C$10*(1+'Scenario Inputs'!$C$11)^2</x:f>
        <x:v>18.150000000000002</x:v>
      </x:c>
      <x:c r="AJ8" s="64" t="n">
        <x:f>'Scenario Inputs'!$C$10*(1+'Scenario Inputs'!$C$11)^2</x:f>
        <x:v>18.150000000000002</x:v>
      </x:c>
      <x:c r="AK8" s="64" t="n">
        <x:f>'Scenario Inputs'!$C$10*(1+'Scenario Inputs'!$C$11)^2</x:f>
        <x:v>18.150000000000002</x:v>
      </x:c>
    </x:row>
    <x:row r="9" ht="18" customHeight="1">
      <x:c r="A9" s="4" t="str">
        <x:v>Paid clicks / prospect equivalents</x:v>
      </x:c>
      <x:c r="B9" s="58" t="n">
        <x:f>B7/B8</x:f>
        <x:v>400</x:v>
      </x:c>
      <x:c r="C9" s="58" t="n">
        <x:f>C7/C8</x:f>
        <x:v>400</x:v>
      </x:c>
      <x:c r="D9" s="58" t="n">
        <x:f>D7/D8</x:f>
        <x:v>400</x:v>
      </x:c>
      <x:c r="E9" s="58" t="n">
        <x:f>E7/E8</x:f>
        <x:v>800</x:v>
      </x:c>
      <x:c r="F9" s="58" t="n">
        <x:f>F7/F8</x:f>
        <x:v>800</x:v>
      </x:c>
      <x:c r="G9" s="58" t="n">
        <x:f>G7/G8</x:f>
        <x:v>800</x:v>
      </x:c>
      <x:c r="H9" s="58" t="n">
        <x:f>H7/H8</x:f>
        <x:v>1666.6666666666667</x:v>
      </x:c>
      <x:c r="I9" s="58" t="n">
        <x:f>I7/I8</x:f>
        <x:v>1666.6666666666667</x:v>
      </x:c>
      <x:c r="J9" s="58" t="n">
        <x:f>J7/J8</x:f>
        <x:v>1666.6666666666667</x:v>
      </x:c>
      <x:c r="K9" s="58" t="n">
        <x:f>K7/K8</x:f>
        <x:v>1666.6666666666667</x:v>
      </x:c>
      <x:c r="L9" s="58" t="n">
        <x:f>L7/L8</x:f>
        <x:v>1666.6666666666667</x:v>
      </x:c>
      <x:c r="M9" s="58" t="n">
        <x:f>M7/M8</x:f>
        <x:v>1666.6666666666667</x:v>
      </x:c>
      <x:c r="N9" s="58" t="n">
        <x:f>N7/N8</x:f>
        <x:v>3030.3030303030305</x:v>
      </x:c>
      <x:c r="O9" s="58" t="n">
        <x:f>O7/O8</x:f>
        <x:v>3030.3030303030305</x:v>
      </x:c>
      <x:c r="P9" s="58" t="n">
        <x:f>P7/P8</x:f>
        <x:v>3030.3030303030305</x:v>
      </x:c>
      <x:c r="Q9" s="58" t="n">
        <x:f>Q7/Q8</x:f>
        <x:v>3030.3030303030305</x:v>
      </x:c>
      <x:c r="R9" s="58" t="n">
        <x:f>R7/R8</x:f>
        <x:v>3030.3030303030305</x:v>
      </x:c>
      <x:c r="S9" s="58" t="n">
        <x:f>S7/S8</x:f>
        <x:v>3030.3030303030305</x:v>
      </x:c>
      <x:c r="T9" s="58" t="n">
        <x:f>T7/T8</x:f>
        <x:v>4545.454545454545</x:v>
      </x:c>
      <x:c r="U9" s="58" t="n">
        <x:f>U7/U8</x:f>
        <x:v>4545.454545454545</x:v>
      </x:c>
      <x:c r="V9" s="58" t="n">
        <x:f>V7/V8</x:f>
        <x:v>4545.454545454545</x:v>
      </x:c>
      <x:c r="W9" s="58" t="n">
        <x:f>W7/W8</x:f>
        <x:v>4545.454545454545</x:v>
      </x:c>
      <x:c r="X9" s="58" t="n">
        <x:f>X7/X8</x:f>
        <x:v>4545.454545454545</x:v>
      </x:c>
      <x:c r="Y9" s="58" t="n">
        <x:f>Y7/Y8</x:f>
        <x:v>4545.454545454545</x:v>
      </x:c>
      <x:c r="Z9" s="58" t="n">
        <x:f>Z7/Z8</x:f>
        <x:v>5509.641873278236</x:v>
      </x:c>
      <x:c r="AA9" s="58" t="n">
        <x:f>AA7/AA8</x:f>
        <x:v>5509.641873278236</x:v>
      </x:c>
      <x:c r="AB9" s="58" t="n">
        <x:f>AB7/AB8</x:f>
        <x:v>5509.641873278236</x:v>
      </x:c>
      <x:c r="AC9" s="58" t="n">
        <x:f>AC7/AC8</x:f>
        <x:v>5509.641873278236</x:v>
      </x:c>
      <x:c r="AD9" s="58" t="n">
        <x:f>AD7/AD8</x:f>
        <x:v>5509.641873278236</x:v>
      </x:c>
      <x:c r="AE9" s="58" t="n">
        <x:f>AE7/AE8</x:f>
        <x:v>5509.641873278236</x:v>
      </x:c>
      <x:c r="AF9" s="58" t="n">
        <x:f>AF7/AF8</x:f>
        <x:v>6887.052341597795</x:v>
      </x:c>
      <x:c r="AG9" s="58" t="n">
        <x:f>AG7/AG8</x:f>
        <x:v>6887.052341597795</x:v>
      </x:c>
      <x:c r="AH9" s="58" t="n">
        <x:f>AH7/AH8</x:f>
        <x:v>6887.052341597795</x:v>
      </x:c>
      <x:c r="AI9" s="58" t="n">
        <x:f>AI7/AI8</x:f>
        <x:v>6887.052341597795</x:v>
      </x:c>
      <x:c r="AJ9" s="58" t="n">
        <x:f>AJ7/AJ8</x:f>
        <x:v>6887.052341597795</x:v>
      </x:c>
      <x:c r="AK9" s="58" t="n">
        <x:f>AK7/AK8</x:f>
        <x:v>6887.052341597795</x:v>
      </x:c>
    </x:row>
    <x:row r="10" ht="18" customHeight="1">
      <x:c r="A10" s="4" t="str">
        <x:v>New gross buyers: organic</x:v>
      </x:c>
      <x:c r="B10" s="58" t="n">
        <x:f>B6*'Scenario Inputs'!$C$9</x:f>
        <x:v>15</x:v>
      </x:c>
      <x:c r="C10" s="58" t="n">
        <x:f>C6*'Scenario Inputs'!$C$9</x:f>
        <x:v>16.8</x:v>
      </x:c>
      <x:c r="D10" s="58" t="n">
        <x:f>D6*'Scenario Inputs'!$C$9</x:f>
        <x:v>18.816</x:v>
      </x:c>
      <x:c r="E10" s="58" t="n">
        <x:f>E6*'Scenario Inputs'!$C$9</x:f>
        <x:v>21.073920000000005</x:v>
      </x:c>
      <x:c r="F10" s="58" t="n">
        <x:f>F6*'Scenario Inputs'!$C$9</x:f>
        <x:v>23.602790400000007</x:v>
      </x:c>
      <x:c r="G10" s="58" t="n">
        <x:f>G6*'Scenario Inputs'!$C$9</x:f>
        <x:v>26.43512524800001</x:v>
      </x:c>
      <x:c r="H10" s="58" t="n">
        <x:f>H6*'Scenario Inputs'!$C$9</x:f>
        <x:v>29.607340277760017</x:v>
      </x:c>
      <x:c r="I10" s="58" t="n">
        <x:f>I6*'Scenario Inputs'!$C$9</x:f>
        <x:v>33.16022111109122</x:v>
      </x:c>
      <x:c r="J10" s="58" t="n">
        <x:f>J6*'Scenario Inputs'!$C$9</x:f>
        <x:v>37.13944764442216</x:v>
      </x:c>
      <x:c r="K10" s="58" t="n">
        <x:f>K6*'Scenario Inputs'!$C$9</x:f>
        <x:v>41.596181361752826</x:v>
      </x:c>
      <x:c r="L10" s="58" t="n">
        <x:f>L6*'Scenario Inputs'!$C$9</x:f>
        <x:v>46.58772312516317</x:v>
      </x:c>
      <x:c r="M10" s="58" t="n">
        <x:f>M6*'Scenario Inputs'!$C$9</x:f>
        <x:v>52.17824990018276</x:v>
      </x:c>
      <x:c r="N10" s="58" t="n">
        <x:f>N6*'Scenario Inputs'!$C$9</x:f>
        <x:v>52.17824990018276</x:v>
      </x:c>
      <x:c r="O10" s="58" t="n">
        <x:f>O6*'Scenario Inputs'!$C$9</x:f>
        <x:v>52.17824990018276</x:v>
      </x:c>
      <x:c r="P10" s="58" t="n">
        <x:f>P6*'Scenario Inputs'!$C$9</x:f>
        <x:v>52.17824990018276</x:v>
      </x:c>
      <x:c r="Q10" s="58" t="n">
        <x:f>Q6*'Scenario Inputs'!$C$9</x:f>
        <x:v>52.17824990018276</x:v>
      </x:c>
      <x:c r="R10" s="58" t="n">
        <x:f>R6*'Scenario Inputs'!$C$9</x:f>
        <x:v>52.17824990018276</x:v>
      </x:c>
      <x:c r="S10" s="58" t="n">
        <x:f>S6*'Scenario Inputs'!$C$9</x:f>
        <x:v>52.17824990018276</x:v>
      </x:c>
      <x:c r="T10" s="58" t="n">
        <x:f>T6*'Scenario Inputs'!$C$9</x:f>
        <x:v>52.17824990018276</x:v>
      </x:c>
      <x:c r="U10" s="58" t="n">
        <x:f>U6*'Scenario Inputs'!$C$9</x:f>
        <x:v>52.17824990018276</x:v>
      </x:c>
      <x:c r="V10" s="58" t="n">
        <x:f>V6*'Scenario Inputs'!$C$9</x:f>
        <x:v>52.17824990018276</x:v>
      </x:c>
      <x:c r="W10" s="58" t="n">
        <x:f>W6*'Scenario Inputs'!$C$9</x:f>
        <x:v>52.17824990018276</x:v>
      </x:c>
      <x:c r="X10" s="58" t="n">
        <x:f>X6*'Scenario Inputs'!$C$9</x:f>
        <x:v>52.17824990018276</x:v>
      </x:c>
      <x:c r="Y10" s="58" t="n">
        <x:f>Y6*'Scenario Inputs'!$C$9</x:f>
        <x:v>52.17824990018276</x:v>
      </x:c>
      <x:c r="Z10" s="58" t="n">
        <x:f>Z6*'Scenario Inputs'!$C$9</x:f>
        <x:v>52.17824990018276</x:v>
      </x:c>
      <x:c r="AA10" s="58" t="n">
        <x:f>AA6*'Scenario Inputs'!$C$9</x:f>
        <x:v>52.17824990018276</x:v>
      </x:c>
      <x:c r="AB10" s="58" t="n">
        <x:f>AB6*'Scenario Inputs'!$C$9</x:f>
        <x:v>52.17824990018276</x:v>
      </x:c>
      <x:c r="AC10" s="58" t="n">
        <x:f>AC6*'Scenario Inputs'!$C$9</x:f>
        <x:v>52.17824990018276</x:v>
      </x:c>
      <x:c r="AD10" s="58" t="n">
        <x:f>AD6*'Scenario Inputs'!$C$9</x:f>
        <x:v>52.17824990018276</x:v>
      </x:c>
      <x:c r="AE10" s="58" t="n">
        <x:f>AE6*'Scenario Inputs'!$C$9</x:f>
        <x:v>52.17824990018276</x:v>
      </x:c>
      <x:c r="AF10" s="58" t="n">
        <x:f>AF6*'Scenario Inputs'!$C$9</x:f>
        <x:v>52.17824990018276</x:v>
      </x:c>
      <x:c r="AG10" s="58" t="n">
        <x:f>AG6*'Scenario Inputs'!$C$9</x:f>
        <x:v>52.17824990018276</x:v>
      </x:c>
      <x:c r="AH10" s="58" t="n">
        <x:f>AH6*'Scenario Inputs'!$C$9</x:f>
        <x:v>52.17824990018276</x:v>
      </x:c>
      <x:c r="AI10" s="58" t="n">
        <x:f>AI6*'Scenario Inputs'!$C$9</x:f>
        <x:v>52.17824990018276</x:v>
      </x:c>
      <x:c r="AJ10" s="58" t="n">
        <x:f>AJ6*'Scenario Inputs'!$C$9</x:f>
        <x:v>52.17824990018276</x:v>
      </x:c>
      <x:c r="AK10" s="58" t="n">
        <x:f>AK6*'Scenario Inputs'!$C$9</x:f>
        <x:v>52.17824990018276</x:v>
      </x:c>
    </x:row>
    <x:row r="11" ht="18" customHeight="1">
      <x:c r="A11" s="4" t="str">
        <x:v>New gross buyers: paid</x:v>
      </x:c>
      <x:c r="B11" s="58" t="n">
        <x:f>B9*'Scenario Inputs'!$C$12</x:f>
        <x:v>8</x:v>
      </x:c>
      <x:c r="C11" s="58" t="n">
        <x:f>C9*'Scenario Inputs'!$C$12</x:f>
        <x:v>8</x:v>
      </x:c>
      <x:c r="D11" s="58" t="n">
        <x:f>D9*'Scenario Inputs'!$C$12</x:f>
        <x:v>8</x:v>
      </x:c>
      <x:c r="E11" s="58" t="n">
        <x:f>E9*'Scenario Inputs'!$C$12</x:f>
        <x:v>16</x:v>
      </x:c>
      <x:c r="F11" s="58" t="n">
        <x:f>F9*'Scenario Inputs'!$C$12</x:f>
        <x:v>16</x:v>
      </x:c>
      <x:c r="G11" s="58" t="n">
        <x:f>G9*'Scenario Inputs'!$C$12</x:f>
        <x:v>16</x:v>
      </x:c>
      <x:c r="H11" s="58" t="n">
        <x:f>H9*'Scenario Inputs'!$C$12</x:f>
        <x:v>33.333333333333336</x:v>
      </x:c>
      <x:c r="I11" s="58" t="n">
        <x:f>I9*'Scenario Inputs'!$C$12</x:f>
        <x:v>33.333333333333336</x:v>
      </x:c>
      <x:c r="J11" s="58" t="n">
        <x:f>J9*'Scenario Inputs'!$C$12</x:f>
        <x:v>33.333333333333336</x:v>
      </x:c>
      <x:c r="K11" s="58" t="n">
        <x:f>K9*'Scenario Inputs'!$C$12</x:f>
        <x:v>33.333333333333336</x:v>
      </x:c>
      <x:c r="L11" s="58" t="n">
        <x:f>L9*'Scenario Inputs'!$C$12</x:f>
        <x:v>33.333333333333336</x:v>
      </x:c>
      <x:c r="M11" s="58" t="n">
        <x:f>M9*'Scenario Inputs'!$C$12</x:f>
        <x:v>33.333333333333336</x:v>
      </x:c>
      <x:c r="N11" s="58" t="n">
        <x:f>N9*'Scenario Inputs'!$C$12</x:f>
        <x:v>60.60606060606061</x:v>
      </x:c>
      <x:c r="O11" s="58" t="n">
        <x:f>O9*'Scenario Inputs'!$C$12</x:f>
        <x:v>60.60606060606061</x:v>
      </x:c>
      <x:c r="P11" s="58" t="n">
        <x:f>P9*'Scenario Inputs'!$C$12</x:f>
        <x:v>60.60606060606061</x:v>
      </x:c>
      <x:c r="Q11" s="58" t="n">
        <x:f>Q9*'Scenario Inputs'!$C$12</x:f>
        <x:v>60.60606060606061</x:v>
      </x:c>
      <x:c r="R11" s="58" t="n">
        <x:f>R9*'Scenario Inputs'!$C$12</x:f>
        <x:v>60.60606060606061</x:v>
      </x:c>
      <x:c r="S11" s="58" t="n">
        <x:f>S9*'Scenario Inputs'!$C$12</x:f>
        <x:v>60.60606060606061</x:v>
      </x:c>
      <x:c r="T11" s="58" t="n">
        <x:f>T9*'Scenario Inputs'!$C$12</x:f>
        <x:v>90.9090909090909</x:v>
      </x:c>
      <x:c r="U11" s="58" t="n">
        <x:f>U9*'Scenario Inputs'!$C$12</x:f>
        <x:v>90.9090909090909</x:v>
      </x:c>
      <x:c r="V11" s="58" t="n">
        <x:f>V9*'Scenario Inputs'!$C$12</x:f>
        <x:v>90.9090909090909</x:v>
      </x:c>
      <x:c r="W11" s="58" t="n">
        <x:f>W9*'Scenario Inputs'!$C$12</x:f>
        <x:v>90.9090909090909</x:v>
      </x:c>
      <x:c r="X11" s="58" t="n">
        <x:f>X9*'Scenario Inputs'!$C$12</x:f>
        <x:v>90.9090909090909</x:v>
      </x:c>
      <x:c r="Y11" s="58" t="n">
        <x:f>Y9*'Scenario Inputs'!$C$12</x:f>
        <x:v>90.9090909090909</x:v>
      </x:c>
      <x:c r="Z11" s="58" t="n">
        <x:f>Z9*'Scenario Inputs'!$C$12</x:f>
        <x:v>110.19283746556472</x:v>
      </x:c>
      <x:c r="AA11" s="58" t="n">
        <x:f>AA9*'Scenario Inputs'!$C$12</x:f>
        <x:v>110.19283746556472</x:v>
      </x:c>
      <x:c r="AB11" s="58" t="n">
        <x:f>AB9*'Scenario Inputs'!$C$12</x:f>
        <x:v>110.19283746556472</x:v>
      </x:c>
      <x:c r="AC11" s="58" t="n">
        <x:f>AC9*'Scenario Inputs'!$C$12</x:f>
        <x:v>110.19283746556472</x:v>
      </x:c>
      <x:c r="AD11" s="58" t="n">
        <x:f>AD9*'Scenario Inputs'!$C$12</x:f>
        <x:v>110.19283746556472</x:v>
      </x:c>
      <x:c r="AE11" s="58" t="n">
        <x:f>AE9*'Scenario Inputs'!$C$12</x:f>
        <x:v>110.19283746556472</x:v>
      </x:c>
      <x:c r="AF11" s="58" t="n">
        <x:f>AF9*'Scenario Inputs'!$C$12</x:f>
        <x:v>137.7410468319559</x:v>
      </x:c>
      <x:c r="AG11" s="58" t="n">
        <x:f>AG9*'Scenario Inputs'!$C$12</x:f>
        <x:v>137.7410468319559</x:v>
      </x:c>
      <x:c r="AH11" s="58" t="n">
        <x:f>AH9*'Scenario Inputs'!$C$12</x:f>
        <x:v>137.7410468319559</x:v>
      </x:c>
      <x:c r="AI11" s="58" t="n">
        <x:f>AI9*'Scenario Inputs'!$C$12</x:f>
        <x:v>137.7410468319559</x:v>
      </x:c>
      <x:c r="AJ11" s="58" t="n">
        <x:f>AJ9*'Scenario Inputs'!$C$12</x:f>
        <x:v>137.7410468319559</x:v>
      </x:c>
      <x:c r="AK11" s="58" t="n">
        <x:f>AK9*'Scenario Inputs'!$C$12</x:f>
        <x:v>137.7410468319559</x:v>
      </x:c>
    </x:row>
    <x:row r="12" ht="18" customHeight="1">
      <x:c r="A12" s="4" t="str">
        <x:v>Total new gross buyers</x:v>
      </x:c>
      <x:c r="B12" s="58" t="n">
        <x:f>SUM(B10:B11)</x:f>
        <x:v>23</x:v>
      </x:c>
      <x:c r="C12" s="58" t="n">
        <x:f>SUM(C10:C11)</x:f>
        <x:v>24.8</x:v>
      </x:c>
      <x:c r="D12" s="58" t="n">
        <x:f>SUM(D10:D11)</x:f>
        <x:v>26.816</x:v>
      </x:c>
      <x:c r="E12" s="58" t="n">
        <x:f>SUM(E10:E11)</x:f>
        <x:v>37.07392</x:v>
      </x:c>
      <x:c r="F12" s="58" t="n">
        <x:f>SUM(F10:F11)</x:f>
        <x:v>39.6027904</x:v>
      </x:c>
      <x:c r="G12" s="58" t="n">
        <x:f>SUM(G10:G11)</x:f>
        <x:v>42.435125248000006</x:v>
      </x:c>
      <x:c r="H12" s="58" t="n">
        <x:f>SUM(H10:H11)</x:f>
        <x:v>62.94067361109335</x:v>
      </x:c>
      <x:c r="I12" s="58" t="n">
        <x:f>SUM(I10:I11)</x:f>
        <x:v>66.49355444442455</x:v>
      </x:c>
      <x:c r="J12" s="58" t="n">
        <x:f>SUM(J10:J11)</x:f>
        <x:v>70.47278097775549</x:v>
      </x:c>
      <x:c r="K12" s="58" t="n">
        <x:f>SUM(K10:K11)</x:f>
        <x:v>74.92951469508617</x:v>
      </x:c>
      <x:c r="L12" s="58" t="n">
        <x:f>SUM(L10:L11)</x:f>
        <x:v>79.92105645849651</x:v>
      </x:c>
      <x:c r="M12" s="58" t="n">
        <x:f>SUM(M10:M11)</x:f>
        <x:v>85.51158323351609</x:v>
      </x:c>
      <x:c r="N12" s="58" t="n">
        <x:f>SUM(N10:N11)</x:f>
        <x:v>112.78431050624337</x:v>
      </x:c>
      <x:c r="O12" s="58" t="n">
        <x:f>SUM(O10:O11)</x:f>
        <x:v>112.78431050624337</x:v>
      </x:c>
      <x:c r="P12" s="58" t="n">
        <x:f>SUM(P10:P11)</x:f>
        <x:v>112.78431050624337</x:v>
      </x:c>
      <x:c r="Q12" s="58" t="n">
        <x:f>SUM(Q10:Q11)</x:f>
        <x:v>112.78431050624337</x:v>
      </x:c>
      <x:c r="R12" s="58" t="n">
        <x:f>SUM(R10:R11)</x:f>
        <x:v>112.78431050624337</x:v>
      </x:c>
      <x:c r="S12" s="58" t="n">
        <x:f>SUM(S10:S11)</x:f>
        <x:v>112.78431050624337</x:v>
      </x:c>
      <x:c r="T12" s="58" t="n">
        <x:f>SUM(T10:T11)</x:f>
        <x:v>143.08734080927366</x:v>
      </x:c>
      <x:c r="U12" s="58" t="n">
        <x:f>SUM(U10:U11)</x:f>
        <x:v>143.08734080927366</x:v>
      </x:c>
      <x:c r="V12" s="58" t="n">
        <x:f>SUM(V10:V11)</x:f>
        <x:v>143.08734080927366</x:v>
      </x:c>
      <x:c r="W12" s="58" t="n">
        <x:f>SUM(W10:W11)</x:f>
        <x:v>143.08734080927366</x:v>
      </x:c>
      <x:c r="X12" s="58" t="n">
        <x:f>SUM(X10:X11)</x:f>
        <x:v>143.08734080927366</x:v>
      </x:c>
      <x:c r="Y12" s="58" t="n">
        <x:f>SUM(Y10:Y11)</x:f>
        <x:v>143.08734080927366</x:v>
      </x:c>
      <x:c r="Z12" s="58" t="n">
        <x:f>SUM(Z10:Z11)</x:f>
        <x:v>162.37108736574748</x:v>
      </x:c>
      <x:c r="AA12" s="58" t="n">
        <x:f>SUM(AA10:AA11)</x:f>
        <x:v>162.37108736574748</x:v>
      </x:c>
      <x:c r="AB12" s="58" t="n">
        <x:f>SUM(AB10:AB11)</x:f>
        <x:v>162.37108736574748</x:v>
      </x:c>
      <x:c r="AC12" s="58" t="n">
        <x:f>SUM(AC10:AC11)</x:f>
        <x:v>162.37108736574748</x:v>
      </x:c>
      <x:c r="AD12" s="58" t="n">
        <x:f>SUM(AD10:AD11)</x:f>
        <x:v>162.37108736574748</x:v>
      </x:c>
      <x:c r="AE12" s="58" t="n">
        <x:f>SUM(AE10:AE11)</x:f>
        <x:v>162.37108736574748</x:v>
      </x:c>
      <x:c r="AF12" s="58" t="n">
        <x:f>SUM(AF10:AF11)</x:f>
        <x:v>189.91929673213866</x:v>
      </x:c>
      <x:c r="AG12" s="58" t="n">
        <x:f>SUM(AG10:AG11)</x:f>
        <x:v>189.91929673213866</x:v>
      </x:c>
      <x:c r="AH12" s="58" t="n">
        <x:f>SUM(AH10:AH11)</x:f>
        <x:v>189.91929673213866</x:v>
      </x:c>
      <x:c r="AI12" s="58" t="n">
        <x:f>SUM(AI10:AI11)</x:f>
        <x:v>189.91929673213866</x:v>
      </x:c>
      <x:c r="AJ12" s="58" t="n">
        <x:f>SUM(AJ10:AJ11)</x:f>
        <x:v>189.91929673213866</x:v>
      </x:c>
      <x:c r="AK12" s="58" t="n">
        <x:f>SUM(AK10:AK11)</x:f>
        <x:v>189.91929673213866</x:v>
      </x:c>
    </x:row>
    <x:row r="13" ht="18" customHeight="1">
      <x:c r="A13" s="4" t="str">
        <x:v>New buyers after refunds</x:v>
      </x:c>
      <x:c r="B13" s="58" t="n">
        <x:f>B12*(1-'Scenario Inputs'!$C$29)</x:f>
        <x:v>22.31</x:v>
      </x:c>
      <x:c r="C13" s="58" t="n">
        <x:f>C12*(1-'Scenario Inputs'!$C$29)</x:f>
        <x:v>24.056</x:v>
      </x:c>
      <x:c r="D13" s="58" t="n">
        <x:f>D12*(1-'Scenario Inputs'!$C$29)</x:f>
        <x:v>26.011519999999997</x:v>
      </x:c>
      <x:c r="E13" s="58" t="n">
        <x:f>E12*(1-'Scenario Inputs'!$C$29)</x:f>
        <x:v>35.9617024</x:v>
      </x:c>
      <x:c r="F13" s="58" t="n">
        <x:f>F12*(1-'Scenario Inputs'!$C$29)</x:f>
        <x:v>38.414706688</x:v>
      </x:c>
      <x:c r="G13" s="58" t="n">
        <x:f>G12*(1-'Scenario Inputs'!$C$29)</x:f>
        <x:v>41.16207149056</x:v>
      </x:c>
      <x:c r="H13" s="58" t="n">
        <x:f>H12*(1-'Scenario Inputs'!$C$29)</x:f>
        <x:v>61.05245340276055</x:v>
      </x:c>
      <x:c r="I13" s="58" t="n">
        <x:f>I12*(1-'Scenario Inputs'!$C$29)</x:f>
        <x:v>64.4987478110918</x:v>
      </x:c>
      <x:c r="J13" s="58" t="n">
        <x:f>J12*(1-'Scenario Inputs'!$C$29)</x:f>
        <x:v>68.35859754842282</x:v>
      </x:c>
      <x:c r="K13" s="58" t="n">
        <x:f>K12*(1-'Scenario Inputs'!$C$29)</x:f>
        <x:v>72.68162925423358</x:v>
      </x:c>
      <x:c r="L13" s="58" t="n">
        <x:f>L12*(1-'Scenario Inputs'!$C$29)</x:f>
        <x:v>77.5234247647416</x:v>
      </x:c>
      <x:c r="M13" s="58" t="n">
        <x:f>M12*(1-'Scenario Inputs'!$C$29)</x:f>
        <x:v>82.9462357365106</x:v>
      </x:c>
      <x:c r="N13" s="58" t="n">
        <x:f>N12*(1-'Scenario Inputs'!$C$29)</x:f>
        <x:v>109.40078119105607</x:v>
      </x:c>
      <x:c r="O13" s="58" t="n">
        <x:f>O12*(1-'Scenario Inputs'!$C$29)</x:f>
        <x:v>109.40078119105607</x:v>
      </x:c>
      <x:c r="P13" s="58" t="n">
        <x:f>P12*(1-'Scenario Inputs'!$C$29)</x:f>
        <x:v>109.40078119105607</x:v>
      </x:c>
      <x:c r="Q13" s="58" t="n">
        <x:f>Q12*(1-'Scenario Inputs'!$C$29)</x:f>
        <x:v>109.40078119105607</x:v>
      </x:c>
      <x:c r="R13" s="58" t="n">
        <x:f>R12*(1-'Scenario Inputs'!$C$29)</x:f>
        <x:v>109.40078119105607</x:v>
      </x:c>
      <x:c r="S13" s="58" t="n">
        <x:f>S12*(1-'Scenario Inputs'!$C$29)</x:f>
        <x:v>109.40078119105607</x:v>
      </x:c>
      <x:c r="T13" s="58" t="n">
        <x:f>T12*(1-'Scenario Inputs'!$C$29)</x:f>
        <x:v>138.79472058499545</x:v>
      </x:c>
      <x:c r="U13" s="58" t="n">
        <x:f>U12*(1-'Scenario Inputs'!$C$29)</x:f>
        <x:v>138.79472058499545</x:v>
      </x:c>
      <x:c r="V13" s="58" t="n">
        <x:f>V12*(1-'Scenario Inputs'!$C$29)</x:f>
        <x:v>138.79472058499545</x:v>
      </x:c>
      <x:c r="W13" s="58" t="n">
        <x:f>W12*(1-'Scenario Inputs'!$C$29)</x:f>
        <x:v>138.79472058499545</x:v>
      </x:c>
      <x:c r="X13" s="58" t="n">
        <x:f>X12*(1-'Scenario Inputs'!$C$29)</x:f>
        <x:v>138.79472058499545</x:v>
      </x:c>
      <x:c r="Y13" s="58" t="n">
        <x:f>Y12*(1-'Scenario Inputs'!$C$29)</x:f>
        <x:v>138.79472058499545</x:v>
      </x:c>
      <x:c r="Z13" s="58" t="n">
        <x:f>Z12*(1-'Scenario Inputs'!$C$29)</x:f>
        <x:v>157.49995474477507</x:v>
      </x:c>
      <x:c r="AA13" s="58" t="n">
        <x:f>AA12*(1-'Scenario Inputs'!$C$29)</x:f>
        <x:v>157.49995474477507</x:v>
      </x:c>
      <x:c r="AB13" s="58" t="n">
        <x:f>AB12*(1-'Scenario Inputs'!$C$29)</x:f>
        <x:v>157.49995474477507</x:v>
      </x:c>
      <x:c r="AC13" s="58" t="n">
        <x:f>AC12*(1-'Scenario Inputs'!$C$29)</x:f>
        <x:v>157.49995474477507</x:v>
      </x:c>
      <x:c r="AD13" s="58" t="n">
        <x:f>AD12*(1-'Scenario Inputs'!$C$29)</x:f>
        <x:v>157.49995474477507</x:v>
      </x:c>
      <x:c r="AE13" s="58" t="n">
        <x:f>AE12*(1-'Scenario Inputs'!$C$29)</x:f>
        <x:v>157.49995474477507</x:v>
      </x:c>
      <x:c r="AF13" s="58" t="n">
        <x:f>AF12*(1-'Scenario Inputs'!$C$29)</x:f>
        <x:v>184.2217178301745</x:v>
      </x:c>
      <x:c r="AG13" s="58" t="n">
        <x:f>AG12*(1-'Scenario Inputs'!$C$29)</x:f>
        <x:v>184.2217178301745</x:v>
      </x:c>
      <x:c r="AH13" s="58" t="n">
        <x:f>AH12*(1-'Scenario Inputs'!$C$29)</x:f>
        <x:v>184.2217178301745</x:v>
      </x:c>
      <x:c r="AI13" s="58" t="n">
        <x:f>AI12*(1-'Scenario Inputs'!$C$29)</x:f>
        <x:v>184.2217178301745</x:v>
      </x:c>
      <x:c r="AJ13" s="58" t="n">
        <x:f>AJ12*(1-'Scenario Inputs'!$C$29)</x:f>
        <x:v>184.2217178301745</x:v>
      </x:c>
      <x:c r="AK13" s="58" t="n">
        <x:f>AK12*(1-'Scenario Inputs'!$C$29)</x:f>
        <x:v>184.2217178301745</x:v>
      </x:c>
    </x:row>
    <x:row r="14" ht="18" customHeight="1">
      <x:c r="A14" s="4" t="str">
        <x:v>Paid creative allowance (INR)</x:v>
      </x:c>
      <x:c r="B14" s="58" t="n">
        <x:f>B7*'Scenario Inputs'!$C$13</x:f>
        <x:v>1500</x:v>
      </x:c>
      <x:c r="C14" s="58" t="n">
        <x:f>C7*'Scenario Inputs'!$C$13</x:f>
        <x:v>1500</x:v>
      </x:c>
      <x:c r="D14" s="58" t="n">
        <x:f>D7*'Scenario Inputs'!$C$13</x:f>
        <x:v>1500</x:v>
      </x:c>
      <x:c r="E14" s="58" t="n">
        <x:f>E7*'Scenario Inputs'!$C$13</x:f>
        <x:v>3000</x:v>
      </x:c>
      <x:c r="F14" s="58" t="n">
        <x:f>F7*'Scenario Inputs'!$C$13</x:f>
        <x:v>3000</x:v>
      </x:c>
      <x:c r="G14" s="58" t="n">
        <x:f>G7*'Scenario Inputs'!$C$13</x:f>
        <x:v>3000</x:v>
      </x:c>
      <x:c r="H14" s="58" t="n">
        <x:f>H7*'Scenario Inputs'!$C$13</x:f>
        <x:v>6250</x:v>
      </x:c>
      <x:c r="I14" s="58" t="n">
        <x:f>I7*'Scenario Inputs'!$C$13</x:f>
        <x:v>6250</x:v>
      </x:c>
      <x:c r="J14" s="58" t="n">
        <x:f>J7*'Scenario Inputs'!$C$13</x:f>
        <x:v>6250</x:v>
      </x:c>
      <x:c r="K14" s="58" t="n">
        <x:f>K7*'Scenario Inputs'!$C$13</x:f>
        <x:v>6250</x:v>
      </x:c>
      <x:c r="L14" s="58" t="n">
        <x:f>L7*'Scenario Inputs'!$C$13</x:f>
        <x:v>6250</x:v>
      </x:c>
      <x:c r="M14" s="58" t="n">
        <x:f>M7*'Scenario Inputs'!$C$13</x:f>
        <x:v>6250</x:v>
      </x:c>
      <x:c r="N14" s="58" t="n">
        <x:f>N7*'Scenario Inputs'!$C$13</x:f>
        <x:v>12500</x:v>
      </x:c>
      <x:c r="O14" s="58" t="n">
        <x:f>O7*'Scenario Inputs'!$C$13</x:f>
        <x:v>12500</x:v>
      </x:c>
      <x:c r="P14" s="58" t="n">
        <x:f>P7*'Scenario Inputs'!$C$13</x:f>
        <x:v>12500</x:v>
      </x:c>
      <x:c r="Q14" s="58" t="n">
        <x:f>Q7*'Scenario Inputs'!$C$13</x:f>
        <x:v>12500</x:v>
      </x:c>
      <x:c r="R14" s="58" t="n">
        <x:f>R7*'Scenario Inputs'!$C$13</x:f>
        <x:v>12500</x:v>
      </x:c>
      <x:c r="S14" s="58" t="n">
        <x:f>S7*'Scenario Inputs'!$C$13</x:f>
        <x:v>12500</x:v>
      </x:c>
      <x:c r="T14" s="58" t="n">
        <x:f>T7*'Scenario Inputs'!$C$13</x:f>
        <x:v>18750</x:v>
      </x:c>
      <x:c r="U14" s="58" t="n">
        <x:f>U7*'Scenario Inputs'!$C$13</x:f>
        <x:v>18750</x:v>
      </x:c>
      <x:c r="V14" s="58" t="n">
        <x:f>V7*'Scenario Inputs'!$C$13</x:f>
        <x:v>18750</x:v>
      </x:c>
      <x:c r="W14" s="58" t="n">
        <x:f>W7*'Scenario Inputs'!$C$13</x:f>
        <x:v>18750</x:v>
      </x:c>
      <x:c r="X14" s="58" t="n">
        <x:f>X7*'Scenario Inputs'!$C$13</x:f>
        <x:v>18750</x:v>
      </x:c>
      <x:c r="Y14" s="58" t="n">
        <x:f>Y7*'Scenario Inputs'!$C$13</x:f>
        <x:v>18750</x:v>
      </x:c>
      <x:c r="Z14" s="58" t="n">
        <x:f>Z7*'Scenario Inputs'!$C$13</x:f>
        <x:v>25000</x:v>
      </x:c>
      <x:c r="AA14" s="58" t="n">
        <x:f>AA7*'Scenario Inputs'!$C$13</x:f>
        <x:v>25000</x:v>
      </x:c>
      <x:c r="AB14" s="58" t="n">
        <x:f>AB7*'Scenario Inputs'!$C$13</x:f>
        <x:v>25000</x:v>
      </x:c>
      <x:c r="AC14" s="58" t="n">
        <x:f>AC7*'Scenario Inputs'!$C$13</x:f>
        <x:v>25000</x:v>
      </x:c>
      <x:c r="AD14" s="58" t="n">
        <x:f>AD7*'Scenario Inputs'!$C$13</x:f>
        <x:v>25000</x:v>
      </x:c>
      <x:c r="AE14" s="58" t="n">
        <x:f>AE7*'Scenario Inputs'!$C$13</x:f>
        <x:v>25000</x:v>
      </x:c>
      <x:c r="AF14" s="58" t="n">
        <x:f>AF7*'Scenario Inputs'!$C$13</x:f>
        <x:v>31250</x:v>
      </x:c>
      <x:c r="AG14" s="58" t="n">
        <x:f>AG7*'Scenario Inputs'!$C$13</x:f>
        <x:v>31250</x:v>
      </x:c>
      <x:c r="AH14" s="58" t="n">
        <x:f>AH7*'Scenario Inputs'!$C$13</x:f>
        <x:v>31250</x:v>
      </x:c>
      <x:c r="AI14" s="58" t="n">
        <x:f>AI7*'Scenario Inputs'!$C$13</x:f>
        <x:v>31250</x:v>
      </x:c>
      <x:c r="AJ14" s="58" t="n">
        <x:f>AJ7*'Scenario Inputs'!$C$13</x:f>
        <x:v>31250</x:v>
      </x:c>
      <x:c r="AK14" s="58" t="n">
        <x:f>AK7*'Scenario Inputs'!$C$13</x:f>
        <x:v>31250</x:v>
      </x:c>
    </x:row>
    <x:row r="15" ht="18" customHeight="1">
      <x:c r="A15" s="4" t="str">
        <x:v>Organic / partner content cash (INR)</x:v>
      </x:c>
      <x:c r="B15" s="60" t="n">
        <x:f>'Scenario Inputs'!$C$21</x:f>
        <x:v>5000</x:v>
      </x:c>
      <x:c r="C15" s="60" t="n">
        <x:f>'Scenario Inputs'!$C$21</x:f>
        <x:v>5000</x:v>
      </x:c>
      <x:c r="D15" s="60" t="n">
        <x:f>'Scenario Inputs'!$C$21</x:f>
        <x:v>5000</x:v>
      </x:c>
      <x:c r="E15" s="60" t="n">
        <x:f>'Scenario Inputs'!$C$21</x:f>
        <x:v>5000</x:v>
      </x:c>
      <x:c r="F15" s="60" t="n">
        <x:f>'Scenario Inputs'!$C$21</x:f>
        <x:v>5000</x:v>
      </x:c>
      <x:c r="G15" s="60" t="n">
        <x:f>'Scenario Inputs'!$C$21</x:f>
        <x:v>5000</x:v>
      </x:c>
      <x:c r="H15" s="60" t="n">
        <x:f>'Scenario Inputs'!$C$21</x:f>
        <x:v>5000</x:v>
      </x:c>
      <x:c r="I15" s="60" t="n">
        <x:f>'Scenario Inputs'!$C$21</x:f>
        <x:v>5000</x:v>
      </x:c>
      <x:c r="J15" s="60" t="n">
        <x:f>'Scenario Inputs'!$C$21</x:f>
        <x:v>5000</x:v>
      </x:c>
      <x:c r="K15" s="60" t="n">
        <x:f>'Scenario Inputs'!$C$21</x:f>
        <x:v>5000</x:v>
      </x:c>
      <x:c r="L15" s="60" t="n">
        <x:f>'Scenario Inputs'!$C$21</x:f>
        <x:v>5000</x:v>
      </x:c>
      <x:c r="M15" s="60" t="n">
        <x:f>'Scenario Inputs'!$C$21</x:f>
        <x:v>5000</x:v>
      </x:c>
      <x:c r="N15" s="60" t="n">
        <x:f>'Scenario Inputs'!$C$22</x:f>
        <x:v>10000</x:v>
      </x:c>
      <x:c r="O15" s="60" t="n">
        <x:f>'Scenario Inputs'!$C$22</x:f>
        <x:v>10000</x:v>
      </x:c>
      <x:c r="P15" s="60" t="n">
        <x:f>'Scenario Inputs'!$C$22</x:f>
        <x:v>10000</x:v>
      </x:c>
      <x:c r="Q15" s="60" t="n">
        <x:f>'Scenario Inputs'!$C$22</x:f>
        <x:v>10000</x:v>
      </x:c>
      <x:c r="R15" s="60" t="n">
        <x:f>'Scenario Inputs'!$C$22</x:f>
        <x:v>10000</x:v>
      </x:c>
      <x:c r="S15" s="60" t="n">
        <x:f>'Scenario Inputs'!$C$22</x:f>
        <x:v>10000</x:v>
      </x:c>
      <x:c r="T15" s="60" t="n">
        <x:f>'Scenario Inputs'!$C$22</x:f>
        <x:v>10000</x:v>
      </x:c>
      <x:c r="U15" s="60" t="n">
        <x:f>'Scenario Inputs'!$C$22</x:f>
        <x:v>10000</x:v>
      </x:c>
      <x:c r="V15" s="60" t="n">
        <x:f>'Scenario Inputs'!$C$22</x:f>
        <x:v>10000</x:v>
      </x:c>
      <x:c r="W15" s="60" t="n">
        <x:f>'Scenario Inputs'!$C$22</x:f>
        <x:v>10000</x:v>
      </x:c>
      <x:c r="X15" s="60" t="n">
        <x:f>'Scenario Inputs'!$C$22</x:f>
        <x:v>10000</x:v>
      </x:c>
      <x:c r="Y15" s="60" t="n">
        <x:f>'Scenario Inputs'!$C$22</x:f>
        <x:v>10000</x:v>
      </x:c>
      <x:c r="Z15" s="60" t="n">
        <x:f>'Scenario Inputs'!$C$23</x:f>
        <x:v>15000</x:v>
      </x:c>
      <x:c r="AA15" s="60" t="n">
        <x:f>'Scenario Inputs'!$C$23</x:f>
        <x:v>15000</x:v>
      </x:c>
      <x:c r="AB15" s="60" t="n">
        <x:f>'Scenario Inputs'!$C$23</x:f>
        <x:v>15000</x:v>
      </x:c>
      <x:c r="AC15" s="60" t="n">
        <x:f>'Scenario Inputs'!$C$23</x:f>
        <x:v>15000</x:v>
      </x:c>
      <x:c r="AD15" s="60" t="n">
        <x:f>'Scenario Inputs'!$C$23</x:f>
        <x:v>15000</x:v>
      </x:c>
      <x:c r="AE15" s="60" t="n">
        <x:f>'Scenario Inputs'!$C$23</x:f>
        <x:v>15000</x:v>
      </x:c>
      <x:c r="AF15" s="60" t="n">
        <x:f>'Scenario Inputs'!$C$23</x:f>
        <x:v>15000</x:v>
      </x:c>
      <x:c r="AG15" s="60" t="n">
        <x:f>'Scenario Inputs'!$C$23</x:f>
        <x:v>15000</x:v>
      </x:c>
      <x:c r="AH15" s="60" t="n">
        <x:f>'Scenario Inputs'!$C$23</x:f>
        <x:v>15000</x:v>
      </x:c>
      <x:c r="AI15" s="60" t="n">
        <x:f>'Scenario Inputs'!$C$23</x:f>
        <x:v>15000</x:v>
      </x:c>
      <x:c r="AJ15" s="60" t="n">
        <x:f>'Scenario Inputs'!$C$23</x:f>
        <x:v>15000</x:v>
      </x:c>
      <x:c r="AK15" s="60" t="n">
        <x:f>'Scenario Inputs'!$C$23</x:f>
        <x:v>15000</x:v>
      </x:c>
    </x:row>
    <x:row r="16" ht="18" customHeight="1">
      <x:c r="A16" s="74" t="str">
        <x:v>TOTAL ACQUISITION SPEND (INR)</x:v>
      </x:c>
      <x:c r="B16" s="75" t="n">
        <x:f>B7+SUM(B14:B15)</x:f>
        <x:v>12500</x:v>
      </x:c>
      <x:c r="C16" s="75" t="n">
        <x:f>C7+SUM(C14:C15)</x:f>
        <x:v>12500</x:v>
      </x:c>
      <x:c r="D16" s="75" t="n">
        <x:f>D7+SUM(D14:D15)</x:f>
        <x:v>12500</x:v>
      </x:c>
      <x:c r="E16" s="75" t="n">
        <x:f>E7+SUM(E14:E15)</x:f>
        <x:v>20000</x:v>
      </x:c>
      <x:c r="F16" s="75" t="n">
        <x:f>F7+SUM(F14:F15)</x:f>
        <x:v>20000</x:v>
      </x:c>
      <x:c r="G16" s="75" t="n">
        <x:f>G7+SUM(G14:G15)</x:f>
        <x:v>20000</x:v>
      </x:c>
      <x:c r="H16" s="75" t="n">
        <x:f>H7+SUM(H14:H15)</x:f>
        <x:v>36250</x:v>
      </x:c>
      <x:c r="I16" s="75" t="n">
        <x:f>I7+SUM(I14:I15)</x:f>
        <x:v>36250</x:v>
      </x:c>
      <x:c r="J16" s="75" t="n">
        <x:f>J7+SUM(J14:J15)</x:f>
        <x:v>36250</x:v>
      </x:c>
      <x:c r="K16" s="75" t="n">
        <x:f>K7+SUM(K14:K15)</x:f>
        <x:v>36250</x:v>
      </x:c>
      <x:c r="L16" s="75" t="n">
        <x:f>L7+SUM(L14:L15)</x:f>
        <x:v>36250</x:v>
      </x:c>
      <x:c r="M16" s="75" t="n">
        <x:f>M7+SUM(M14:M15)</x:f>
        <x:v>36250</x:v>
      </x:c>
      <x:c r="N16" s="75" t="n">
        <x:f>N7+SUM(N14:N15)</x:f>
        <x:v>72500</x:v>
      </x:c>
      <x:c r="O16" s="75" t="n">
        <x:f>O7+SUM(O14:O15)</x:f>
        <x:v>72500</x:v>
      </x:c>
      <x:c r="P16" s="75" t="n">
        <x:f>P7+SUM(P14:P15)</x:f>
        <x:v>72500</x:v>
      </x:c>
      <x:c r="Q16" s="75" t="n">
        <x:f>Q7+SUM(Q14:Q15)</x:f>
        <x:v>72500</x:v>
      </x:c>
      <x:c r="R16" s="75" t="n">
        <x:f>R7+SUM(R14:R15)</x:f>
        <x:v>72500</x:v>
      </x:c>
      <x:c r="S16" s="75" t="n">
        <x:f>S7+SUM(S14:S15)</x:f>
        <x:v>72500</x:v>
      </x:c>
      <x:c r="T16" s="75" t="n">
        <x:f>T7+SUM(T14:T15)</x:f>
        <x:v>103750</x:v>
      </x:c>
      <x:c r="U16" s="75" t="n">
        <x:f>U7+SUM(U14:U15)</x:f>
        <x:v>103750</x:v>
      </x:c>
      <x:c r="V16" s="75" t="n">
        <x:f>V7+SUM(V14:V15)</x:f>
        <x:v>103750</x:v>
      </x:c>
      <x:c r="W16" s="75" t="n">
        <x:f>W7+SUM(W14:W15)</x:f>
        <x:v>103750</x:v>
      </x:c>
      <x:c r="X16" s="75" t="n">
        <x:f>X7+SUM(X14:X15)</x:f>
        <x:v>103750</x:v>
      </x:c>
      <x:c r="Y16" s="75" t="n">
        <x:f>Y7+SUM(Y14:Y15)</x:f>
        <x:v>103750</x:v>
      </x:c>
      <x:c r="Z16" s="75" t="n">
        <x:f>Z7+SUM(Z14:Z15)</x:f>
        <x:v>140000</x:v>
      </x:c>
      <x:c r="AA16" s="75" t="n">
        <x:f>AA7+SUM(AA14:AA15)</x:f>
        <x:v>140000</x:v>
      </x:c>
      <x:c r="AB16" s="75" t="n">
        <x:f>AB7+SUM(AB14:AB15)</x:f>
        <x:v>140000</x:v>
      </x:c>
      <x:c r="AC16" s="75" t="n">
        <x:f>AC7+SUM(AC14:AC15)</x:f>
        <x:v>140000</x:v>
      </x:c>
      <x:c r="AD16" s="75" t="n">
        <x:f>AD7+SUM(AD14:AD15)</x:f>
        <x:v>140000</x:v>
      </x:c>
      <x:c r="AE16" s="75" t="n">
        <x:f>AE7+SUM(AE14:AE15)</x:f>
        <x:v>140000</x:v>
      </x:c>
      <x:c r="AF16" s="75" t="n">
        <x:f>AF7+SUM(AF14:AF15)</x:f>
        <x:v>171250</x:v>
      </x:c>
      <x:c r="AG16" s="75" t="n">
        <x:f>AG7+SUM(AG14:AG15)</x:f>
        <x:v>171250</x:v>
      </x:c>
      <x:c r="AH16" s="75" t="n">
        <x:f>AH7+SUM(AH14:AH15)</x:f>
        <x:v>171250</x:v>
      </x:c>
      <x:c r="AI16" s="75" t="n">
        <x:f>AI7+SUM(AI14:AI15)</x:f>
        <x:v>171250</x:v>
      </x:c>
      <x:c r="AJ16" s="75" t="n">
        <x:f>AJ7+SUM(AJ14:AJ15)</x:f>
        <x:v>171250</x:v>
      </x:c>
      <x:c r="AK16" s="75" t="n">
        <x:f>AK7+SUM(AK14:AK15)</x:f>
        <x:v>171250</x:v>
      </x:c>
    </x:row>
    <x:row r="17" ht="18" customHeight="1">
      <x:c r="A17" s="4" t="str">
        <x:v>Blended cash CAC (INR / gross buyer)</x:v>
      </x:c>
      <x:c r="B17" s="64" t="n">
        <x:f>IFERROR(B16/B12,0)</x:f>
        <x:v>543.4782608695652</x:v>
      </x:c>
      <x:c r="C17" s="64" t="n">
        <x:f>IFERROR(C16/C12,0)</x:f>
        <x:v>504.0322580645161</x:v>
      </x:c>
      <x:c r="D17" s="64" t="n">
        <x:f>IFERROR(D16/D12,0)</x:f>
        <x:v>466.13961813842485</x:v>
      </x:c>
      <x:c r="E17" s="64" t="n">
        <x:f>IFERROR(E16/E12,0)</x:f>
        <x:v>539.4627813837867</x:v>
      </x:c>
      <x:c r="F17" s="64" t="n">
        <x:f>IFERROR(F16/F12,0)</x:f>
        <x:v>505.01491935275345</x:v>
      </x:c>
      <x:c r="G17" s="64" t="n">
        <x:f>IFERROR(G16/G12,0)</x:f>
        <x:v>471.3076698399191</x:v>
      </x:c>
      <x:c r="H17" s="64" t="n">
        <x:f>IFERROR(H16/H12,0)</x:f>
        <x:v>575.9391808226676</x:v>
      </x:c>
      <x:c r="I17" s="64" t="n">
        <x:f>IFERROR(I16/I12,0)</x:f>
        <x:v>545.1656224859784</x:v>
      </x:c>
      <x:c r="J17" s="64" t="n">
        <x:f>IFERROR(J16/J12,0)</x:f>
        <x:v>514.3829929379713</x:v>
      </x:c>
      <x:c r="K17" s="64" t="n">
        <x:f>IFERROR(K16/K12,0)</x:f>
        <x:v>483.78799926188833</x:v>
      </x:c>
      <x:c r="L17" s="64" t="n">
        <x:f>IFERROR(L16/L12,0)</x:f>
        <x:v>453.57258282521383</x:v>
      </x:c>
      <x:c r="M17" s="64" t="n">
        <x:f>IFERROR(M16/M12,0)</x:f>
        <x:v>423.9191771365997</x:v>
      </x:c>
      <x:c r="N17" s="64" t="n">
        <x:f>IFERROR(N16/N12,0)</x:f>
        <x:v>642.8199070826136</x:v>
      </x:c>
      <x:c r="O17" s="64" t="n">
        <x:f>IFERROR(O16/O12,0)</x:f>
        <x:v>642.8199070826136</x:v>
      </x:c>
      <x:c r="P17" s="64" t="n">
        <x:f>IFERROR(P16/P12,0)</x:f>
        <x:v>642.8199070826136</x:v>
      </x:c>
      <x:c r="Q17" s="64" t="n">
        <x:f>IFERROR(Q16/Q12,0)</x:f>
        <x:v>642.8199070826136</x:v>
      </x:c>
      <x:c r="R17" s="64" t="n">
        <x:f>IFERROR(R16/R12,0)</x:f>
        <x:v>642.8199070826136</x:v>
      </x:c>
      <x:c r="S17" s="64" t="n">
        <x:f>IFERROR(S16/S12,0)</x:f>
        <x:v>642.8199070826136</x:v>
      </x:c>
      <x:c r="T17" s="64" t="n">
        <x:f>IFERROR(T16/T12,0)</x:f>
        <x:v>725.0816138814974</x:v>
      </x:c>
      <x:c r="U17" s="64" t="n">
        <x:f>IFERROR(U16/U12,0)</x:f>
        <x:v>725.0816138814974</x:v>
      </x:c>
      <x:c r="V17" s="64" t="n">
        <x:f>IFERROR(V16/V12,0)</x:f>
        <x:v>725.0816138814974</x:v>
      </x:c>
      <x:c r="W17" s="64" t="n">
        <x:f>IFERROR(W16/W12,0)</x:f>
        <x:v>725.0816138814974</x:v>
      </x:c>
      <x:c r="X17" s="64" t="n">
        <x:f>IFERROR(X16/X12,0)</x:f>
        <x:v>725.0816138814974</x:v>
      </x:c>
      <x:c r="Y17" s="64" t="n">
        <x:f>IFERROR(Y16/Y12,0)</x:f>
        <x:v>725.0816138814974</x:v>
      </x:c>
      <x:c r="Z17" s="64" t="n">
        <x:f>IFERROR(Z16/Z12,0)</x:f>
        <x:v>862.22246996871</x:v>
      </x:c>
      <x:c r="AA17" s="64" t="n">
        <x:f>IFERROR(AA16/AA12,0)</x:f>
        <x:v>862.22246996871</x:v>
      </x:c>
      <x:c r="AB17" s="64" t="n">
        <x:f>IFERROR(AB16/AB12,0)</x:f>
        <x:v>862.22246996871</x:v>
      </x:c>
      <x:c r="AC17" s="64" t="n">
        <x:f>IFERROR(AC16/AC12,0)</x:f>
        <x:v>862.22246996871</x:v>
      </x:c>
      <x:c r="AD17" s="64" t="n">
        <x:f>IFERROR(AD16/AD12,0)</x:f>
        <x:v>862.22246996871</x:v>
      </x:c>
      <x:c r="AE17" s="64" t="n">
        <x:f>IFERROR(AE16/AE12,0)</x:f>
        <x:v>862.22246996871</x:v>
      </x:c>
      <x:c r="AF17" s="64" t="n">
        <x:f>IFERROR(AF16/AF12,0)</x:f>
        <x:v>901.6987896787036</x:v>
      </x:c>
      <x:c r="AG17" s="64" t="n">
        <x:f>IFERROR(AG16/AG12,0)</x:f>
        <x:v>901.6987896787036</x:v>
      </x:c>
      <x:c r="AH17" s="64" t="n">
        <x:f>IFERROR(AH16/AH12,0)</x:f>
        <x:v>901.6987896787036</x:v>
      </x:c>
      <x:c r="AI17" s="64" t="n">
        <x:f>IFERROR(AI16/AI12,0)</x:f>
        <x:v>901.6987896787036</x:v>
      </x:c>
      <x:c r="AJ17" s="64" t="n">
        <x:f>IFERROR(AJ16/AJ12,0)</x:f>
        <x:v>901.6987896787036</x:v>
      </x:c>
      <x:c r="AK17" s="64" t="n">
        <x:f>IFERROR(AK16/AK12,0)</x:f>
        <x:v>901.6987896787036</x:v>
      </x:c>
    </x:row>
    <x:row r="18" ht="18" customHeight="1">
      <x:c r="A18" s="4" t="str">
        <x:v>Loaded paid-channel CAC (INR)</x:v>
      </x:c>
      <x:c r="B18" s="64" t="n">
        <x:f>IFERROR((B7+B14)/B11,0)</x:f>
        <x:v>937.5</x:v>
      </x:c>
      <x:c r="C18" s="64" t="n">
        <x:f>IFERROR((C7+C14)/C11,0)</x:f>
        <x:v>937.5</x:v>
      </x:c>
      <x:c r="D18" s="64" t="n">
        <x:f>IFERROR((D7+D14)/D11,0)</x:f>
        <x:v>937.5</x:v>
      </x:c>
      <x:c r="E18" s="64" t="n">
        <x:f>IFERROR((E7+E14)/E11,0)</x:f>
        <x:v>937.5</x:v>
      </x:c>
      <x:c r="F18" s="64" t="n">
        <x:f>IFERROR((F7+F14)/F11,0)</x:f>
        <x:v>937.5</x:v>
      </x:c>
      <x:c r="G18" s="64" t="n">
        <x:f>IFERROR((G7+G14)/G11,0)</x:f>
        <x:v>937.5</x:v>
      </x:c>
      <x:c r="H18" s="64" t="n">
        <x:f>IFERROR((H7+H14)/H11,0)</x:f>
        <x:v>937.4999999999999</x:v>
      </x:c>
      <x:c r="I18" s="64" t="n">
        <x:f>IFERROR((I7+I14)/I11,0)</x:f>
        <x:v>937.4999999999999</x:v>
      </x:c>
      <x:c r="J18" s="64" t="n">
        <x:f>IFERROR((J7+J14)/J11,0)</x:f>
        <x:v>937.4999999999999</x:v>
      </x:c>
      <x:c r="K18" s="64" t="n">
        <x:f>IFERROR((K7+K14)/K11,0)</x:f>
        <x:v>937.4999999999999</x:v>
      </x:c>
      <x:c r="L18" s="64" t="n">
        <x:f>IFERROR((L7+L14)/L11,0)</x:f>
        <x:v>937.4999999999999</x:v>
      </x:c>
      <x:c r="M18" s="64" t="n">
        <x:f>IFERROR((M7+M14)/M11,0)</x:f>
        <x:v>937.4999999999999</x:v>
      </x:c>
      <x:c r="N18" s="64" t="n">
        <x:f>IFERROR((N7+N14)/N11,0)</x:f>
        <x:v>1031.25</x:v>
      </x:c>
      <x:c r="O18" s="64" t="n">
        <x:f>IFERROR((O7+O14)/O11,0)</x:f>
        <x:v>1031.25</x:v>
      </x:c>
      <x:c r="P18" s="64" t="n">
        <x:f>IFERROR((P7+P14)/P11,0)</x:f>
        <x:v>1031.25</x:v>
      </x:c>
      <x:c r="Q18" s="64" t="n">
        <x:f>IFERROR((Q7+Q14)/Q11,0)</x:f>
        <x:v>1031.25</x:v>
      </x:c>
      <x:c r="R18" s="64" t="n">
        <x:f>IFERROR((R7+R14)/R11,0)</x:f>
        <x:v>1031.25</x:v>
      </x:c>
      <x:c r="S18" s="64" t="n">
        <x:f>IFERROR((S7+S14)/S11,0)</x:f>
        <x:v>1031.25</x:v>
      </x:c>
      <x:c r="T18" s="64" t="n">
        <x:f>IFERROR((T7+T14)/T11,0)</x:f>
        <x:v>1031.25</x:v>
      </x:c>
      <x:c r="U18" s="64" t="n">
        <x:f>IFERROR((U7+U14)/U11,0)</x:f>
        <x:v>1031.25</x:v>
      </x:c>
      <x:c r="V18" s="64" t="n">
        <x:f>IFERROR((V7+V14)/V11,0)</x:f>
        <x:v>1031.25</x:v>
      </x:c>
      <x:c r="W18" s="64" t="n">
        <x:f>IFERROR((W7+W14)/W11,0)</x:f>
        <x:v>1031.25</x:v>
      </x:c>
      <x:c r="X18" s="64" t="n">
        <x:f>IFERROR((X7+X14)/X11,0)</x:f>
        <x:v>1031.25</x:v>
      </x:c>
      <x:c r="Y18" s="64" t="n">
        <x:f>IFERROR((Y7+Y14)/Y11,0)</x:f>
        <x:v>1031.25</x:v>
      </x:c>
      <x:c r="Z18" s="64" t="n">
        <x:f>IFERROR((Z7+Z14)/Z11,0)</x:f>
        <x:v>1134.3750000000002</x:v>
      </x:c>
      <x:c r="AA18" s="64" t="n">
        <x:f>IFERROR((AA7+AA14)/AA11,0)</x:f>
        <x:v>1134.3750000000002</x:v>
      </x:c>
      <x:c r="AB18" s="64" t="n">
        <x:f>IFERROR((AB7+AB14)/AB11,0)</x:f>
        <x:v>1134.3750000000002</x:v>
      </x:c>
      <x:c r="AC18" s="64" t="n">
        <x:f>IFERROR((AC7+AC14)/AC11,0)</x:f>
        <x:v>1134.3750000000002</x:v>
      </x:c>
      <x:c r="AD18" s="64" t="n">
        <x:f>IFERROR((AD7+AD14)/AD11,0)</x:f>
        <x:v>1134.3750000000002</x:v>
      </x:c>
      <x:c r="AE18" s="64" t="n">
        <x:f>IFERROR((AE7+AE14)/AE11,0)</x:f>
        <x:v>1134.3750000000002</x:v>
      </x:c>
      <x:c r="AF18" s="64" t="n">
        <x:f>IFERROR((AF7+AF14)/AF11,0)</x:f>
        <x:v>1134.375</x:v>
      </x:c>
      <x:c r="AG18" s="64" t="n">
        <x:f>IFERROR((AG7+AG14)/AG11,0)</x:f>
        <x:v>1134.375</x:v>
      </x:c>
      <x:c r="AH18" s="64" t="n">
        <x:f>IFERROR((AH7+AH14)/AH11,0)</x:f>
        <x:v>1134.375</x:v>
      </x:c>
      <x:c r="AI18" s="64" t="n">
        <x:f>IFERROR((AI7+AI14)/AI11,0)</x:f>
        <x:v>1134.375</x:v>
      </x:c>
      <x:c r="AJ18" s="64" t="n">
        <x:f>IFERROR((AJ7+AJ14)/AJ11,0)</x:f>
        <x:v>1134.375</x:v>
      </x:c>
      <x:c r="AK18" s="64" t="n">
        <x:f>IFERROR((AK7+AK14)/AK11,0)</x:f>
        <x:v>1134.375</x:v>
      </x:c>
    </x:row>
    <x:row r="19" ht="18" customHeight="1">
      <x:c r="A19" s="4" t="str"/>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row>
    <x:row r="20" ht="18" customHeight="1">
      <x:c r="A20" s="4" t="str">
        <x:v>New annual payers after refunds</x:v>
      </x:c>
      <x:c r="B20" s="58" t="n">
        <x:f>B12*'Scenario Inputs'!$C$27*(1-'Scenario Inputs'!$C$29)</x:f>
        <x:v>16.732499999999998</x:v>
      </x:c>
      <x:c r="C20" s="58" t="n">
        <x:f>C12*'Scenario Inputs'!$C$27*(1-'Scenario Inputs'!$C$29)</x:f>
        <x:v>18.042</x:v>
      </x:c>
      <x:c r="D20" s="58" t="n">
        <x:f>D12*'Scenario Inputs'!$C$27*(1-'Scenario Inputs'!$C$29)</x:f>
        <x:v>19.508639999999996</x:v>
      </x:c>
      <x:c r="E20" s="58" t="n">
        <x:f>E12*'Scenario Inputs'!$C$27*(1-'Scenario Inputs'!$C$29)</x:f>
        <x:v>26.971276800000002</x:v>
      </x:c>
      <x:c r="F20" s="58" t="n">
        <x:f>F12*'Scenario Inputs'!$C$27*(1-'Scenario Inputs'!$C$29)</x:f>
        <x:v>28.811030016</x:v>
      </x:c>
      <x:c r="G20" s="58" t="n">
        <x:f>G12*'Scenario Inputs'!$C$27*(1-'Scenario Inputs'!$C$29)</x:f>
        <x:v>30.871553617920004</x:v>
      </x:c>
      <x:c r="H20" s="58" t="n">
        <x:f>H12*'Scenario Inputs'!$C$27*(1-'Scenario Inputs'!$C$29)</x:f>
        <x:v>45.78934005207041</x:v>
      </x:c>
      <x:c r="I20" s="58" t="n">
        <x:f>I12*'Scenario Inputs'!$C$27*(1-'Scenario Inputs'!$C$29)</x:f>
        <x:v>48.374060858318856</x:v>
      </x:c>
      <x:c r="J20" s="58" t="n">
        <x:f>J12*'Scenario Inputs'!$C$27*(1-'Scenario Inputs'!$C$29)</x:f>
        <x:v>51.26894816131712</x:v>
      </x:c>
      <x:c r="K20" s="58" t="n">
        <x:f>K12*'Scenario Inputs'!$C$27*(1-'Scenario Inputs'!$C$29)</x:f>
        <x:v>54.511221940675185</x:v>
      </x:c>
      <x:c r="L20" s="58" t="n">
        <x:f>L12*'Scenario Inputs'!$C$27*(1-'Scenario Inputs'!$C$29)</x:f>
        <x:v>58.14256857355621</x:v>
      </x:c>
      <x:c r="M20" s="58" t="n">
        <x:f>M12*'Scenario Inputs'!$C$27*(1-'Scenario Inputs'!$C$29)</x:f>
        <x:v>62.20967680238296</x:v>
      </x:c>
      <x:c r="N20" s="58" t="n">
        <x:f>N12*'Scenario Inputs'!$C$27*(1-'Scenario Inputs'!$C$29)</x:f>
        <x:v>82.05058589329204</x:v>
      </x:c>
      <x:c r="O20" s="58" t="n">
        <x:f>O12*'Scenario Inputs'!$C$27*(1-'Scenario Inputs'!$C$29)</x:f>
        <x:v>82.05058589329204</x:v>
      </x:c>
      <x:c r="P20" s="58" t="n">
        <x:f>P12*'Scenario Inputs'!$C$27*(1-'Scenario Inputs'!$C$29)</x:f>
        <x:v>82.05058589329204</x:v>
      </x:c>
      <x:c r="Q20" s="58" t="n">
        <x:f>Q12*'Scenario Inputs'!$C$27*(1-'Scenario Inputs'!$C$29)</x:f>
        <x:v>82.05058589329204</x:v>
      </x:c>
      <x:c r="R20" s="58" t="n">
        <x:f>R12*'Scenario Inputs'!$C$27*(1-'Scenario Inputs'!$C$29)</x:f>
        <x:v>82.05058589329204</x:v>
      </x:c>
      <x:c r="S20" s="58" t="n">
        <x:f>S12*'Scenario Inputs'!$C$27*(1-'Scenario Inputs'!$C$29)</x:f>
        <x:v>82.05058589329204</x:v>
      </x:c>
      <x:c r="T20" s="58" t="n">
        <x:f>T12*'Scenario Inputs'!$C$27*(1-'Scenario Inputs'!$C$29)</x:f>
        <x:v>104.09604043874658</x:v>
      </x:c>
      <x:c r="U20" s="58" t="n">
        <x:f>U12*'Scenario Inputs'!$C$27*(1-'Scenario Inputs'!$C$29)</x:f>
        <x:v>104.09604043874658</x:v>
      </x:c>
      <x:c r="V20" s="58" t="n">
        <x:f>V12*'Scenario Inputs'!$C$27*(1-'Scenario Inputs'!$C$29)</x:f>
        <x:v>104.09604043874658</x:v>
      </x:c>
      <x:c r="W20" s="58" t="n">
        <x:f>W12*'Scenario Inputs'!$C$27*(1-'Scenario Inputs'!$C$29)</x:f>
        <x:v>104.09604043874658</x:v>
      </x:c>
      <x:c r="X20" s="58" t="n">
        <x:f>X12*'Scenario Inputs'!$C$27*(1-'Scenario Inputs'!$C$29)</x:f>
        <x:v>104.09604043874658</x:v>
      </x:c>
      <x:c r="Y20" s="58" t="n">
        <x:f>Y12*'Scenario Inputs'!$C$27*(1-'Scenario Inputs'!$C$29)</x:f>
        <x:v>104.09604043874658</x:v>
      </x:c>
      <x:c r="Z20" s="58" t="n">
        <x:f>Z12*'Scenario Inputs'!$C$27*(1-'Scenario Inputs'!$C$29)</x:f>
        <x:v>118.1249660585813</x:v>
      </x:c>
      <x:c r="AA20" s="58" t="n">
        <x:f>AA12*'Scenario Inputs'!$C$27*(1-'Scenario Inputs'!$C$29)</x:f>
        <x:v>118.1249660585813</x:v>
      </x:c>
      <x:c r="AB20" s="58" t="n">
        <x:f>AB12*'Scenario Inputs'!$C$27*(1-'Scenario Inputs'!$C$29)</x:f>
        <x:v>118.1249660585813</x:v>
      </x:c>
      <x:c r="AC20" s="58" t="n">
        <x:f>AC12*'Scenario Inputs'!$C$27*(1-'Scenario Inputs'!$C$29)</x:f>
        <x:v>118.1249660585813</x:v>
      </x:c>
      <x:c r="AD20" s="58" t="n">
        <x:f>AD12*'Scenario Inputs'!$C$27*(1-'Scenario Inputs'!$C$29)</x:f>
        <x:v>118.1249660585813</x:v>
      </x:c>
      <x:c r="AE20" s="58" t="n">
        <x:f>AE12*'Scenario Inputs'!$C$27*(1-'Scenario Inputs'!$C$29)</x:f>
        <x:v>118.1249660585813</x:v>
      </x:c>
      <x:c r="AF20" s="58" t="n">
        <x:f>AF12*'Scenario Inputs'!$C$27*(1-'Scenario Inputs'!$C$29)</x:f>
        <x:v>138.16628837263085</x:v>
      </x:c>
      <x:c r="AG20" s="58" t="n">
        <x:f>AG12*'Scenario Inputs'!$C$27*(1-'Scenario Inputs'!$C$29)</x:f>
        <x:v>138.16628837263085</x:v>
      </x:c>
      <x:c r="AH20" s="58" t="n">
        <x:f>AH12*'Scenario Inputs'!$C$27*(1-'Scenario Inputs'!$C$29)</x:f>
        <x:v>138.16628837263085</x:v>
      </x:c>
      <x:c r="AI20" s="58" t="n">
        <x:f>AI12*'Scenario Inputs'!$C$27*(1-'Scenario Inputs'!$C$29)</x:f>
        <x:v>138.16628837263085</x:v>
      </x:c>
      <x:c r="AJ20" s="58" t="n">
        <x:f>AJ12*'Scenario Inputs'!$C$27*(1-'Scenario Inputs'!$C$29)</x:f>
        <x:v>138.16628837263085</x:v>
      </x:c>
      <x:c r="AK20" s="58" t="n">
        <x:f>AK12*'Scenario Inputs'!$C$27*(1-'Scenario Inputs'!$C$29)</x:f>
        <x:v>138.16628837263085</x:v>
      </x:c>
    </x:row>
    <x:row r="21" ht="18" customHeight="1">
      <x:c r="A21" s="4" t="str">
        <x:v>First annual renewals after refunds</x:v>
      </x:c>
      <x:c r="B21" s="58" t="n">
        <x:f>0*'Scenario Inputs'!$C$30*(1-'Scenario Inputs'!$C$29)</x:f>
        <x:v>0</x:v>
      </x:c>
      <x:c r="C21" s="58" t="n">
        <x:f>0*'Scenario Inputs'!$C$30*(1-'Scenario Inputs'!$C$29)</x:f>
        <x:v>0</x:v>
      </x:c>
      <x:c r="D21" s="58" t="n">
        <x:f>0*'Scenario Inputs'!$C$30*(1-'Scenario Inputs'!$C$29)</x:f>
        <x:v>0</x:v>
      </x:c>
      <x:c r="E21" s="58" t="n">
        <x:f>0*'Scenario Inputs'!$C$30*(1-'Scenario Inputs'!$C$29)</x:f>
        <x:v>0</x:v>
      </x:c>
      <x:c r="F21" s="58" t="n">
        <x:f>0*'Scenario Inputs'!$C$30*(1-'Scenario Inputs'!$C$29)</x:f>
        <x:v>0</x:v>
      </x:c>
      <x:c r="G21" s="58" t="n">
        <x:f>0*'Scenario Inputs'!$C$30*(1-'Scenario Inputs'!$C$29)</x:f>
        <x:v>0</x:v>
      </x:c>
      <x:c r="H21" s="58" t="n">
        <x:f>0*'Scenario Inputs'!$C$30*(1-'Scenario Inputs'!$C$29)</x:f>
        <x:v>0</x:v>
      </x:c>
      <x:c r="I21" s="58" t="n">
        <x:f>0*'Scenario Inputs'!$C$30*(1-'Scenario Inputs'!$C$29)</x:f>
        <x:v>0</x:v>
      </x:c>
      <x:c r="J21" s="58" t="n">
        <x:f>0*'Scenario Inputs'!$C$30*(1-'Scenario Inputs'!$C$29)</x:f>
        <x:v>0</x:v>
      </x:c>
      <x:c r="K21" s="58" t="n">
        <x:f>0*'Scenario Inputs'!$C$30*(1-'Scenario Inputs'!$C$29)</x:f>
        <x:v>0</x:v>
      </x:c>
      <x:c r="L21" s="58" t="n">
        <x:f>0*'Scenario Inputs'!$C$30*(1-'Scenario Inputs'!$C$29)</x:f>
        <x:v>0</x:v>
      </x:c>
      <x:c r="M21" s="58" t="n">
        <x:f>0*'Scenario Inputs'!$C$30*(1-'Scenario Inputs'!$C$29)</x:f>
        <x:v>0</x:v>
      </x:c>
      <x:c r="N21" s="58" t="n">
        <x:f>B20*'Scenario Inputs'!$C$30*(1-'Scenario Inputs'!$C$29)</x:f>
        <x:v>4.869157499999999</x:v>
      </x:c>
      <x:c r="O21" s="58" t="n">
        <x:f>C20*'Scenario Inputs'!$C$30*(1-'Scenario Inputs'!$C$29)</x:f>
        <x:v>5.250222</x:v>
      </x:c>
      <x:c r="P21" s="58" t="n">
        <x:f>D20*'Scenario Inputs'!$C$30*(1-'Scenario Inputs'!$C$29)</x:f>
        <x:v>5.677014239999998</x:v>
      </x:c>
      <x:c r="Q21" s="58" t="n">
        <x:f>E20*'Scenario Inputs'!$C$30*(1-'Scenario Inputs'!$C$29)</x:f>
        <x:v>7.8486415488</x:v>
      </x:c>
      <x:c r="R21" s="58" t="n">
        <x:f>F20*'Scenario Inputs'!$C$30*(1-'Scenario Inputs'!$C$29)</x:f>
        <x:v>8.384009734655999</x:v>
      </x:c>
      <x:c r="S21" s="58" t="n">
        <x:f>G20*'Scenario Inputs'!$C$30*(1-'Scenario Inputs'!$C$29)</x:f>
        <x:v>8.983622102814719</x:v>
      </x:c>
      <x:c r="T21" s="58" t="n">
        <x:f>H20*'Scenario Inputs'!$C$30*(1-'Scenario Inputs'!$C$29)</x:f>
        <x:v>13.324697955152487</x:v>
      </x:c>
      <x:c r="U21" s="58" t="n">
        <x:f>I20*'Scenario Inputs'!$C$30*(1-'Scenario Inputs'!$C$29)</x:f>
        <x:v>14.076851709770786</x:v>
      </x:c>
      <x:c r="V21" s="58" t="n">
        <x:f>J20*'Scenario Inputs'!$C$30*(1-'Scenario Inputs'!$C$29)</x:f>
        <x:v>14.919263914943281</x:v>
      </x:c>
      <x:c r="W21" s="58" t="n">
        <x:f>K20*'Scenario Inputs'!$C$30*(1-'Scenario Inputs'!$C$29)</x:f>
        <x:v>15.862765584736477</x:v>
      </x:c>
      <x:c r="X21" s="58" t="n">
        <x:f>L20*'Scenario Inputs'!$C$30*(1-'Scenario Inputs'!$C$29)</x:f>
        <x:v>16.919487454904857</x:v>
      </x:c>
      <x:c r="Y21" s="58" t="n">
        <x:f>M20*'Scenario Inputs'!$C$30*(1-'Scenario Inputs'!$C$29)</x:f>
        <x:v>18.10301594949344</x:v>
      </x:c>
      <x:c r="Z21" s="58" t="n">
        <x:f>N20*'Scenario Inputs'!$C$30*(1-'Scenario Inputs'!$C$29)</x:f>
        <x:v>23.876720494947982</x:v>
      </x:c>
      <x:c r="AA21" s="58" t="n">
        <x:f>O20*'Scenario Inputs'!$C$30*(1-'Scenario Inputs'!$C$29)</x:f>
        <x:v>23.876720494947982</x:v>
      </x:c>
      <x:c r="AB21" s="58" t="n">
        <x:f>P20*'Scenario Inputs'!$C$30*(1-'Scenario Inputs'!$C$29)</x:f>
        <x:v>23.876720494947982</x:v>
      </x:c>
      <x:c r="AC21" s="58" t="n">
        <x:f>Q20*'Scenario Inputs'!$C$30*(1-'Scenario Inputs'!$C$29)</x:f>
        <x:v>23.876720494947982</x:v>
      </x:c>
      <x:c r="AD21" s="58" t="n">
        <x:f>R20*'Scenario Inputs'!$C$30*(1-'Scenario Inputs'!$C$29)</x:f>
        <x:v>23.876720494947982</x:v>
      </x:c>
      <x:c r="AE21" s="58" t="n">
        <x:f>S20*'Scenario Inputs'!$C$30*(1-'Scenario Inputs'!$C$29)</x:f>
        <x:v>23.876720494947982</x:v>
      </x:c>
      <x:c r="AF21" s="58" t="n">
        <x:f>T20*'Scenario Inputs'!$C$30*(1-'Scenario Inputs'!$C$29)</x:f>
        <x:v>30.291947767675254</x:v>
      </x:c>
      <x:c r="AG21" s="58" t="n">
        <x:f>U20*'Scenario Inputs'!$C$30*(1-'Scenario Inputs'!$C$29)</x:f>
        <x:v>30.291947767675254</x:v>
      </x:c>
      <x:c r="AH21" s="58" t="n">
        <x:f>V20*'Scenario Inputs'!$C$30*(1-'Scenario Inputs'!$C$29)</x:f>
        <x:v>30.291947767675254</x:v>
      </x:c>
      <x:c r="AI21" s="58" t="n">
        <x:f>W20*'Scenario Inputs'!$C$30*(1-'Scenario Inputs'!$C$29)</x:f>
        <x:v>30.291947767675254</x:v>
      </x:c>
      <x:c r="AJ21" s="58" t="n">
        <x:f>X20*'Scenario Inputs'!$C$30*(1-'Scenario Inputs'!$C$29)</x:f>
        <x:v>30.291947767675254</x:v>
      </x:c>
      <x:c r="AK21" s="58" t="n">
        <x:f>Y20*'Scenario Inputs'!$C$30*(1-'Scenario Inputs'!$C$29)</x:f>
        <x:v>30.291947767675254</x:v>
      </x:c>
    </x:row>
    <x:row r="22" ht="18" customHeight="1">
      <x:c r="A22" s="4" t="str">
        <x:v>Second annual renewals after refunds</x:v>
      </x:c>
      <x:c r="B22" s="58" t="n">
        <x:f>0*'Scenario Inputs'!$C$31*(1-'Scenario Inputs'!$C$29)</x:f>
        <x:v>0</x:v>
      </x:c>
      <x:c r="C22" s="58" t="n">
        <x:f>0*'Scenario Inputs'!$C$31*(1-'Scenario Inputs'!$C$29)</x:f>
        <x:v>0</x:v>
      </x:c>
      <x:c r="D22" s="58" t="n">
        <x:f>0*'Scenario Inputs'!$C$31*(1-'Scenario Inputs'!$C$29)</x:f>
        <x:v>0</x:v>
      </x:c>
      <x:c r="E22" s="58" t="n">
        <x:f>0*'Scenario Inputs'!$C$31*(1-'Scenario Inputs'!$C$29)</x:f>
        <x:v>0</x:v>
      </x:c>
      <x:c r="F22" s="58" t="n">
        <x:f>0*'Scenario Inputs'!$C$31*(1-'Scenario Inputs'!$C$29)</x:f>
        <x:v>0</x:v>
      </x:c>
      <x:c r="G22" s="58" t="n">
        <x:f>0*'Scenario Inputs'!$C$31*(1-'Scenario Inputs'!$C$29)</x:f>
        <x:v>0</x:v>
      </x:c>
      <x:c r="H22" s="58" t="n">
        <x:f>0*'Scenario Inputs'!$C$31*(1-'Scenario Inputs'!$C$29)</x:f>
        <x:v>0</x:v>
      </x:c>
      <x:c r="I22" s="58" t="n">
        <x:f>0*'Scenario Inputs'!$C$31*(1-'Scenario Inputs'!$C$29)</x:f>
        <x:v>0</x:v>
      </x:c>
      <x:c r="J22" s="58" t="n">
        <x:f>0*'Scenario Inputs'!$C$31*(1-'Scenario Inputs'!$C$29)</x:f>
        <x:v>0</x:v>
      </x:c>
      <x:c r="K22" s="58" t="n">
        <x:f>0*'Scenario Inputs'!$C$31*(1-'Scenario Inputs'!$C$29)</x:f>
        <x:v>0</x:v>
      </x:c>
      <x:c r="L22" s="58" t="n">
        <x:f>0*'Scenario Inputs'!$C$31*(1-'Scenario Inputs'!$C$29)</x:f>
        <x:v>0</x:v>
      </x:c>
      <x:c r="M22" s="58" t="n">
        <x:f>0*'Scenario Inputs'!$C$31*(1-'Scenario Inputs'!$C$29)</x:f>
        <x:v>0</x:v>
      </x:c>
      <x:c r="N22" s="58" t="n">
        <x:f>B21*'Scenario Inputs'!$C$31*(1-'Scenario Inputs'!$C$29)</x:f>
        <x:v>0</x:v>
      </x:c>
      <x:c r="O22" s="58" t="n">
        <x:f>C21*'Scenario Inputs'!$C$31*(1-'Scenario Inputs'!$C$29)</x:f>
        <x:v>0</x:v>
      </x:c>
      <x:c r="P22" s="58" t="n">
        <x:f>D21*'Scenario Inputs'!$C$31*(1-'Scenario Inputs'!$C$29)</x:f>
        <x:v>0</x:v>
      </x:c>
      <x:c r="Q22" s="58" t="n">
        <x:f>E21*'Scenario Inputs'!$C$31*(1-'Scenario Inputs'!$C$29)</x:f>
        <x:v>0</x:v>
      </x:c>
      <x:c r="R22" s="58" t="n">
        <x:f>F21*'Scenario Inputs'!$C$31*(1-'Scenario Inputs'!$C$29)</x:f>
        <x:v>0</x:v>
      </x:c>
      <x:c r="S22" s="58" t="n">
        <x:f>G21*'Scenario Inputs'!$C$31*(1-'Scenario Inputs'!$C$29)</x:f>
        <x:v>0</x:v>
      </x:c>
      <x:c r="T22" s="58" t="n">
        <x:f>H21*'Scenario Inputs'!$C$31*(1-'Scenario Inputs'!$C$29)</x:f>
        <x:v>0</x:v>
      </x:c>
      <x:c r="U22" s="58" t="n">
        <x:f>I21*'Scenario Inputs'!$C$31*(1-'Scenario Inputs'!$C$29)</x:f>
        <x:v>0</x:v>
      </x:c>
      <x:c r="V22" s="58" t="n">
        <x:f>J21*'Scenario Inputs'!$C$31*(1-'Scenario Inputs'!$C$29)</x:f>
        <x:v>0</x:v>
      </x:c>
      <x:c r="W22" s="58" t="n">
        <x:f>K21*'Scenario Inputs'!$C$31*(1-'Scenario Inputs'!$C$29)</x:f>
        <x:v>0</x:v>
      </x:c>
      <x:c r="X22" s="58" t="n">
        <x:f>L21*'Scenario Inputs'!$C$31*(1-'Scenario Inputs'!$C$29)</x:f>
        <x:v>0</x:v>
      </x:c>
      <x:c r="Y22" s="58" t="n">
        <x:f>M21*'Scenario Inputs'!$C$31*(1-'Scenario Inputs'!$C$29)</x:f>
        <x:v>0</x:v>
      </x:c>
      <x:c r="Z22" s="58" t="n">
        <x:f>N21*'Scenario Inputs'!$C$31*(1-'Scenario Inputs'!$C$29)</x:f>
        <x:v>2.59769552625</x:v>
      </x:c>
      <x:c r="AA22" s="58" t="n">
        <x:f>O21*'Scenario Inputs'!$C$31*(1-'Scenario Inputs'!$C$29)</x:f>
        <x:v>2.8009934370000003</x:v>
      </x:c>
      <x:c r="AB22" s="58" t="n">
        <x:f>P21*'Scenario Inputs'!$C$31*(1-'Scenario Inputs'!$C$29)</x:f>
        <x:v>3.0286870970399993</x:v>
      </x:c>
      <x:c r="AC22" s="58" t="n">
        <x:f>Q21*'Scenario Inputs'!$C$31*(1-'Scenario Inputs'!$C$29)</x:f>
        <x:v>4.1872502662848</x:v>
      </x:c>
      <x:c r="AD22" s="58" t="n">
        <x:f>R21*'Scenario Inputs'!$C$31*(1-'Scenario Inputs'!$C$29)</x:f>
        <x:v>4.472869193438976</x:v>
      </x:c>
      <x:c r="AE22" s="58" t="n">
        <x:f>S21*'Scenario Inputs'!$C$31*(1-'Scenario Inputs'!$C$29)</x:f>
        <x:v>4.792762391851653</x:v>
      </x:c>
      <x:c r="AF22" s="58" t="n">
        <x:f>T21*'Scenario Inputs'!$C$31*(1-'Scenario Inputs'!$C$29)</x:f>
        <x:v>7.108726359073852</x:v>
      </x:c>
      <x:c r="AG22" s="58" t="n">
        <x:f>U21*'Scenario Inputs'!$C$31*(1-'Scenario Inputs'!$C$29)</x:f>
        <x:v>7.510000387162715</x:v>
      </x:c>
      <x:c r="AH22" s="58" t="n">
        <x:f>V21*'Scenario Inputs'!$C$31*(1-'Scenario Inputs'!$C$29)</x:f>
        <x:v>7.959427298622241</x:v>
      </x:c>
      <x:c r="AI22" s="58" t="n">
        <x:f>W21*'Scenario Inputs'!$C$31*(1-'Scenario Inputs'!$C$29)</x:f>
        <x:v>8.46278543945691</x:v>
      </x:c>
      <x:c r="AJ22" s="58" t="n">
        <x:f>X21*'Scenario Inputs'!$C$31*(1-'Scenario Inputs'!$C$29)</x:f>
        <x:v>9.026546557191743</x:v>
      </x:c>
      <x:c r="AK22" s="58" t="n">
        <x:f>Y21*'Scenario Inputs'!$C$31*(1-'Scenario Inputs'!$C$29)</x:f>
        <x:v>9.65795900905475</x:v>
      </x:c>
    </x:row>
    <x:row r="23" ht="18" customHeight="1">
      <x:c r="A23" s="4" t="str">
        <x:v>Annual terms ending this month</x:v>
      </x:c>
      <x:c r="B23" s="58" t="n">
        <x:f>0+0+0</x:f>
        <x:v>0</x:v>
      </x:c>
      <x:c r="C23" s="58" t="n">
        <x:f>0+0+0</x:f>
        <x:v>0</x:v>
      </x:c>
      <x:c r="D23" s="58" t="n">
        <x:f>0+0+0</x:f>
        <x:v>0</x:v>
      </x:c>
      <x:c r="E23" s="58" t="n">
        <x:f>0+0+0</x:f>
        <x:v>0</x:v>
      </x:c>
      <x:c r="F23" s="58" t="n">
        <x:f>0+0+0</x:f>
        <x:v>0</x:v>
      </x:c>
      <x:c r="G23" s="58" t="n">
        <x:f>0+0+0</x:f>
        <x:v>0</x:v>
      </x:c>
      <x:c r="H23" s="58" t="n">
        <x:f>0+0+0</x:f>
        <x:v>0</x:v>
      </x:c>
      <x:c r="I23" s="58" t="n">
        <x:f>0+0+0</x:f>
        <x:v>0</x:v>
      </x:c>
      <x:c r="J23" s="58" t="n">
        <x:f>0+0+0</x:f>
        <x:v>0</x:v>
      </x:c>
      <x:c r="K23" s="58" t="n">
        <x:f>0+0+0</x:f>
        <x:v>0</x:v>
      </x:c>
      <x:c r="L23" s="58" t="n">
        <x:f>0+0+0</x:f>
        <x:v>0</x:v>
      </x:c>
      <x:c r="M23" s="58" t="n">
        <x:f>0+0+0</x:f>
        <x:v>0</x:v>
      </x:c>
      <x:c r="N23" s="58" t="n">
        <x:f>B20+B21+B22</x:f>
        <x:v>16.732499999999998</x:v>
      </x:c>
      <x:c r="O23" s="58" t="n">
        <x:f>C20+C21+C22</x:f>
        <x:v>18.042</x:v>
      </x:c>
      <x:c r="P23" s="58" t="n">
        <x:f>D20+D21+D22</x:f>
        <x:v>19.508639999999996</x:v>
      </x:c>
      <x:c r="Q23" s="58" t="n">
        <x:f>E20+E21+E22</x:f>
        <x:v>26.971276800000002</x:v>
      </x:c>
      <x:c r="R23" s="58" t="n">
        <x:f>F20+F21+F22</x:f>
        <x:v>28.811030016</x:v>
      </x:c>
      <x:c r="S23" s="58" t="n">
        <x:f>G20+G21+G22</x:f>
        <x:v>30.871553617920004</x:v>
      </x:c>
      <x:c r="T23" s="58" t="n">
        <x:f>H20+H21+H22</x:f>
        <x:v>45.78934005207041</x:v>
      </x:c>
      <x:c r="U23" s="58" t="n">
        <x:f>I20+I21+I22</x:f>
        <x:v>48.374060858318856</x:v>
      </x:c>
      <x:c r="V23" s="58" t="n">
        <x:f>J20+J21+J22</x:f>
        <x:v>51.26894816131712</x:v>
      </x:c>
      <x:c r="W23" s="58" t="n">
        <x:f>K20+K21+K22</x:f>
        <x:v>54.511221940675185</x:v>
      </x:c>
      <x:c r="X23" s="58" t="n">
        <x:f>L20+L21+L22</x:f>
        <x:v>58.14256857355621</x:v>
      </x:c>
      <x:c r="Y23" s="58" t="n">
        <x:f>M20+M21+M22</x:f>
        <x:v>62.20967680238296</x:v>
      </x:c>
      <x:c r="Z23" s="58" t="n">
        <x:f>N20+N21+N22</x:f>
        <x:v>86.91974339329204</x:v>
      </x:c>
      <x:c r="AA23" s="58" t="n">
        <x:f>O20+O21+O22</x:f>
        <x:v>87.30080789329203</x:v>
      </x:c>
      <x:c r="AB23" s="58" t="n">
        <x:f>P20+P21+P22</x:f>
        <x:v>87.72760013329204</x:v>
      </x:c>
      <x:c r="AC23" s="58" t="n">
        <x:f>Q20+Q21+Q22</x:f>
        <x:v>89.89922744209204</x:v>
      </x:c>
      <x:c r="AD23" s="58" t="n">
        <x:f>R20+R21+R22</x:f>
        <x:v>90.43459562794804</x:v>
      </x:c>
      <x:c r="AE23" s="58" t="n">
        <x:f>S20+S21+S22</x:f>
        <x:v>91.03420799610676</x:v>
      </x:c>
      <x:c r="AF23" s="58" t="n">
        <x:f>T20+T21+T22</x:f>
        <x:v>117.42073839389907</x:v>
      </x:c>
      <x:c r="AG23" s="58" t="n">
        <x:f>U20+U21+U22</x:f>
        <x:v>118.17289214851738</x:v>
      </x:c>
      <x:c r="AH23" s="58" t="n">
        <x:f>V20+V21+V22</x:f>
        <x:v>119.01530435368987</x:v>
      </x:c>
      <x:c r="AI23" s="58" t="n">
        <x:f>W20+W21+W22</x:f>
        <x:v>119.95880602348306</x:v>
      </x:c>
      <x:c r="AJ23" s="58" t="n">
        <x:f>X20+X21+X22</x:f>
        <x:v>121.01552789365144</x:v>
      </x:c>
      <x:c r="AK23" s="58" t="n">
        <x:f>Y20+Y21+Y22</x:f>
        <x:v>122.19905638824002</x:v>
      </x:c>
    </x:row>
    <x:row r="24" ht="18" customHeight="1">
      <x:c r="A24" s="74" t="str">
        <x:v>ACTIVE ANNUAL SUBSCRIBERS</x:v>
      </x:c>
      <x:c r="B24" s="75" t="n">
        <x:f>0+SUM(B20:B22)-B23</x:f>
        <x:v>16.732499999999998</x:v>
      </x:c>
      <x:c r="C24" s="75" t="n">
        <x:f>B24+SUM(C20:C22)-C23</x:f>
        <x:v>34.7745</x:v>
      </x:c>
      <x:c r="D24" s="75" t="n">
        <x:f>C24+SUM(D20:D22)-D23</x:f>
        <x:v>54.28314</x:v>
      </x:c>
      <x:c r="E24" s="75" t="n">
        <x:f>D24+SUM(E20:E22)-E23</x:f>
        <x:v>81.2544168</x:v>
      </x:c>
      <x:c r="F24" s="75" t="n">
        <x:f>E24+SUM(F20:F22)-F23</x:f>
        <x:v>110.065446816</x:v>
      </x:c>
      <x:c r="G24" s="75" t="n">
        <x:f>F24+SUM(G20:G22)-G23</x:f>
        <x:v>140.93700043392002</x:v>
      </x:c>
      <x:c r="H24" s="75" t="n">
        <x:f>G24+SUM(H20:H22)-H23</x:f>
        <x:v>186.72634048599042</x:v>
      </x:c>
      <x:c r="I24" s="75" t="n">
        <x:f>H24+SUM(I20:I22)-I23</x:f>
        <x:v>235.10040134430926</x:v>
      </x:c>
      <x:c r="J24" s="75" t="n">
        <x:f>I24+SUM(J20:J22)-J23</x:f>
        <x:v>286.36934950562636</x:v>
      </x:c>
      <x:c r="K24" s="75" t="n">
        <x:f>J24+SUM(K20:K22)-K23</x:f>
        <x:v>340.88057144630153</x:v>
      </x:c>
      <x:c r="L24" s="75" t="n">
        <x:f>K24+SUM(L20:L22)-L23</x:f>
        <x:v>399.02314001985775</x:v>
      </x:c>
      <x:c r="M24" s="75" t="n">
        <x:f>L24+SUM(M20:M22)-M23</x:f>
        <x:v>461.2328168222407</x:v>
      </x:c>
      <x:c r="N24" s="75" t="n">
        <x:f>M24+SUM(N20:N22)-N23</x:f>
        <x:v>531.4200602155328</x:v>
      </x:c>
      <x:c r="O24" s="75" t="n">
        <x:f>N24+SUM(O20:O22)-O23</x:f>
        <x:v>600.6788681088248</x:v>
      </x:c>
      <x:c r="P24" s="75" t="n">
        <x:f>O24+SUM(P20:P22)-P23</x:f>
        <x:v>668.8978282421168</x:v>
      </x:c>
      <x:c r="Q24" s="75" t="n">
        <x:f>P24+SUM(Q20:Q22)-Q23</x:f>
        <x:v>731.8257788842088</x:v>
      </x:c>
      <x:c r="R24" s="75" t="n">
        <x:f>Q24+SUM(R20:R22)-R23</x:f>
        <x:v>793.4493444961569</x:v>
      </x:c>
      <x:c r="S24" s="75" t="n">
        <x:f>R24+SUM(S20:S22)-S23</x:f>
        <x:v>853.6119988743436</x:v>
      </x:c>
      <x:c r="T24" s="75" t="n">
        <x:f>S24+SUM(T20:T22)-T23</x:f>
        <x:v>925.2433972161723</x:v>
      </x:c>
      <x:c r="U24" s="75" t="n">
        <x:f>T24+SUM(U20:U22)-U23</x:f>
        <x:v>995.0422285063707</x:v>
      </x:c>
      <x:c r="V24" s="75" t="n">
        <x:f>U24+SUM(V20:V22)-V23</x:f>
        <x:v>1062.7885846987433</x:v>
      </x:c>
      <x:c r="W24" s="75" t="n">
        <x:f>V24+SUM(W20:W22)-W23</x:f>
        <x:v>1128.2361687815512</x:v>
      </x:c>
      <x:c r="X24" s="75" t="n">
        <x:f>W24+SUM(X20:X22)-X23</x:f>
        <x:v>1191.1091281016465</x:v>
      </x:c>
      <x:c r="Y24" s="75" t="n">
        <x:f>X24+SUM(Y20:Y22)-Y23</x:f>
        <x:v>1251.0985076875036</x:v>
      </x:c>
      <x:c r="Z24" s="75" t="n">
        <x:f>Y24+SUM(Z20:Z22)-Z23</x:f>
        <x:v>1308.778146373991</x:v>
      </x:c>
      <x:c r="AA24" s="75" t="n">
        <x:f>Z24+SUM(AA20:AA22)-AA23</x:f>
        <x:v>1366.280018471228</x:v>
      </x:c>
      <x:c r="AB24" s="75" t="n">
        <x:f>AA24+SUM(AB20:AB22)-AB23</x:f>
        <x:v>1423.5827919885053</x:v>
      </x:c>
      <x:c r="AC24" s="75" t="n">
        <x:f>AB24+SUM(AC20:AC22)-AC23</x:f>
        <x:v>1479.8725013662272</x:v>
      </x:c>
      <x:c r="AD24" s="75" t="n">
        <x:f>AC24+SUM(AD20:AD22)-AD23</x:f>
        <x:v>1535.9124614852474</x:v>
      </x:c>
      <x:c r="AE24" s="75" t="n">
        <x:f>AD24+SUM(AE20:AE22)-AE23</x:f>
        <x:v>1591.6727024345216</x:v>
      </x:c>
      <x:c r="AF24" s="75" t="n">
        <x:f>AE24+SUM(AF20:AF22)-AF23</x:f>
        <x:v>1649.8189265400026</x:v>
      </x:c>
      <x:c r="AG24" s="75" t="n">
        <x:f>AF24+SUM(AG20:AG22)-AG23</x:f>
        <x:v>1707.6142709189542</x:v>
      </x:c>
      <x:c r="AH24" s="75" t="n">
        <x:f>AG24+SUM(AH20:AH22)-AH23</x:f>
        <x:v>1765.0166300041928</x:v>
      </x:c>
      <x:c r="AI24" s="75" t="n">
        <x:f>AH24+SUM(AI20:AI22)-AI23</x:f>
        <x:v>1821.9788455604728</x:v>
      </x:c>
      <x:c r="AJ24" s="75" t="n">
        <x:f>AI24+SUM(AJ20:AJ22)-AJ23</x:f>
        <x:v>1878.448100364319</x:v>
      </x:c>
      <x:c r="AK24" s="75" t="n">
        <x:f>AJ24+SUM(AK20:AK22)-AK23</x:f>
        <x:v>1934.36523912544</x:v>
      </x:c>
    </x:row>
    <x:row r="25" ht="18" customHeight="1">
      <x:c r="A25" s="4" t="str">
        <x:v>Annual charge events before refunds</x:v>
      </x:c>
      <x:c r="B25" s="58" t="n">
        <x:f>SUM(B20:B22)/(1-'Scenario Inputs'!$C$29)</x:f>
        <x:v>17.25</x:v>
      </x:c>
      <x:c r="C25" s="58" t="n">
        <x:f>SUM(C20:C22)/(1-'Scenario Inputs'!$C$29)</x:f>
        <x:v>18.6</x:v>
      </x:c>
      <x:c r="D25" s="58" t="n">
        <x:f>SUM(D20:D22)/(1-'Scenario Inputs'!$C$29)</x:f>
        <x:v>20.112</x:v>
      </x:c>
      <x:c r="E25" s="58" t="n">
        <x:f>SUM(E20:E22)/(1-'Scenario Inputs'!$C$29)</x:f>
        <x:v>27.805440000000004</x:v>
      </x:c>
      <x:c r="F25" s="58" t="n">
        <x:f>SUM(F20:F22)/(1-'Scenario Inputs'!$C$29)</x:f>
        <x:v>29.702092800000003</x:v>
      </x:c>
      <x:c r="G25" s="58" t="n">
        <x:f>SUM(G20:G22)/(1-'Scenario Inputs'!$C$29)</x:f>
        <x:v>31.826343936000004</x:v>
      </x:c>
      <x:c r="H25" s="58" t="n">
        <x:f>SUM(H20:H22)/(1-'Scenario Inputs'!$C$29)</x:f>
        <x:v>47.20550520832001</x:v>
      </x:c>
      <x:c r="I25" s="58" t="n">
        <x:f>SUM(I20:I22)/(1-'Scenario Inputs'!$C$29)</x:f>
        <x:v>49.87016583331841</x:v>
      </x:c>
      <x:c r="J25" s="58" t="n">
        <x:f>SUM(J20:J22)/(1-'Scenario Inputs'!$C$29)</x:f>
        <x:v>52.85458573331662</x:v>
      </x:c>
      <x:c r="K25" s="58" t="n">
        <x:f>SUM(K20:K22)/(1-'Scenario Inputs'!$C$29)</x:f>
        <x:v>56.19713602131463</x:v>
      </x:c>
      <x:c r="L25" s="58" t="n">
        <x:f>SUM(L20:L22)/(1-'Scenario Inputs'!$C$29)</x:f>
        <x:v>59.94079234387238</x:v>
      </x:c>
      <x:c r="M25" s="58" t="n">
        <x:f>SUM(M20:M22)/(1-'Scenario Inputs'!$C$29)</x:f>
        <x:v>64.13368742513707</x:v>
      </x:c>
      <x:c r="N25" s="58" t="n">
        <x:f>SUM(N20:N22)/(1-'Scenario Inputs'!$C$29)</x:f>
        <x:v>89.60798287968251</x:v>
      </x:c>
      <x:c r="O25" s="58" t="n">
        <x:f>SUM(O20:O22)/(1-'Scenario Inputs'!$C$29)</x:f>
        <x:v>90.0008328796825</x:v>
      </x:c>
      <x:c r="P25" s="58" t="n">
        <x:f>SUM(P20:P22)/(1-'Scenario Inputs'!$C$29)</x:f>
        <x:v>90.44082487968252</x:v>
      </x:c>
      <x:c r="Q25" s="58" t="n">
        <x:f>SUM(Q20:Q22)/(1-'Scenario Inputs'!$C$29)</x:f>
        <x:v>92.67961591968252</x:v>
      </x:c>
      <x:c r="R25" s="58" t="n">
        <x:f>SUM(R20:R22)/(1-'Scenario Inputs'!$C$29)</x:f>
        <x:v>93.23154188448252</x:v>
      </x:c>
      <x:c r="S25" s="58" t="n">
        <x:f>SUM(S20:S22)/(1-'Scenario Inputs'!$C$29)</x:f>
        <x:v>93.84969896505852</x:v>
      </x:c>
      <x:c r="T25" s="58" t="n">
        <x:f>SUM(T20:T22)/(1-'Scenario Inputs'!$C$29)</x:f>
        <x:v>121.05230762257636</x:v>
      </x:c>
      <x:c r="U25" s="58" t="n">
        <x:f>SUM(U20:U22)/(1-'Scenario Inputs'!$C$29)</x:f>
        <x:v>121.8277238644509</x:v>
      </x:c>
      <x:c r="V25" s="58" t="n">
        <x:f>SUM(V20:V22)/(1-'Scenario Inputs'!$C$29)</x:f>
        <x:v>122.69619005535039</x:v>
      </x:c>
      <x:c r="W25" s="58" t="n">
        <x:f>SUM(W20:W22)/(1-'Scenario Inputs'!$C$29)</x:f>
        <x:v>123.6688721891578</x:v>
      </x:c>
      <x:c r="X25" s="58" t="n">
        <x:f>SUM(X20:X22)/(1-'Scenario Inputs'!$C$29)</x:f>
        <x:v>124.7582761790221</x:v>
      </x:c>
      <x:c r="Y25" s="58" t="n">
        <x:f>SUM(Y20:Y22)/(1-'Scenario Inputs'!$C$29)</x:f>
        <x:v>125.97840864767014</x:v>
      </x:c>
      <x:c r="Z25" s="58" t="n">
        <x:f>SUM(Z20:Z22)/(1-'Scenario Inputs'!$C$29)</x:f>
        <x:v>149.07152791729823</x:v>
      </x:c>
      <x:c r="AA25" s="58" t="n">
        <x:f>SUM(AA20:AA22)/(1-'Scenario Inputs'!$C$29)</x:f>
        <x:v>149.2811133922982</x:v>
      </x:c>
      <x:c r="AB25" s="58" t="n">
        <x:f>SUM(AB20:AB22)/(1-'Scenario Inputs'!$C$29)</x:f>
        <x:v>149.51584912429823</x:v>
      </x:c>
      <x:c r="AC25" s="58" t="n">
        <x:f>SUM(AC20:AC22)/(1-'Scenario Inputs'!$C$29)</x:f>
        <x:v>150.71024414413822</x:v>
      </x:c>
      <x:c r="AD25" s="58" t="n">
        <x:f>SUM(AD20:AD22)/(1-'Scenario Inputs'!$C$29)</x:f>
        <x:v>151.00469664635904</x:v>
      </x:c>
      <x:c r="AE25" s="58" t="n">
        <x:f>SUM(AE20:AE22)/(1-'Scenario Inputs'!$C$29)</x:f>
        <x:v>151.33448344884633</x:v>
      </x:c>
      <x:c r="AF25" s="58" t="n">
        <x:f>SUM(AF20:AF22)/(1-'Scenario Inputs'!$C$29)</x:f>
        <x:v>180.9968685560618</x:v>
      </x:c>
      <x:c r="AG25" s="58" t="n">
        <x:f>SUM(AG20:AG22)/(1-'Scenario Inputs'!$C$29)</x:f>
        <x:v>181.41055312110186</x:v>
      </x:c>
      <x:c r="AH25" s="58" t="n">
        <x:f>SUM(AH20:AH22)/(1-'Scenario Inputs'!$C$29)</x:f>
        <x:v>181.87387983394675</x:v>
      </x:c>
      <x:c r="AI25" s="58" t="n">
        <x:f>SUM(AI20:AI22)/(1-'Scenario Inputs'!$C$29)</x:f>
        <x:v>182.392805752333</x:v>
      </x:c>
      <x:c r="AJ25" s="58" t="n">
        <x:f>SUM(AJ20:AJ22)/(1-'Scenario Inputs'!$C$29)</x:f>
        <x:v>182.97400278092562</x:v>
      </x:c>
      <x:c r="AK25" s="58" t="n">
        <x:f>SUM(AK20:AK22)/(1-'Scenario Inputs'!$C$29)</x:f>
        <x:v>183.62494345294934</x:v>
      </x:c>
    </x:row>
    <x:row r="26" ht="18" customHeight="1">
      <x:c r="A26" s="4" t="str"/>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row>
    <x:row r="27" ht="18" customHeight="1">
      <x:c r="A27" s="4" t="str">
        <x:v>New monthly payers after refunds</x:v>
      </x:c>
      <x:c r="B27" s="58" t="n">
        <x:f>B12*(1-'Scenario Inputs'!$C$27)*(1-'Scenario Inputs'!$C$29)</x:f>
        <x:v>5.5775</x:v>
      </x:c>
      <x:c r="C27" s="58" t="n">
        <x:f>C12*(1-'Scenario Inputs'!$C$27)*(1-'Scenario Inputs'!$C$29)</x:f>
        <x:v>6.014</x:v>
      </x:c>
      <x:c r="D27" s="58" t="n">
        <x:f>D12*(1-'Scenario Inputs'!$C$27)*(1-'Scenario Inputs'!$C$29)</x:f>
        <x:v>6.502879999999999</x:v>
      </x:c>
      <x:c r="E27" s="58" t="n">
        <x:f>E12*(1-'Scenario Inputs'!$C$27)*(1-'Scenario Inputs'!$C$29)</x:f>
        <x:v>8.9904256</x:v>
      </x:c>
      <x:c r="F27" s="58" t="n">
        <x:f>F12*(1-'Scenario Inputs'!$C$27)*(1-'Scenario Inputs'!$C$29)</x:f>
        <x:v>9.603676672</x:v>
      </x:c>
      <x:c r="G27" s="58" t="n">
        <x:f>G12*(1-'Scenario Inputs'!$C$27)*(1-'Scenario Inputs'!$C$29)</x:f>
        <x:v>10.29051787264</x:v>
      </x:c>
      <x:c r="H27" s="58" t="n">
        <x:f>H12*(1-'Scenario Inputs'!$C$27)*(1-'Scenario Inputs'!$C$29)</x:f>
        <x:v>15.263113350690137</x:v>
      </x:c>
      <x:c r="I27" s="58" t="n">
        <x:f>I12*(1-'Scenario Inputs'!$C$27)*(1-'Scenario Inputs'!$C$29)</x:f>
        <x:v>16.12468695277295</x:v>
      </x:c>
      <x:c r="J27" s="58" t="n">
        <x:f>J12*(1-'Scenario Inputs'!$C$27)*(1-'Scenario Inputs'!$C$29)</x:f>
        <x:v>17.089649387105705</x:v>
      </x:c>
      <x:c r="K27" s="58" t="n">
        <x:f>K12*(1-'Scenario Inputs'!$C$27)*(1-'Scenario Inputs'!$C$29)</x:f>
        <x:v>18.170407313558396</x:v>
      </x:c>
      <x:c r="L27" s="58" t="n">
        <x:f>L12*(1-'Scenario Inputs'!$C$27)*(1-'Scenario Inputs'!$C$29)</x:f>
        <x:v>19.3808561911854</x:v>
      </x:c>
      <x:c r="M27" s="58" t="n">
        <x:f>M12*(1-'Scenario Inputs'!$C$27)*(1-'Scenario Inputs'!$C$29)</x:f>
        <x:v>20.73655893412765</x:v>
      </x:c>
      <x:c r="N27" s="58" t="n">
        <x:f>N12*(1-'Scenario Inputs'!$C$27)*(1-'Scenario Inputs'!$C$29)</x:f>
        <x:v>27.350195297764017</x:v>
      </x:c>
      <x:c r="O27" s="58" t="n">
        <x:f>O12*(1-'Scenario Inputs'!$C$27)*(1-'Scenario Inputs'!$C$29)</x:f>
        <x:v>27.350195297764017</x:v>
      </x:c>
      <x:c r="P27" s="58" t="n">
        <x:f>P12*(1-'Scenario Inputs'!$C$27)*(1-'Scenario Inputs'!$C$29)</x:f>
        <x:v>27.350195297764017</x:v>
      </x:c>
      <x:c r="Q27" s="58" t="n">
        <x:f>Q12*(1-'Scenario Inputs'!$C$27)*(1-'Scenario Inputs'!$C$29)</x:f>
        <x:v>27.350195297764017</x:v>
      </x:c>
      <x:c r="R27" s="58" t="n">
        <x:f>R12*(1-'Scenario Inputs'!$C$27)*(1-'Scenario Inputs'!$C$29)</x:f>
        <x:v>27.350195297764017</x:v>
      </x:c>
      <x:c r="S27" s="58" t="n">
        <x:f>S12*(1-'Scenario Inputs'!$C$27)*(1-'Scenario Inputs'!$C$29)</x:f>
        <x:v>27.350195297764017</x:v>
      </x:c>
      <x:c r="T27" s="58" t="n">
        <x:f>T12*(1-'Scenario Inputs'!$C$27)*(1-'Scenario Inputs'!$C$29)</x:f>
        <x:v>34.69868014624886</x:v>
      </x:c>
      <x:c r="U27" s="58" t="n">
        <x:f>U12*(1-'Scenario Inputs'!$C$27)*(1-'Scenario Inputs'!$C$29)</x:f>
        <x:v>34.69868014624886</x:v>
      </x:c>
      <x:c r="V27" s="58" t="n">
        <x:f>V12*(1-'Scenario Inputs'!$C$27)*(1-'Scenario Inputs'!$C$29)</x:f>
        <x:v>34.69868014624886</x:v>
      </x:c>
      <x:c r="W27" s="58" t="n">
        <x:f>W12*(1-'Scenario Inputs'!$C$27)*(1-'Scenario Inputs'!$C$29)</x:f>
        <x:v>34.69868014624886</x:v>
      </x:c>
      <x:c r="X27" s="58" t="n">
        <x:f>X12*(1-'Scenario Inputs'!$C$27)*(1-'Scenario Inputs'!$C$29)</x:f>
        <x:v>34.69868014624886</x:v>
      </x:c>
      <x:c r="Y27" s="58" t="n">
        <x:f>Y12*(1-'Scenario Inputs'!$C$27)*(1-'Scenario Inputs'!$C$29)</x:f>
        <x:v>34.69868014624886</x:v>
      </x:c>
      <x:c r="Z27" s="58" t="n">
        <x:f>Z12*(1-'Scenario Inputs'!$C$27)*(1-'Scenario Inputs'!$C$29)</x:f>
        <x:v>39.37498868619377</x:v>
      </x:c>
      <x:c r="AA27" s="58" t="n">
        <x:f>AA12*(1-'Scenario Inputs'!$C$27)*(1-'Scenario Inputs'!$C$29)</x:f>
        <x:v>39.37498868619377</x:v>
      </x:c>
      <x:c r="AB27" s="58" t="n">
        <x:f>AB12*(1-'Scenario Inputs'!$C$27)*(1-'Scenario Inputs'!$C$29)</x:f>
        <x:v>39.37498868619377</x:v>
      </x:c>
      <x:c r="AC27" s="58" t="n">
        <x:f>AC12*(1-'Scenario Inputs'!$C$27)*(1-'Scenario Inputs'!$C$29)</x:f>
        <x:v>39.37498868619377</x:v>
      </x:c>
      <x:c r="AD27" s="58" t="n">
        <x:f>AD12*(1-'Scenario Inputs'!$C$27)*(1-'Scenario Inputs'!$C$29)</x:f>
        <x:v>39.37498868619377</x:v>
      </x:c>
      <x:c r="AE27" s="58" t="n">
        <x:f>AE12*(1-'Scenario Inputs'!$C$27)*(1-'Scenario Inputs'!$C$29)</x:f>
        <x:v>39.37498868619377</x:v>
      </x:c>
      <x:c r="AF27" s="58" t="n">
        <x:f>AF12*(1-'Scenario Inputs'!$C$27)*(1-'Scenario Inputs'!$C$29)</x:f>
        <x:v>46.055429457543624</x:v>
      </x:c>
      <x:c r="AG27" s="58" t="n">
        <x:f>AG12*(1-'Scenario Inputs'!$C$27)*(1-'Scenario Inputs'!$C$29)</x:f>
        <x:v>46.055429457543624</x:v>
      </x:c>
      <x:c r="AH27" s="58" t="n">
        <x:f>AH12*(1-'Scenario Inputs'!$C$27)*(1-'Scenario Inputs'!$C$29)</x:f>
        <x:v>46.055429457543624</x:v>
      </x:c>
      <x:c r="AI27" s="58" t="n">
        <x:f>AI12*(1-'Scenario Inputs'!$C$27)*(1-'Scenario Inputs'!$C$29)</x:f>
        <x:v>46.055429457543624</x:v>
      </x:c>
      <x:c r="AJ27" s="58" t="n">
        <x:f>AJ12*(1-'Scenario Inputs'!$C$27)*(1-'Scenario Inputs'!$C$29)</x:f>
        <x:v>46.055429457543624</x:v>
      </x:c>
      <x:c r="AK27" s="58" t="n">
        <x:f>AK12*(1-'Scenario Inputs'!$C$27)*(1-'Scenario Inputs'!$C$29)</x:f>
        <x:v>46.055429457543624</x:v>
      </x:c>
    </x:row>
    <x:row r="28" ht="18" customHeight="1">
      <x:c r="A28" s="4" t="str">
        <x:v>First monthly renewals after refunds</x:v>
      </x:c>
      <x:c r="B28" s="58" t="n">
        <x:f>0*'Scenario Inputs'!$C$32*(1-'Scenario Inputs'!$C$29)</x:f>
        <x:v>0</x:v>
      </x:c>
      <x:c r="C28" s="58" t="n">
        <x:f>B27*'Scenario Inputs'!$C$32*(1-'Scenario Inputs'!$C$29)</x:f>
        <x:v>3.2461049999999996</x:v>
      </x:c>
      <x:c r="D28" s="58" t="n">
        <x:f>C27*'Scenario Inputs'!$C$32*(1-'Scenario Inputs'!$C$29)</x:f>
        <x:v>3.500148</x:v>
      </x:c>
      <x:c r="E28" s="58" t="n">
        <x:f>D27*'Scenario Inputs'!$C$32*(1-'Scenario Inputs'!$C$29)</x:f>
        <x:v>3.784676159999999</x:v>
      </x:c>
      <x:c r="F28" s="58" t="n">
        <x:f>E27*'Scenario Inputs'!$C$32*(1-'Scenario Inputs'!$C$29)</x:f>
        <x:v>5.2324276992</x:v>
      </x:c>
      <x:c r="G28" s="58" t="n">
        <x:f>F27*'Scenario Inputs'!$C$32*(1-'Scenario Inputs'!$C$29)</x:f>
        <x:v>5.589339823104</x:v>
      </x:c>
      <x:c r="H28" s="58" t="n">
        <x:f>G27*'Scenario Inputs'!$C$32*(1-'Scenario Inputs'!$C$29)</x:f>
        <x:v>5.98908140187648</x:v>
      </x:c>
      <x:c r="I28" s="58" t="n">
        <x:f>H27*'Scenario Inputs'!$C$32*(1-'Scenario Inputs'!$C$29)</x:f>
        <x:v>8.88313197010166</x:v>
      </x:c>
      <x:c r="J28" s="58" t="n">
        <x:f>I27*'Scenario Inputs'!$C$32*(1-'Scenario Inputs'!$C$29)</x:f>
        <x:v>9.384567806513857</x:v>
      </x:c>
      <x:c r="K28" s="58" t="n">
        <x:f>J27*'Scenario Inputs'!$C$32*(1-'Scenario Inputs'!$C$29)</x:f>
        <x:v>9.94617594329552</x:v>
      </x:c>
      <x:c r="L28" s="58" t="n">
        <x:f>K27*'Scenario Inputs'!$C$32*(1-'Scenario Inputs'!$C$29)</x:f>
        <x:v>10.575177056490984</x:v>
      </x:c>
      <x:c r="M28" s="58" t="n">
        <x:f>L27*'Scenario Inputs'!$C$32*(1-'Scenario Inputs'!$C$29)</x:f>
        <x:v>11.279658303269903</x:v>
      </x:c>
      <x:c r="N28" s="58" t="n">
        <x:f>M27*'Scenario Inputs'!$C$32*(1-'Scenario Inputs'!$C$29)</x:f>
        <x:v>12.068677299662292</x:v>
      </x:c>
      <x:c r="O28" s="58" t="n">
        <x:f>N27*'Scenario Inputs'!$C$32*(1-'Scenario Inputs'!$C$29)</x:f>
        <x:v>15.917813663298658</x:v>
      </x:c>
      <x:c r="P28" s="58" t="n">
        <x:f>O27*'Scenario Inputs'!$C$32*(1-'Scenario Inputs'!$C$29)</x:f>
        <x:v>15.917813663298658</x:v>
      </x:c>
      <x:c r="Q28" s="58" t="n">
        <x:f>P27*'Scenario Inputs'!$C$32*(1-'Scenario Inputs'!$C$29)</x:f>
        <x:v>15.917813663298658</x:v>
      </x:c>
      <x:c r="R28" s="58" t="n">
        <x:f>Q27*'Scenario Inputs'!$C$32*(1-'Scenario Inputs'!$C$29)</x:f>
        <x:v>15.917813663298658</x:v>
      </x:c>
      <x:c r="S28" s="58" t="n">
        <x:f>R27*'Scenario Inputs'!$C$32*(1-'Scenario Inputs'!$C$29)</x:f>
        <x:v>15.917813663298658</x:v>
      </x:c>
      <x:c r="T28" s="58" t="n">
        <x:f>S27*'Scenario Inputs'!$C$32*(1-'Scenario Inputs'!$C$29)</x:f>
        <x:v>15.917813663298658</x:v>
      </x:c>
      <x:c r="U28" s="58" t="n">
        <x:f>T27*'Scenario Inputs'!$C$32*(1-'Scenario Inputs'!$C$29)</x:f>
        <x:v>20.194631845116838</x:v>
      </x:c>
      <x:c r="V28" s="58" t="n">
        <x:f>U27*'Scenario Inputs'!$C$32*(1-'Scenario Inputs'!$C$29)</x:f>
        <x:v>20.194631845116838</x:v>
      </x:c>
      <x:c r="W28" s="58" t="n">
        <x:f>V27*'Scenario Inputs'!$C$32*(1-'Scenario Inputs'!$C$29)</x:f>
        <x:v>20.194631845116838</x:v>
      </x:c>
      <x:c r="X28" s="58" t="n">
        <x:f>W27*'Scenario Inputs'!$C$32*(1-'Scenario Inputs'!$C$29)</x:f>
        <x:v>20.194631845116838</x:v>
      </x:c>
      <x:c r="Y28" s="58" t="n">
        <x:f>X27*'Scenario Inputs'!$C$32*(1-'Scenario Inputs'!$C$29)</x:f>
        <x:v>20.194631845116838</x:v>
      </x:c>
      <x:c r="Z28" s="58" t="n">
        <x:f>Y27*'Scenario Inputs'!$C$32*(1-'Scenario Inputs'!$C$29)</x:f>
        <x:v>20.194631845116838</x:v>
      </x:c>
      <x:c r="AA28" s="58" t="n">
        <x:f>Z27*'Scenario Inputs'!$C$32*(1-'Scenario Inputs'!$C$29)</x:f>
        <x:v>22.91624341536477</x:v>
      </x:c>
      <x:c r="AB28" s="58" t="n">
        <x:f>AA27*'Scenario Inputs'!$C$32*(1-'Scenario Inputs'!$C$29)</x:f>
        <x:v>22.91624341536477</x:v>
      </x:c>
      <x:c r="AC28" s="58" t="n">
        <x:f>AB27*'Scenario Inputs'!$C$32*(1-'Scenario Inputs'!$C$29)</x:f>
        <x:v>22.91624341536477</x:v>
      </x:c>
      <x:c r="AD28" s="58" t="n">
        <x:f>AC27*'Scenario Inputs'!$C$32*(1-'Scenario Inputs'!$C$29)</x:f>
        <x:v>22.91624341536477</x:v>
      </x:c>
      <x:c r="AE28" s="58" t="n">
        <x:f>AD27*'Scenario Inputs'!$C$32*(1-'Scenario Inputs'!$C$29)</x:f>
        <x:v>22.91624341536477</x:v>
      </x:c>
      <x:c r="AF28" s="58" t="n">
        <x:f>AE27*'Scenario Inputs'!$C$32*(1-'Scenario Inputs'!$C$29)</x:f>
        <x:v>22.91624341536477</x:v>
      </x:c>
      <x:c r="AG28" s="58" t="n">
        <x:f>AF27*'Scenario Inputs'!$C$32*(1-'Scenario Inputs'!$C$29)</x:f>
        <x:v>26.804259944290386</x:v>
      </x:c>
      <x:c r="AH28" s="58" t="n">
        <x:f>AG27*'Scenario Inputs'!$C$32*(1-'Scenario Inputs'!$C$29)</x:f>
        <x:v>26.804259944290386</x:v>
      </x:c>
      <x:c r="AI28" s="58" t="n">
        <x:f>AH27*'Scenario Inputs'!$C$32*(1-'Scenario Inputs'!$C$29)</x:f>
        <x:v>26.804259944290386</x:v>
      </x:c>
      <x:c r="AJ28" s="58" t="n">
        <x:f>AI27*'Scenario Inputs'!$C$32*(1-'Scenario Inputs'!$C$29)</x:f>
        <x:v>26.804259944290386</x:v>
      </x:c>
      <x:c r="AK28" s="58" t="n">
        <x:f>AJ27*'Scenario Inputs'!$C$32*(1-'Scenario Inputs'!$C$29)</x:f>
        <x:v>26.804259944290386</x:v>
      </x:c>
    </x:row>
    <x:row r="29" ht="18" customHeight="1">
      <x:c r="A29" s="4" t="str">
        <x:v>Second monthly renewals after refunds</x:v>
      </x:c>
      <x:c r="B29" s="58" t="n">
        <x:f>0*'Scenario Inputs'!$C$33*(1-'Scenario Inputs'!$C$29)</x:f>
        <x:v>0</x:v>
      </x:c>
      <x:c r="C29" s="58" t="n">
        <x:f>B28*'Scenario Inputs'!$C$33*(1-'Scenario Inputs'!$C$29)</x:f>
        <x:v>0</x:v>
      </x:c>
      <x:c r="D29" s="58" t="n">
        <x:f>C28*'Scenario Inputs'!$C$33*(1-'Scenario Inputs'!$C$29)</x:f>
        <x:v>2.3615413874999995</x:v>
      </x:c>
      <x:c r="E29" s="58" t="n">
        <x:f>D28*'Scenario Inputs'!$C$33*(1-'Scenario Inputs'!$C$29)</x:f>
        <x:v>2.54635767</x:v>
      </x:c>
      <x:c r="F29" s="58" t="n">
        <x:f>E28*'Scenario Inputs'!$C$33*(1-'Scenario Inputs'!$C$29)</x:f>
        <x:v>2.753351906399999</x:v>
      </x:c>
      <x:c r="G29" s="58" t="n">
        <x:f>F28*'Scenario Inputs'!$C$33*(1-'Scenario Inputs'!$C$29)</x:f>
        <x:v>3.806591151168</x:v>
      </x:c>
      <x:c r="H29" s="58" t="n">
        <x:f>G28*'Scenario Inputs'!$C$33*(1-'Scenario Inputs'!$C$29)</x:f>
        <x:v>4.06624472130816</x:v>
      </x:c>
      <x:c r="I29" s="58" t="n">
        <x:f>H28*'Scenario Inputs'!$C$33*(1-'Scenario Inputs'!$C$29)</x:f>
        <x:v>4.357056719865139</x:v>
      </x:c>
      <x:c r="J29" s="58" t="n">
        <x:f>I28*'Scenario Inputs'!$C$33*(1-'Scenario Inputs'!$C$29)</x:f>
        <x:v>6.4624785082489575</x:v>
      </x:c>
      <x:c r="K29" s="58" t="n">
        <x:f>J28*'Scenario Inputs'!$C$33*(1-'Scenario Inputs'!$C$29)</x:f>
        <x:v>6.8272730792388305</x:v>
      </x:c>
      <x:c r="L29" s="58" t="n">
        <x:f>K28*'Scenario Inputs'!$C$33*(1-'Scenario Inputs'!$C$29)</x:f>
        <x:v>7.23584299874749</x:v>
      </x:c>
      <x:c r="M29" s="58" t="n">
        <x:f>L28*'Scenario Inputs'!$C$33*(1-'Scenario Inputs'!$C$29)</x:f>
        <x:v>7.69344130859719</x:v>
      </x:c>
      <x:c r="N29" s="58" t="n">
        <x:f>M28*'Scenario Inputs'!$C$33*(1-'Scenario Inputs'!$C$29)</x:f>
        <x:v>8.205951415628853</x:v>
      </x:c>
      <x:c r="O29" s="58" t="n">
        <x:f>N28*'Scenario Inputs'!$C$33*(1-'Scenario Inputs'!$C$29)</x:f>
        <x:v>8.779962735504318</x:v>
      </x:c>
      <x:c r="P29" s="58" t="n">
        <x:f>O28*'Scenario Inputs'!$C$33*(1-'Scenario Inputs'!$C$29)</x:f>
        <x:v>11.580209440049773</x:v>
      </x:c>
      <x:c r="Q29" s="58" t="n">
        <x:f>P28*'Scenario Inputs'!$C$33*(1-'Scenario Inputs'!$C$29)</x:f>
        <x:v>11.580209440049773</x:v>
      </x:c>
      <x:c r="R29" s="58" t="n">
        <x:f>Q28*'Scenario Inputs'!$C$33*(1-'Scenario Inputs'!$C$29)</x:f>
        <x:v>11.580209440049773</x:v>
      </x:c>
      <x:c r="S29" s="58" t="n">
        <x:f>R28*'Scenario Inputs'!$C$33*(1-'Scenario Inputs'!$C$29)</x:f>
        <x:v>11.580209440049773</x:v>
      </x:c>
      <x:c r="T29" s="58" t="n">
        <x:f>S28*'Scenario Inputs'!$C$33*(1-'Scenario Inputs'!$C$29)</x:f>
        <x:v>11.580209440049773</x:v>
      </x:c>
      <x:c r="U29" s="58" t="n">
        <x:f>T28*'Scenario Inputs'!$C$33*(1-'Scenario Inputs'!$C$29)</x:f>
        <x:v>11.580209440049773</x:v>
      </x:c>
      <x:c r="V29" s="58" t="n">
        <x:f>U28*'Scenario Inputs'!$C$33*(1-'Scenario Inputs'!$C$29)</x:f>
        <x:v>14.6915946673225</x:v>
      </x:c>
      <x:c r="W29" s="58" t="n">
        <x:f>V28*'Scenario Inputs'!$C$33*(1-'Scenario Inputs'!$C$29)</x:f>
        <x:v>14.6915946673225</x:v>
      </x:c>
      <x:c r="X29" s="58" t="n">
        <x:f>W28*'Scenario Inputs'!$C$33*(1-'Scenario Inputs'!$C$29)</x:f>
        <x:v>14.6915946673225</x:v>
      </x:c>
      <x:c r="Y29" s="58" t="n">
        <x:f>X28*'Scenario Inputs'!$C$33*(1-'Scenario Inputs'!$C$29)</x:f>
        <x:v>14.6915946673225</x:v>
      </x:c>
      <x:c r="Z29" s="58" t="n">
        <x:f>Y28*'Scenario Inputs'!$C$33*(1-'Scenario Inputs'!$C$29)</x:f>
        <x:v>14.6915946673225</x:v>
      </x:c>
      <x:c r="AA29" s="58" t="n">
        <x:f>Z28*'Scenario Inputs'!$C$33*(1-'Scenario Inputs'!$C$29)</x:f>
        <x:v>14.6915946673225</x:v>
      </x:c>
      <x:c r="AB29" s="58" t="n">
        <x:f>AA28*'Scenario Inputs'!$C$33*(1-'Scenario Inputs'!$C$29)</x:f>
        <x:v>16.67156708467787</x:v>
      </x:c>
      <x:c r="AC29" s="58" t="n">
        <x:f>AB28*'Scenario Inputs'!$C$33*(1-'Scenario Inputs'!$C$29)</x:f>
        <x:v>16.67156708467787</x:v>
      </x:c>
      <x:c r="AD29" s="58" t="n">
        <x:f>AC28*'Scenario Inputs'!$C$33*(1-'Scenario Inputs'!$C$29)</x:f>
        <x:v>16.67156708467787</x:v>
      </x:c>
      <x:c r="AE29" s="58" t="n">
        <x:f>AD28*'Scenario Inputs'!$C$33*(1-'Scenario Inputs'!$C$29)</x:f>
        <x:v>16.67156708467787</x:v>
      </x:c>
      <x:c r="AF29" s="58" t="n">
        <x:f>AE28*'Scenario Inputs'!$C$33*(1-'Scenario Inputs'!$C$29)</x:f>
        <x:v>16.67156708467787</x:v>
      </x:c>
      <x:c r="AG29" s="58" t="n">
        <x:f>AF28*'Scenario Inputs'!$C$33*(1-'Scenario Inputs'!$C$29)</x:f>
        <x:v>16.67156708467787</x:v>
      </x:c>
      <x:c r="AH29" s="58" t="n">
        <x:f>AG28*'Scenario Inputs'!$C$33*(1-'Scenario Inputs'!$C$29)</x:f>
        <x:v>19.500099109471257</x:v>
      </x:c>
      <x:c r="AI29" s="58" t="n">
        <x:f>AH28*'Scenario Inputs'!$C$33*(1-'Scenario Inputs'!$C$29)</x:f>
        <x:v>19.500099109471257</x:v>
      </x:c>
      <x:c r="AJ29" s="58" t="n">
        <x:f>AI28*'Scenario Inputs'!$C$33*(1-'Scenario Inputs'!$C$29)</x:f>
        <x:v>19.500099109471257</x:v>
      </x:c>
      <x:c r="AK29" s="58" t="n">
        <x:f>AJ28*'Scenario Inputs'!$C$33*(1-'Scenario Inputs'!$C$29)</x:f>
        <x:v>19.500099109471257</x:v>
      </x:c>
    </x:row>
    <x:row r="30" ht="18" customHeight="1">
      <x:c r="A30" s="4" t="str">
        <x:v>Later monthly renewals after refunds</x:v>
      </x:c>
      <x:c r="B30" s="58" t="n">
        <x:f>(0+0)*'Scenario Inputs'!$C$34*(1-'Scenario Inputs'!$C$29)</x:f>
        <x:v>0</x:v>
      </x:c>
      <x:c r="C30" s="58" t="n">
        <x:f>(B29+B30)*'Scenario Inputs'!$C$34*(1-'Scenario Inputs'!$C$29)</x:f>
        <x:v>0</x:v>
      </x:c>
      <x:c r="D30" s="58" t="n">
        <x:f>(C29+C30)*'Scenario Inputs'!$C$34*(1-'Scenario Inputs'!$C$29)</x:f>
        <x:v>0</x:v>
      </x:c>
      <x:c r="E30" s="58" t="n">
        <x:f>(D29+D30)*'Scenario Inputs'!$C$34*(1-'Scenario Inputs'!$C$29)</x:f>
        <x:v>2.0158117283699997</x:v>
      </x:c>
      <x:c r="F30" s="58" t="n">
        <x:f>(E29+E30)*'Scenario Inputs'!$C$34*(1-'Scenario Inputs'!$C$29)</x:f>
        <x:v>3.8942677984486314</x:v>
      </x:c>
      <x:c r="G30" s="58" t="n">
        <x:f>(F29+F30)*'Scenario Inputs'!$C$34*(1-'Scenario Inputs'!$C$29)</x:f>
        <x:v>5.67440818005879</x:v>
      </x:c>
      <x:c r="H30" s="58" t="n">
        <x:f>(G29+G30)*'Scenario Inputs'!$C$34*(1-'Scenario Inputs'!$C$29)</x:f>
        <x:v>8.092981029135188</x:v>
      </x:c>
      <x:c r="I30" s="58" t="n">
        <x:f>(H29+H30)*'Scenario Inputs'!$C$34*(1-'Scenario Inputs'!$C$29)</x:f>
        <x:v>10.379115100578442</x:v>
      </x:c>
      <x:c r="J30" s="58" t="n">
        <x:f>(I29+I30)*'Scenario Inputs'!$C$34*(1-'Scenario Inputs'!$C$29)</x:f>
        <x:v>12.57879626593064</x:v>
      </x:c>
      <x:c r="K30" s="58" t="n">
        <x:f>(J29+J30)*'Scenario Inputs'!$C$34*(1-'Scenario Inputs'!$C$29)</x:f>
        <x:v>16.253632147239706</x:v>
      </x:c>
      <x:c r="L30" s="58" t="n">
        <x:f>(K29+K30)*'Scenario Inputs'!$C$34*(1-'Scenario Inputs'!$C$29)</x:f>
        <x:v>19.70186070132208</x:v>
      </x:c>
      <x:c r="M30" s="58" t="n">
        <x:f>(L29+L30)*'Scenario Inputs'!$C$34*(1-'Scenario Inputs'!$C$29)</x:f>
        <x:v>22.994023878379384</x:v>
      </x:c>
      <x:c r="N30" s="58" t="n">
        <x:f>(M29+M30)*'Scenario Inputs'!$C$34*(1-'Scenario Inputs'!$C$29)</x:f>
        <x:v>26.194820283603203</x:v>
      </x:c>
      <x:c r="O30" s="58" t="n">
        <x:f>(N29+N30)*'Scenario Inputs'!$C$34*(1-'Scenario Inputs'!$C$29)</x:f>
        <x:v>29.36449872246448</x:v>
      </x:c>
      <x:c r="P30" s="58" t="n">
        <x:f>(O29+O30)*'Scenario Inputs'!$C$34*(1-'Scenario Inputs'!$C$29)</x:f>
        <x:v>32.560112300522164</x:v>
      </x:c>
      <x:c r="Q30" s="58" t="n">
        <x:f>(P29+P30)*'Scenario Inputs'!$C$34*(1-'Scenario Inputs'!$C$29)</x:f>
        <x:v>37.678178637752204</x:v>
      </x:c>
      <x:c r="R30" s="58" t="n">
        <x:f>(Q29+Q30)*'Scenario Inputs'!$C$34*(1-'Scenario Inputs'!$C$29)</x:f>
        <x:v>42.04696006321176</x:v>
      </x:c>
      <x:c r="S30" s="58" t="n">
        <x:f>(R29+R30)*'Scenario Inputs'!$C$34*(1-'Scenario Inputs'!$C$29)</x:f>
        <x:v>45.77615188798405</x:v>
      </x:c>
      <x:c r="T30" s="58" t="n">
        <x:f>(S29+S30)*'Scenario Inputs'!$C$34*(1-'Scenario Inputs'!$C$29)</x:f>
        <x:v>48.95939002960967</x:v>
      </x:c>
      <x:c r="U30" s="58" t="n">
        <x:f>(T29+T30)*'Scenario Inputs'!$C$34*(1-'Scenario Inputs'!$C$29)</x:f>
        <x:v>51.6766021073013</x:v>
      </x:c>
      <x:c r="V30" s="58" t="n">
        <x:f>(U29+U30)*'Scenario Inputs'!$C$34*(1-'Scenario Inputs'!$C$29)</x:f>
        <x:v>53.996014336818874</x:v>
      </x:c>
      <x:c r="W30" s="58" t="n">
        <x:f>(V29+V30)*'Scenario Inputs'!$C$34*(1-'Scenario Inputs'!$C$29)</x:f>
        <x:v>58.63174304593508</x:v>
      </x:c>
      <x:c r="X30" s="58" t="n">
        <x:f>(W29+W30)*'Scenario Inputs'!$C$34*(1-'Scenario Inputs'!$C$29)</x:f>
        <x:v>62.58880107203668</x:v>
      </x:c>
      <x:c r="Y30" s="58" t="n">
        <x:f>(X29+X30)*'Scenario Inputs'!$C$34*(1-'Scenario Inputs'!$C$29)</x:f>
        <x:v>65.966545803117</x:v>
      </x:c>
      <x:c r="Z30" s="58" t="n">
        <x:f>(Y29+Y30)*'Scenario Inputs'!$C$34*(1-'Scenario Inputs'!$C$29)</x:f>
        <x:v>68.84978870556716</x:v>
      </x:c>
      <x:c r="AA30" s="58" t="n">
        <x:f>(Z29+Z30)*'Scenario Inputs'!$C$34*(1-'Scenario Inputs'!$C$29)</x:f>
        <x:v>71.31092484709862</x:v>
      </x:c>
      <x:c r="AB30" s="58" t="n">
        <x:f>(AA29+AA30)*'Scenario Inputs'!$C$34*(1-'Scenario Inputs'!$C$29)</x:f>
        <x:v>73.41175065750987</x:v>
      </x:c>
      <x:c r="AC30" s="58" t="n">
        <x:f>(AB29+AB30)*'Scenario Inputs'!$C$34*(1-'Scenario Inputs'!$C$29)</x:f>
        <x:v>76.89512002473145</x:v>
      </x:c>
      <x:c r="AD30" s="58" t="n">
        <x:f>(AC29+AC30)*'Scenario Inputs'!$C$34*(1-'Scenario Inputs'!$C$29)</x:f>
        <x:v>79.8685241165918</x:v>
      </x:c>
      <x:c r="AE30" s="58" t="n">
        <x:f>(AD29+AD30)*'Scenario Inputs'!$C$34*(1-'Scenario Inputs'!$C$29)</x:f>
        <x:v>82.40662184940379</x:v>
      </x:c>
      <x:c r="AF30" s="58" t="n">
        <x:f>(AE29+AE30)*'Scenario Inputs'!$C$34*(1-'Scenario Inputs'!$C$29)</x:f>
        <x:v>84.57314207413211</x:v>
      </x:c>
      <x:c r="AG30" s="58" t="n">
        <x:f>(AF29+AF30)*'Scenario Inputs'!$C$34*(1-'Scenario Inputs'!$C$29)</x:f>
        <x:v>86.4224837379602</x:v>
      </x:c>
      <x:c r="AH30" s="58" t="n">
        <x:f>(AG29+AG30)*'Scenario Inputs'!$C$34*(1-'Scenario Inputs'!$C$29)</x:f>
        <x:v>88.00108178220387</x:v>
      </x:c>
      <x:c r="AI30" s="58" t="n">
        <x:f>(AH29+AH30)*'Scenario Inputs'!$C$34*(1-'Scenario Inputs'!$C$29)</x:f>
        <x:v>91.76300800913388</x:v>
      </x:c>
      <x:c r="AJ30" s="58" t="n">
        <x:f>(AI29+AI30)*'Scenario Inputs'!$C$34*(1-'Scenario Inputs'!$C$29)</x:f>
        <x:v>94.97418823644135</x:v>
      </x:c>
      <x:c r="AK30" s="58" t="n">
        <x:f>(AJ29+AJ30)*'Scenario Inputs'!$C$34*(1-'Scenario Inputs'!$C$29)</x:f>
        <x:v>97.715251678471</x:v>
      </x:c>
    </x:row>
    <x:row r="31" ht="18" customHeight="1">
      <x:c r="A31" s="74" t="str">
        <x:v>ACTIVE MONTHLY SUBSCRIBERS</x:v>
      </x:c>
      <x:c r="B31" s="75" t="n">
        <x:f>SUM(B27:B30)</x:f>
        <x:v>5.5775</x:v>
      </x:c>
      <x:c r="C31" s="75" t="n">
        <x:f>SUM(C27:C30)</x:f>
        <x:v>9.260105</x:v>
      </x:c>
      <x:c r="D31" s="75" t="n">
        <x:f>SUM(D27:D30)</x:f>
        <x:v>12.364569387499998</x:v>
      </x:c>
      <x:c r="E31" s="75" t="n">
        <x:f>SUM(E27:E30)</x:f>
        <x:v>17.337271158369997</x:v>
      </x:c>
      <x:c r="F31" s="75" t="n">
        <x:f>SUM(F27:F30)</x:f>
        <x:v>21.48372407604863</x:v>
      </x:c>
      <x:c r="G31" s="75" t="n">
        <x:f>SUM(G27:G30)</x:f>
        <x:v>25.36085702697079</x:v>
      </x:c>
      <x:c r="H31" s="75" t="n">
        <x:f>SUM(H27:H30)</x:f>
        <x:v>33.411420503009964</x:v>
      </x:c>
      <x:c r="I31" s="75" t="n">
        <x:f>SUM(I27:I30)</x:f>
        <x:v>39.74399074331819</x:v>
      </x:c>
      <x:c r="J31" s="75" t="n">
        <x:f>SUM(J27:J30)</x:f>
        <x:v>45.515491967799164</x:v>
      </x:c>
      <x:c r="K31" s="75" t="n">
        <x:f>SUM(K27:K30)</x:f>
        <x:v>51.19748848333245</x:v>
      </x:c>
      <x:c r="L31" s="75" t="n">
        <x:f>SUM(L27:L30)</x:f>
        <x:v>56.89373694774595</x:v>
      </x:c>
      <x:c r="M31" s="75" t="n">
        <x:f>SUM(M27:M30)</x:f>
        <x:v>62.70368242437412</x:v>
      </x:c>
      <x:c r="N31" s="75" t="n">
        <x:f>SUM(N27:N30)</x:f>
        <x:v>73.81964429665837</x:v>
      </x:c>
      <x:c r="O31" s="75" t="n">
        <x:f>SUM(O27:O30)</x:f>
        <x:v>81.41247041903148</x:v>
      </x:c>
      <x:c r="P31" s="75" t="n">
        <x:f>SUM(P27:P30)</x:f>
        <x:v>87.40833070163461</x:v>
      </x:c>
      <x:c r="Q31" s="75" t="n">
        <x:f>SUM(Q27:Q30)</x:f>
        <x:v>92.52639703886464</x:v>
      </x:c>
      <x:c r="R31" s="75" t="n">
        <x:f>SUM(R27:R30)</x:f>
        <x:v>96.8951784643242</x:v>
      </x:c>
      <x:c r="S31" s="75" t="n">
        <x:f>SUM(S27:S30)</x:f>
        <x:v>100.6243702890965</x:v>
      </x:c>
      <x:c r="T31" s="75" t="n">
        <x:f>SUM(T27:T30)</x:f>
        <x:v>111.15609327920697</x:v>
      </x:c>
      <x:c r="U31" s="75" t="n">
        <x:f>SUM(U27:U30)</x:f>
        <x:v>118.15012353871677</x:v>
      </x:c>
      <x:c r="V31" s="75" t="n">
        <x:f>SUM(V27:V30)</x:f>
        <x:v>123.58092099550707</x:v>
      </x:c>
      <x:c r="W31" s="75" t="n">
        <x:f>SUM(W27:W30)</x:f>
        <x:v>128.21664970462328</x:v>
      </x:c>
      <x:c r="X31" s="75" t="n">
        <x:f>SUM(X27:X30)</x:f>
        <x:v>132.17370773072489</x:v>
      </x:c>
      <x:c r="Y31" s="75" t="n">
        <x:f>SUM(Y27:Y30)</x:f>
        <x:v>135.55145246180518</x:v>
      </x:c>
      <x:c r="Z31" s="75" t="n">
        <x:f>SUM(Z27:Z30)</x:f>
        <x:v>143.1110039042003</x:v>
      </x:c>
      <x:c r="AA31" s="75" t="n">
        <x:f>SUM(AA27:AA30)</x:f>
        <x:v>148.29375161597966</x:v>
      </x:c>
      <x:c r="AB31" s="75" t="n">
        <x:f>SUM(AB27:AB30)</x:f>
        <x:v>152.37454984374628</x:v>
      </x:c>
      <x:c r="AC31" s="75" t="n">
        <x:f>SUM(AC27:AC30)</x:f>
        <x:v>155.85791921096785</x:v>
      </x:c>
      <x:c r="AD31" s="75" t="n">
        <x:f>SUM(AD27:AD30)</x:f>
        <x:v>158.8313233028282</x:v>
      </x:c>
      <x:c r="AE31" s="75" t="n">
        <x:f>SUM(AE27:AE30)</x:f>
        <x:v>161.3694210356402</x:v>
      </x:c>
      <x:c r="AF31" s="75" t="n">
        <x:f>SUM(AF27:AF30)</x:f>
        <x:v>170.21638203171838</x:v>
      </x:c>
      <x:c r="AG31" s="75" t="n">
        <x:f>SUM(AG27:AG30)</x:f>
        <x:v>175.95374022447209</x:v>
      </x:c>
      <x:c r="AH31" s="75" t="n">
        <x:f>SUM(AH27:AH30)</x:f>
        <x:v>180.36087029350912</x:v>
      </x:c>
      <x:c r="AI31" s="75" t="n">
        <x:f>SUM(AI27:AI30)</x:f>
        <x:v>184.12279652043912</x:v>
      </x:c>
      <x:c r="AJ31" s="75" t="n">
        <x:f>SUM(AJ27:AJ30)</x:f>
        <x:v>187.3339767477466</x:v>
      </x:c>
      <x:c r="AK31" s="75" t="n">
        <x:f>SUM(AK27:AK30)</x:f>
        <x:v>190.07504018977625</x:v>
      </x:c>
    </x:row>
    <x:row r="32" ht="18" customHeight="1">
      <x:c r="A32" s="4" t="str">
        <x:v>Monthly charge events before refunds</x:v>
      </x:c>
      <x:c r="B32" s="58" t="n">
        <x:f>B31/(1-'Scenario Inputs'!$C$29)</x:f>
        <x:v>5.75</x:v>
      </x:c>
      <x:c r="C32" s="58" t="n">
        <x:f>C31/(1-'Scenario Inputs'!$C$29)</x:f>
        <x:v>9.5465</x:v>
      </x:c>
      <x:c r="D32" s="58" t="n">
        <x:f>D31/(1-'Scenario Inputs'!$C$29)</x:f>
        <x:v>12.746978749999998</x:v>
      </x:c>
      <x:c r="E32" s="58" t="n">
        <x:f>E31/(1-'Scenario Inputs'!$C$29)</x:f>
        <x:v>17.873475421</x:v>
      </x:c>
      <x:c r="F32" s="58" t="n">
        <x:f>F31/(1-'Scenario Inputs'!$C$29)</x:f>
        <x:v>22.1481691505656</x:v>
      </x:c>
      <x:c r="G32" s="58" t="n">
        <x:f>G31/(1-'Scenario Inputs'!$C$29)</x:f>
        <x:v>26.145213429866796</x:v>
      </x:c>
      <x:c r="H32" s="58" t="n">
        <x:f>H31/(1-'Scenario Inputs'!$C$29)</x:f>
        <x:v>34.44476340516491</x:v>
      </x:c>
      <x:c r="I32" s="58" t="n">
        <x:f>I31/(1-'Scenario Inputs'!$C$29)</x:f>
        <x:v>40.97318633331773</x:v>
      </x:c>
      <x:c r="J32" s="58" t="n">
        <x:f>J31/(1-'Scenario Inputs'!$C$29)</x:f>
        <x:v>46.92318759566924</x:v>
      </x:c>
      <x:c r="K32" s="58" t="n">
        <x:f>K31/(1-'Scenario Inputs'!$C$29)</x:f>
        <x:v>52.78091596219841</x:v>
      </x:c>
      <x:c r="L32" s="58" t="n">
        <x:f>L31/(1-'Scenario Inputs'!$C$29)</x:f>
        <x:v>58.65333705953191</x:v>
      </x:c>
      <x:c r="M32" s="58" t="n">
        <x:f>M31/(1-'Scenario Inputs'!$C$29)</x:f>
        <x:v>64.64297157151971</x:v>
      </x:c>
      <x:c r="N32" s="58" t="n">
        <x:f>N31/(1-'Scenario Inputs'!$C$29)</x:f>
        <x:v>76.10272607902925</x:v>
      </x:c>
      <x:c r="O32" s="58" t="n">
        <x:f>O31/(1-'Scenario Inputs'!$C$29)</x:f>
        <x:v>83.93038187529018</x:v>
      </x:c>
      <x:c r="P32" s="58" t="n">
        <x:f>P31/(1-'Scenario Inputs'!$C$29)</x:f>
        <x:v>90.1116811357058</x:v>
      </x:c>
      <x:c r="Q32" s="58" t="n">
        <x:f>Q31/(1-'Scenario Inputs'!$C$29)</x:f>
        <x:v>95.38803818439655</x:v>
      </x:c>
      <x:c r="R32" s="58" t="n">
        <x:f>R31/(1-'Scenario Inputs'!$C$29)</x:f>
        <x:v>99.89193656115897</x:v>
      </x:c>
      <x:c r="S32" s="58" t="n">
        <x:f>S31/(1-'Scenario Inputs'!$C$29)</x:f>
        <x:v>103.73646421556342</x:v>
      </x:c>
      <x:c r="T32" s="58" t="n">
        <x:f>T31/(1-'Scenario Inputs'!$C$29)</x:f>
        <x:v>114.5939105971206</x:v>
      </x:c>
      <x:c r="U32" s="58" t="n">
        <x:f>U31/(1-'Scenario Inputs'!$C$29)</x:f>
        <x:v>121.80425107084203</x:v>
      </x:c>
      <x:c r="V32" s="58" t="n">
        <x:f>V31/(1-'Scenario Inputs'!$C$29)</x:f>
        <x:v>127.4030113355743</x:v>
      </x:c>
      <x:c r="W32" s="58" t="n">
        <x:f>W31/(1-'Scenario Inputs'!$C$29)</x:f>
        <x:v>132.18211309754977</x:v>
      </x:c>
      <x:c r="X32" s="58" t="n">
        <x:f>X31/(1-'Scenario Inputs'!$C$29)</x:f>
        <x:v>136.26155436157205</x:v>
      </x:c>
      <x:c r="Y32" s="58" t="n">
        <x:f>Y31/(1-'Scenario Inputs'!$C$29)</x:f>
        <x:v>139.74376542454144</x:v>
      </x:c>
      <x:c r="Z32" s="58" t="n">
        <x:f>Z31/(1-'Scenario Inputs'!$C$29)</x:f>
        <x:v>147.5371174270106</x:v>
      </x:c>
      <x:c r="AA32" s="58" t="n">
        <x:f>AA31/(1-'Scenario Inputs'!$C$29)</x:f>
        <x:v>152.88015630513368</x:v>
      </x:c>
      <x:c r="AB32" s="58" t="n">
        <x:f>AB31/(1-'Scenario Inputs'!$C$29)</x:f>
        <x:v>157.0871647873673</x:v>
      </x:c>
      <x:c r="AC32" s="58" t="n">
        <x:f>AC31/(1-'Scenario Inputs'!$C$29)</x:f>
        <x:v>160.6782672278019</x:v>
      </x:c>
      <x:c r="AD32" s="58" t="n">
        <x:f>AD31/(1-'Scenario Inputs'!$C$29)</x:f>
        <x:v>163.7436322709569</x:v>
      </x:c>
      <x:c r="AE32" s="58" t="n">
        <x:f>AE31/(1-'Scenario Inputs'!$C$29)</x:f>
        <x:v>166.36022787179402</x:v>
      </x:c>
      <x:c r="AF32" s="58" t="n">
        <x:f>AF31/(1-'Scenario Inputs'!$C$29)</x:f>
        <x:v>175.48080621826637</x:v>
      </x:c>
      <x:c r="AG32" s="58" t="n">
        <x:f>AG31/(1-'Scenario Inputs'!$C$29)</x:f>
        <x:v>181.3956084788372</x:v>
      </x:c>
      <x:c r="AH32" s="58" t="n">
        <x:f>AH31/(1-'Scenario Inputs'!$C$29)</x:f>
        <x:v>185.93904153970013</x:v>
      </x:c>
      <x:c r="AI32" s="58" t="n">
        <x:f>AI31/(1-'Scenario Inputs'!$C$29)</x:f>
        <x:v>189.8173160004527</x:v>
      </x:c>
      <x:c r="AJ32" s="58" t="n">
        <x:f>AJ31/(1-'Scenario Inputs'!$C$29)</x:f>
        <x:v>193.12781108015113</x:v>
      </x:c>
      <x:c r="AK32" s="58" t="n">
        <x:f>AK31/(1-'Scenario Inputs'!$C$29)</x:f>
        <x:v>195.9536496801817</x:v>
      </x:c>
    </x:row>
    <x:row r="33" ht="18" customHeight="1">
      <x:c r="A33" s="4" t="str"/>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row>
    <x:row r="34" ht="18" customHeight="1">
      <x:c r="A34" s="74" t="str">
        <x:v>TOTAL ACTIVE PAID SUBSCRIBERS</x:v>
      </x:c>
      <x:c r="B34" s="75" t="n">
        <x:f>B24+B31</x:f>
        <x:v>22.31</x:v>
      </x:c>
      <x:c r="C34" s="75" t="n">
        <x:f>C24+C31</x:f>
        <x:v>44.034605</x:v>
      </x:c>
      <x:c r="D34" s="75" t="n">
        <x:f>D24+D31</x:f>
        <x:v>66.6477093875</x:v>
      </x:c>
      <x:c r="E34" s="75" t="n">
        <x:f>E24+E31</x:f>
        <x:v>98.59168795837</x:v>
      </x:c>
      <x:c r="F34" s="75" t="n">
        <x:f>F24+F31</x:f>
        <x:v>131.54917089204864</x:v>
      </x:c>
      <x:c r="G34" s="75" t="n">
        <x:f>G24+G31</x:f>
        <x:v>166.2978574608908</x:v>
      </x:c>
      <x:c r="H34" s="75" t="n">
        <x:f>H24+H31</x:f>
        <x:v>220.13776098900038</x:v>
      </x:c>
      <x:c r="I34" s="75" t="n">
        <x:f>I24+I31</x:f>
        <x:v>274.84439208762745</x:v>
      </x:c>
      <x:c r="J34" s="75" t="n">
        <x:f>J24+J31</x:f>
        <x:v>331.8848414734255</x:v>
      </x:c>
      <x:c r="K34" s="75" t="n">
        <x:f>K24+K31</x:f>
        <x:v>392.078059929634</x:v>
      </x:c>
      <x:c r="L34" s="75" t="n">
        <x:f>L24+L31</x:f>
        <x:v>455.9168769676037</x:v>
      </x:c>
      <x:c r="M34" s="75" t="n">
        <x:f>M24+M31</x:f>
        <x:v>523.9364992466149</x:v>
      </x:c>
      <x:c r="N34" s="75" t="n">
        <x:f>N24+N31</x:f>
        <x:v>605.2397045121911</x:v>
      </x:c>
      <x:c r="O34" s="75" t="n">
        <x:f>O24+O31</x:f>
        <x:v>682.0913385278562</x:v>
      </x:c>
      <x:c r="P34" s="75" t="n">
        <x:f>P24+P31</x:f>
        <x:v>756.3061589437514</x:v>
      </x:c>
      <x:c r="Q34" s="75" t="n">
        <x:f>Q24+Q31</x:f>
        <x:v>824.3521759230734</x:v>
      </x:c>
      <x:c r="R34" s="75" t="n">
        <x:f>R24+R31</x:f>
        <x:v>890.3445229604811</x:v>
      </x:c>
      <x:c r="S34" s="75" t="n">
        <x:f>S24+S31</x:f>
        <x:v>954.2363691634401</x:v>
      </x:c>
      <x:c r="T34" s="75" t="n">
        <x:f>T24+T31</x:f>
        <x:v>1036.3994904953793</x:v>
      </x:c>
      <x:c r="U34" s="75" t="n">
        <x:f>U24+U31</x:f>
        <x:v>1113.1923520450875</x:v>
      </x:c>
      <x:c r="V34" s="75" t="n">
        <x:f>V24+V31</x:f>
        <x:v>1186.3695056942504</x:v>
      </x:c>
      <x:c r="W34" s="75" t="n">
        <x:f>W24+W31</x:f>
        <x:v>1256.4528184861745</x:v>
      </x:c>
      <x:c r="X34" s="75" t="n">
        <x:f>X24+X31</x:f>
        <x:v>1323.2828358323713</x:v>
      </x:c>
      <x:c r="Y34" s="75" t="n">
        <x:f>Y24+Y31</x:f>
        <x:v>1386.6499601493088</x:v>
      </x:c>
      <x:c r="Z34" s="75" t="n">
        <x:f>Z24+Z31</x:f>
        <x:v>1451.8891502781912</x:v>
      </x:c>
      <x:c r="AA34" s="75" t="n">
        <x:f>AA24+AA31</x:f>
        <x:v>1514.5737700872078</x:v>
      </x:c>
      <x:c r="AB34" s="75" t="n">
        <x:f>AB24+AB31</x:f>
        <x:v>1575.9573418322516</x:v>
      </x:c>
      <x:c r="AC34" s="75" t="n">
        <x:f>AC24+AC31</x:f>
        <x:v>1635.730420577195</x:v>
      </x:c>
      <x:c r="AD34" s="75" t="n">
        <x:f>AD24+AD31</x:f>
        <x:v>1694.7437847880756</x:v>
      </x:c>
      <x:c r="AE34" s="75" t="n">
        <x:f>AE24+AE31</x:f>
        <x:v>1753.0421234701619</x:v>
      </x:c>
      <x:c r="AF34" s="75" t="n">
        <x:f>AF24+AF31</x:f>
        <x:v>1820.035308571721</x:v>
      </x:c>
      <x:c r="AG34" s="75" t="n">
        <x:f>AG24+AG31</x:f>
        <x:v>1883.5680111434262</x:v>
      </x:c>
      <x:c r="AH34" s="75" t="n">
        <x:f>AH24+AH31</x:f>
        <x:v>1945.377500297702</x:v>
      </x:c>
      <x:c r="AI34" s="75" t="n">
        <x:f>AI24+AI31</x:f>
        <x:v>2006.101642080912</x:v>
      </x:c>
      <x:c r="AJ34" s="75" t="n">
        <x:f>AJ24+AJ31</x:f>
        <x:v>2065.7820771120655</x:v>
      </x:c>
      <x:c r="AK34" s="75" t="n">
        <x:f>AK24+AK31</x:f>
        <x:v>2124.4402793152162</x:v>
      </x:c>
    </x:row>
    <x:row r="35" ht="18" customHeight="1">
      <x:c r="A35" s="4" t="str">
        <x:v>Estimated active free users</x:v>
      </x:c>
      <x:c r="B35" s="58" t="n">
        <x:f>MAX('Commercial Inputs'!$B$27,B34*'Commercial Inputs'!$B$26)</x:f>
        <x:v>500</x:v>
      </x:c>
      <x:c r="C35" s="58" t="n">
        <x:f>MAX('Commercial Inputs'!$B$27,C34*'Commercial Inputs'!$B$26)</x:f>
        <x:v>880.6921</x:v>
      </x:c>
      <x:c r="D35" s="58" t="n">
        <x:f>MAX('Commercial Inputs'!$B$27,D34*'Commercial Inputs'!$B$26)</x:f>
        <x:v>1332.95418775</x:v>
      </x:c>
      <x:c r="E35" s="58" t="n">
        <x:f>MAX('Commercial Inputs'!$B$27,E34*'Commercial Inputs'!$B$26)</x:f>
        <x:v>1971.8337591674</x:v>
      </x:c>
      <x:c r="F35" s="58" t="n">
        <x:f>MAX('Commercial Inputs'!$B$27,F34*'Commercial Inputs'!$B$26)</x:f>
        <x:v>2630.983417840973</x:v>
      </x:c>
      <x:c r="G35" s="58" t="n">
        <x:f>MAX('Commercial Inputs'!$B$27,G34*'Commercial Inputs'!$B$26)</x:f>
        <x:v>3325.957149217816</x:v>
      </x:c>
      <x:c r="H35" s="58" t="n">
        <x:f>MAX('Commercial Inputs'!$B$27,H34*'Commercial Inputs'!$B$26)</x:f>
        <x:v>4402.755219780008</x:v>
      </x:c>
      <x:c r="I35" s="58" t="n">
        <x:f>MAX('Commercial Inputs'!$B$27,I34*'Commercial Inputs'!$B$26)</x:f>
        <x:v>5496.887841752549</x:v>
      </x:c>
      <x:c r="J35" s="58" t="n">
        <x:f>MAX('Commercial Inputs'!$B$27,J34*'Commercial Inputs'!$B$26)</x:f>
        <x:v>6637.69682946851</x:v>
      </x:c>
      <x:c r="K35" s="58" t="n">
        <x:f>MAX('Commercial Inputs'!$B$27,K34*'Commercial Inputs'!$B$26)</x:f>
        <x:v>7841.56119859268</x:v>
      </x:c>
      <x:c r="L35" s="58" t="n">
        <x:f>MAX('Commercial Inputs'!$B$27,L34*'Commercial Inputs'!$B$26)</x:f>
        <x:v>9118.337539352073</x:v>
      </x:c>
      <x:c r="M35" s="58" t="n">
        <x:f>MAX('Commercial Inputs'!$B$27,M34*'Commercial Inputs'!$B$26)</x:f>
        <x:v>10478.729984932297</x:v>
      </x:c>
      <x:c r="N35" s="58" t="n">
        <x:f>MAX('Commercial Inputs'!$B$27,N34*'Commercial Inputs'!$B$26)</x:f>
        <x:v>12104.794090243822</x:v>
      </x:c>
      <x:c r="O35" s="58" t="n">
        <x:f>MAX('Commercial Inputs'!$B$27,O34*'Commercial Inputs'!$B$26)</x:f>
        <x:v>13641.826770557125</x:v>
      </x:c>
      <x:c r="P35" s="58" t="n">
        <x:f>MAX('Commercial Inputs'!$B$27,P34*'Commercial Inputs'!$B$26)</x:f>
        <x:v>15126.123178875026</x:v>
      </x:c>
      <x:c r="Q35" s="58" t="n">
        <x:f>MAX('Commercial Inputs'!$B$27,Q34*'Commercial Inputs'!$B$26)</x:f>
        <x:v>16487.04351846147</x:v>
      </x:c>
      <x:c r="R35" s="58" t="n">
        <x:f>MAX('Commercial Inputs'!$B$27,R34*'Commercial Inputs'!$B$26)</x:f>
        <x:v>17806.890459209622</x:v>
      </x:c>
      <x:c r="S35" s="58" t="n">
        <x:f>MAX('Commercial Inputs'!$B$27,S34*'Commercial Inputs'!$B$26)</x:f>
        <x:v>19084.727383268804</x:v>
      </x:c>
      <x:c r="T35" s="58" t="n">
        <x:f>MAX('Commercial Inputs'!$B$27,T34*'Commercial Inputs'!$B$26)</x:f>
        <x:v>20727.989809907587</x:v>
      </x:c>
      <x:c r="U35" s="58" t="n">
        <x:f>MAX('Commercial Inputs'!$B$27,U34*'Commercial Inputs'!$B$26)</x:f>
        <x:v>22263.84704090175</x:v>
      </x:c>
      <x:c r="V35" s="58" t="n">
        <x:f>MAX('Commercial Inputs'!$B$27,V34*'Commercial Inputs'!$B$26)</x:f>
        <x:v>23727.39011388501</x:v>
      </x:c>
      <x:c r="W35" s="58" t="n">
        <x:f>MAX('Commercial Inputs'!$B$27,W34*'Commercial Inputs'!$B$26)</x:f>
        <x:v>25129.05636972349</x:v>
      </x:c>
      <x:c r="X35" s="58" t="n">
        <x:f>MAX('Commercial Inputs'!$B$27,X34*'Commercial Inputs'!$B$26)</x:f>
        <x:v>26465.656716647427</x:v>
      </x:c>
      <x:c r="Y35" s="58" t="n">
        <x:f>MAX('Commercial Inputs'!$B$27,Y34*'Commercial Inputs'!$B$26)</x:f>
        <x:v>27732.999202986175</x:v>
      </x:c>
      <x:c r="Z35" s="58" t="n">
        <x:f>MAX('Commercial Inputs'!$B$27,Z34*'Commercial Inputs'!$B$26)</x:f>
        <x:v>29037.783005563826</x:v>
      </x:c>
      <x:c r="AA35" s="58" t="n">
        <x:f>MAX('Commercial Inputs'!$B$27,AA34*'Commercial Inputs'!$B$26)</x:f>
        <x:v>30291.475401744156</x:v>
      </x:c>
      <x:c r="AB35" s="58" t="n">
        <x:f>MAX('Commercial Inputs'!$B$27,AB34*'Commercial Inputs'!$B$26)</x:f>
        <x:v>31519.14683664503</x:v>
      </x:c>
      <x:c r="AC35" s="58" t="n">
        <x:f>MAX('Commercial Inputs'!$B$27,AC34*'Commercial Inputs'!$B$26)</x:f>
        <x:v>32714.6084115439</x:v>
      </x:c>
      <x:c r="AD35" s="58" t="n">
        <x:f>MAX('Commercial Inputs'!$B$27,AD34*'Commercial Inputs'!$B$26)</x:f>
        <x:v>33894.87569576151</x:v>
      </x:c>
      <x:c r="AE35" s="58" t="n">
        <x:f>MAX('Commercial Inputs'!$B$27,AE34*'Commercial Inputs'!$B$26)</x:f>
        <x:v>35060.84246940324</x:v>
      </x:c>
      <x:c r="AF35" s="58" t="n">
        <x:f>MAX('Commercial Inputs'!$B$27,AF34*'Commercial Inputs'!$B$26)</x:f>
        <x:v>36400.70617143442</x:v>
      </x:c>
      <x:c r="AG35" s="58" t="n">
        <x:f>MAX('Commercial Inputs'!$B$27,AG34*'Commercial Inputs'!$B$26)</x:f>
        <x:v>37671.36022286853</x:v>
      </x:c>
      <x:c r="AH35" s="58" t="n">
        <x:f>MAX('Commercial Inputs'!$B$27,AH34*'Commercial Inputs'!$B$26)</x:f>
        <x:v>38907.55000595404</x:v>
      </x:c>
      <x:c r="AI35" s="58" t="n">
        <x:f>MAX('Commercial Inputs'!$B$27,AI34*'Commercial Inputs'!$B$26)</x:f>
        <x:v>40122.03284161824</x:v>
      </x:c>
      <x:c r="AJ35" s="58" t="n">
        <x:f>MAX('Commercial Inputs'!$B$27,AJ34*'Commercial Inputs'!$B$26)</x:f>
        <x:v>41315.64154224131</x:v>
      </x:c>
      <x:c r="AK35" s="58" t="n">
        <x:f>MAX('Commercial Inputs'!$B$27,AK34*'Commercial Inputs'!$B$26)</x:f>
        <x:v>42488.80558630433</x:v>
      </x:c>
    </x:row>
    <x:row r="36" ht="18" customHeight="1">
      <x:c r="A36" s="4" t="str">
        <x:v>Earned annual-plan revenue (INR)</x:v>
      </x:c>
      <x:c r="B36" s="58" t="n">
        <x:f>B24*$B$84/'Commercial Inputs'!$B$46</x:f>
        <x:v>3955.9633510593217</x:v>
      </x:c>
      <x:c r="C36" s="58" t="n">
        <x:f>C24*$B$84/'Commercial Inputs'!$B$46</x:f>
        <x:v>8221.52383394068</x:v>
      </x:c>
      <x:c r="D36" s="58" t="n">
        <x:f>D24*$B$84/'Commercial Inputs'!$B$46</x:f>
        <x:v>12833.833104462714</x:v>
      </x:c>
      <x:c r="E36" s="58" t="n">
        <x:f>E24*$B$84/'Commercial Inputs'!$B$46</x:f>
        <x:v>19210.48826968468</x:v>
      </x:c>
      <x:c r="F36" s="58" t="n">
        <x:f>F24*$B$84/'Commercial Inputs'!$B$46</x:f>
        <x:v>26022.105114123115</x:v>
      </x:c>
      <x:c r="G36" s="58" t="n">
        <x:f>G24*$B$84/'Commercial Inputs'!$B$46</x:f>
        <x:v>33320.879039283995</x:v>
      </x:c>
      <x:c r="H36" s="58" t="n">
        <x:f>H24*$B$84/'Commercial Inputs'!$B$46</x:f>
        <x:v>44146.57460869581</x:v>
      </x:c>
      <x:c r="I36" s="58" t="n">
        <x:f>I24*$B$84/'Commercial Inputs'!$B$46</x:f>
        <x:v>55583.36002016586</x:v>
      </x:c>
      <x:c r="J36" s="58" t="n">
        <x:f>J24*$B$84/'Commercial Inputs'!$B$46</x:f>
        <x:v>67704.56605474114</x:v>
      </x:c>
      <x:c r="K36" s="58" t="n">
        <x:f>K24*$B$84/'Commercial Inputs'!$B$46</x:f>
        <x:v>80592.32318719426</x:v>
      </x:c>
      <x:c r="L36" s="58" t="n">
        <x:f>L24*$B$84/'Commercial Inputs'!$B$46</x:f>
        <x:v>94338.61754927057</x:v>
      </x:c>
      <x:c r="M36" s="58" t="n">
        <x:f>M24*$B$84/'Commercial Inputs'!$B$46</x:f>
        <x:v>109046.47360852484</x:v>
      </x:c>
      <x:c r="N36" s="58" t="n">
        <x:f>N24*$B$84/'Commercial Inputs'!$B$46</x:f>
        <x:v>125640.41728554526</x:v>
      </x:c>
      <x:c r="O36" s="58" t="n">
        <x:f>O24*$B$84/'Commercial Inputs'!$B$46</x:f>
        <x:v>142014.85659610384</x:v>
      </x:c>
      <x:c r="P36" s="58" t="n">
        <x:f>P24*$B$84/'Commercial Inputs'!$B$46</x:f>
        <x:v>158143.45101622518</x:v>
      </x:c>
      <x:c r="Q36" s="58" t="n">
        <x:f>Q24*$B$84/'Commercial Inputs'!$B$46</x:f>
        <x:v>173021.12419700425</x:v>
      </x:c>
      <x:c r="R36" s="58" t="n">
        <x:f>R24*$B$84/'Commercial Inputs'!$B$46</x:f>
        <x:v>187590.40954721885</x:v>
      </x:c>
      <x:c r="S36" s="58" t="n">
        <x:f>S24*$B$84/'Commercial Inputs'!$B$46</x:f>
        <x:v>201814.30052720127</x:v>
      </x:c>
      <x:c r="T36" s="58" t="n">
        <x:f>T24*$B$84/'Commercial Inputs'!$B$46</x:f>
        <x:v>218749.6769877066</x:v>
      </x:c>
      <x:c r="U36" s="58" t="n">
        <x:f>U24*$B$84/'Commercial Inputs'!$B$46</x:f>
        <x:v>235251.79075019262</x:v>
      </x:c>
      <x:c r="V36" s="58" t="n">
        <x:f>V24*$B$84/'Commercial Inputs'!$B$46</x:f>
        <x:v>251268.6502908971</x:v>
      </x:c>
      <x:c r="W36" s="58" t="n">
        <x:f>W24*$B$84/'Commercial Inputs'!$B$46</x:f>
        <x:v>266742.0251032061</x:v>
      </x:c>
      <x:c r="X36" s="58" t="n">
        <x:f>X24*$B$84/'Commercial Inputs'!$B$46</x:f>
        <x:v>281606.69701971236</x:v>
      </x:c>
      <x:c r="Y36" s="58" t="n">
        <x:f>Y24*$B$84/'Commercial Inputs'!$B$46</x:f>
        <x:v>295789.6216929194</x:v>
      </x:c>
      <x:c r="Z36" s="58" t="n">
        <x:f>Z24*$B$84/'Commercial Inputs'!$B$46</x:f>
        <x:v>309426.46835337585</x:v>
      </x:c>
      <x:c r="AA36" s="58" t="n">
        <x:f>AA24*$B$84/'Commercial Inputs'!$B$46</x:f>
        <x:v>323021.2867387917</x:v>
      </x:c>
      <x:c r="AB36" s="58" t="n">
        <x:f>AB24*$B$84/'Commercial Inputs'!$B$46</x:f>
        <x:v>336569.0334561622</x:v>
      </x:c>
      <x:c r="AC36" s="58" t="n">
        <x:f>AC24*$B$84/'Commercial Inputs'!$B$46</x:f>
        <x:v>349877.2675718083</x:v>
      </x:c>
      <x:c r="AD36" s="58" t="n">
        <x:f>AD24*$B$84/'Commercial Inputs'!$B$46</x:f>
        <x:v>363126.45498705824</x:v>
      </x:c>
      <x:c r="AE36" s="58" t="n">
        <x:f>AE24*$B$84/'Commercial Inputs'!$B$46</x:f>
        <x:v>376309.51009786455</x:v>
      </x:c>
      <x:c r="AF36" s="58" t="n">
        <x:f>AF24*$B$84/'Commercial Inputs'!$B$46</x:f>
        <x:v>390056.66871515213</x:v>
      </x:c>
      <x:c r="AG36" s="58" t="n">
        <x:f>AG24*$B$84/'Commercial Inputs'!$B$46</x:f>
        <x:v>403720.87096974556</x:v>
      </x:c>
      <x:c r="AH36" s="58" t="n">
        <x:f>AH24*$B$84/'Commercial Inputs'!$B$46</x:f>
        <x:v>417292.1620981216</x:v>
      </x:c>
      <x:c r="AI36" s="58" t="n">
        <x:f>AI24*$B$84/'Commercial Inputs'!$B$46</x:f>
        <x:v>430759.39276513393</x:v>
      </x:c>
      <x:c r="AJ36" s="58" t="n">
        <x:f>AJ24*$B$84/'Commercial Inputs'!$B$46</x:f>
        <x:v>444110.07571541914</x:v>
      </x:c>
      <x:c r="AK36" s="58" t="n">
        <x:f>AK24*$B$84/'Commercial Inputs'!$B$46</x:f>
        <x:v>457330.2252229699</x:v>
      </x:c>
    </x:row>
    <x:row r="37" ht="18" customHeight="1">
      <x:c r="A37" s="4" t="str">
        <x:v>Earned monthly-plan revenue (INR)</x:v>
      </x:c>
      <x:c r="B37" s="58" t="n">
        <x:f>B31*$B$85</x:f>
        <x:v>2274.876963559322</x:v>
      </x:c>
      <x:c r="C37" s="58" t="n">
        <x:f>C31*$B$85</x:f>
        <x:v>3776.889205672881</x:v>
      </x:c>
      <x:c r="D37" s="58" t="n">
        <x:f>D31*$B$85</x:f>
        <x:v>5043.097097974817</x:v>
      </x:c>
      <x:c r="E37" s="58" t="n">
        <x:f>E31*$B$85</x:f>
        <x:v>7071.296955474199</x:v>
      </x:c>
      <x:c r="F37" s="58" t="n">
        <x:f>F31*$B$85</x:f>
        <x:v>8762.497354023812</x:v>
      </x:c>
      <x:c r="G37" s="58" t="n">
        <x:f>G31*$B$85</x:f>
        <x:v>10343.85108503405</x:v>
      </x:c>
      <x:c r="H37" s="58" t="n">
        <x:f>H31*$B$85</x:f>
        <x:v>13627.408484462749</x:v>
      </x:c>
      <x:c r="I37" s="58" t="n">
        <x:f>I31*$B$85</x:f>
        <x:v>16210.25351535446</x:v>
      </x:c>
      <x:c r="J37" s="58" t="n">
        <x:f>J31*$B$85</x:f>
        <x:v>18564.257133593128</x:v>
      </x:c>
      <x:c r="K37" s="58" t="n">
        <x:f>K31*$B$85</x:f>
        <x:v>20881.75475442881</x:v>
      </x:c>
      <x:c r="L37" s="58" t="n">
        <x:f>L31*$B$85</x:f>
        <x:v>23205.065271758158</x:v>
      </x:c>
      <x:c r="M37" s="58" t="n">
        <x:f>M31*$B$85</x:f>
        <x:v>25574.74902331658</x:v>
      </x:c>
      <x:c r="N37" s="58" t="n">
        <x:f>N31*$B$85</x:f>
        <x:v>30108.580594999807</x:v>
      </x:c>
      <x:c r="O37" s="58" t="n">
        <x:f>O31*$B$85</x:f>
        <x:v>33205.442134058176</x:v>
      </x:c>
      <x:c r="P37" s="58" t="n">
        <x:f>P31*$B$85</x:f>
        <x:v>35650.954358820905</x:v>
      </x:c>
      <x:c r="Q37" s="58" t="n">
        <x:f>Q31*$B$85</x:f>
        <x:v>37738.44359387838</x:v>
      </x:c>
      <x:c r="R37" s="58" t="n">
        <x:f>R31*$B$85</x:f>
        <x:v>39520.324404923434</x:v>
      </x:c>
      <x:c r="S37" s="58" t="n">
        <x:f>S31*$B$85</x:f>
        <x:v>41041.33786523151</x:v>
      </x:c>
      <x:c r="T37" s="58" t="n">
        <x:f>T31*$B$85</x:f>
        <x:v>45336.877805489756</x:v>
      </x:c>
      <x:c r="U37" s="58" t="n">
        <x:f>U31*$B$85</x:f>
        <x:v>48189.51040428773</x:v>
      </x:c>
      <x:c r="V37" s="58" t="n">
        <x:f>V31*$B$85</x:f>
        <x:v>50404.55227398003</x:v>
      </x:c>
      <x:c r="W37" s="58" t="n">
        <x:f>W31*$B$85</x:f>
        <x:v>52295.31201394938</x:v>
      </x:c>
      <x:c r="X37" s="58" t="n">
        <x:f>X31*$B$85</x:f>
        <x:v>53909.264527987216</x:v>
      </x:c>
      <x:c r="Y37" s="58" t="n">
        <x:f>Y31*$B$85</x:f>
        <x:v>55286.93439396991</x:v>
      </x:c>
      <x:c r="Z37" s="58" t="n">
        <x:f>Z31*$B$85</x:f>
        <x:v>58370.2242964614</x:v>
      </x:c>
      <x:c r="AA37" s="58" t="n">
        <x:f>AA31*$B$85</x:f>
        <x:v>60484.09491546035</x:v>
      </x:c>
      <x:c r="AB37" s="58" t="n">
        <x:f>AB31*$B$85</x:f>
        <x:v>62148.51694706591</x:v>
      </x:c>
      <x:c r="AC37" s="58" t="n">
        <x:f>AC31*$B$85</x:f>
        <x:v>63569.2675932444</x:v>
      </x:c>
      <x:c r="AD37" s="58" t="n">
        <x:f>AD31*$B$85</x:f>
        <x:v>64782.02034482238</x:v>
      </x:c>
      <x:c r="AE37" s="58" t="n">
        <x:f>AE31*$B$85</x:f>
        <x:v>65817.22609356933</x:v>
      </x:c>
      <x:c r="AF37" s="58" t="n">
        <x:f>AF31*$B$85</x:f>
        <x:v>69425.60758482637</x:v>
      </x:c>
      <x:c r="AG37" s="58" t="n">
        <x:f>AG31*$B$85</x:f>
        <x:v>71765.68539466657</x:v>
      </x:c>
      <x:c r="AH37" s="58" t="n">
        <x:f>AH31*$B$85</x:f>
        <x:v>73563.20734347195</x:v>
      </x:c>
      <x:c r="AI37" s="58" t="n">
        <x:f>AI31*$B$85</x:f>
        <x:v>75097.5720789722</x:v>
      </x:c>
      <x:c r="AJ37" s="58" t="n">
        <x:f>AJ31*$B$85</x:f>
        <x:v>76407.30581719523</x:v>
      </x:c>
      <x:c r="AK37" s="58" t="n">
        <x:f>AK31*$B$85</x:f>
        <x:v>77525.2945361424</x:v>
      </x:c>
    </x:row>
    <x:row r="38" ht="18" customHeight="1">
      <x:c r="A38" s="74" t="str">
        <x:v>EARNED REVENUE, NET OF SALES TAX / REFUNDS</x:v>
      </x:c>
      <x:c r="B38" s="75" t="n">
        <x:f>SUM(B36:B37)</x:f>
        <x:v>6230.840314618644</x:v>
      </x:c>
      <x:c r="C38" s="75" t="n">
        <x:f>SUM(C36:C37)</x:f>
        <x:v>11998.413039613562</x:v>
      </x:c>
      <x:c r="D38" s="75" t="n">
        <x:f>SUM(D36:D37)</x:f>
        <x:v>17876.930202437532</x:v>
      </x:c>
      <x:c r="E38" s="75" t="n">
        <x:f>SUM(E36:E37)</x:f>
        <x:v>26281.785225158877</x:v>
      </x:c>
      <x:c r="F38" s="75" t="n">
        <x:f>SUM(F36:F37)</x:f>
        <x:v>34784.60246814693</x:v>
      </x:c>
      <x:c r="G38" s="75" t="n">
        <x:f>SUM(G36:G37)</x:f>
        <x:v>43664.73012431804</x:v>
      </x:c>
      <x:c r="H38" s="75" t="n">
        <x:f>SUM(H36:H37)</x:f>
        <x:v>57773.98309315856</x:v>
      </x:c>
      <x:c r="I38" s="75" t="n">
        <x:f>SUM(I36:I37)</x:f>
        <x:v>71793.61353552033</x:v>
      </x:c>
      <x:c r="J38" s="75" t="n">
        <x:f>SUM(J36:J37)</x:f>
        <x:v>86268.82318833427</x:v>
      </x:c>
      <x:c r="K38" s="75" t="n">
        <x:f>SUM(K36:K37)</x:f>
        <x:v>101474.07794162307</x:v>
      </x:c>
      <x:c r="L38" s="75" t="n">
        <x:f>SUM(L36:L37)</x:f>
        <x:v>117543.68282102872</x:v>
      </x:c>
      <x:c r="M38" s="75" t="n">
        <x:f>SUM(M36:M37)</x:f>
        <x:v>134621.22263184143</x:v>
      </x:c>
      <x:c r="N38" s="75" t="n">
        <x:f>SUM(N36:N37)</x:f>
        <x:v>155748.99788054507</x:v>
      </x:c>
      <x:c r="O38" s="75" t="n">
        <x:f>SUM(O36:O37)</x:f>
        <x:v>175220.29873016203</x:v>
      </x:c>
      <x:c r="P38" s="75" t="n">
        <x:f>SUM(P36:P37)</x:f>
        <x:v>193794.40537504607</x:v>
      </x:c>
      <x:c r="Q38" s="75" t="n">
        <x:f>SUM(Q36:Q37)</x:f>
        <x:v>210759.56779088263</x:v>
      </x:c>
      <x:c r="R38" s="75" t="n">
        <x:f>SUM(R36:R37)</x:f>
        <x:v>227110.7339521423</x:v>
      </x:c>
      <x:c r="S38" s="75" t="n">
        <x:f>SUM(S36:S37)</x:f>
        <x:v>242855.63839243277</x:v>
      </x:c>
      <x:c r="T38" s="75" t="n">
        <x:f>SUM(T36:T37)</x:f>
        <x:v>264086.5547931964</x:v>
      </x:c>
      <x:c r="U38" s="75" t="n">
        <x:f>SUM(U36:U37)</x:f>
        <x:v>283441.3011544804</x:v>
      </x:c>
      <x:c r="V38" s="75" t="n">
        <x:f>SUM(V36:V37)</x:f>
        <x:v>301673.2025648771</x:v>
      </x:c>
      <x:c r="W38" s="75" t="n">
        <x:f>SUM(W36:W37)</x:f>
        <x:v>319037.3371171555</x:v>
      </x:c>
      <x:c r="X38" s="75" t="n">
        <x:f>SUM(X36:X37)</x:f>
        <x:v>335515.9615476996</x:v>
      </x:c>
      <x:c r="Y38" s="75" t="n">
        <x:f>SUM(Y36:Y37)</x:f>
        <x:v>351076.5560868893</x:v>
      </x:c>
      <x:c r="Z38" s="75" t="n">
        <x:f>SUM(Z36:Z37)</x:f>
        <x:v>367796.69264983723</x:v>
      </x:c>
      <x:c r="AA38" s="75" t="n">
        <x:f>SUM(AA36:AA37)</x:f>
        <x:v>383505.381654252</x:v>
      </x:c>
      <x:c r="AB38" s="75" t="n">
        <x:f>SUM(AB36:AB37)</x:f>
        <x:v>398717.5504032281</x:v>
      </x:c>
      <x:c r="AC38" s="75" t="n">
        <x:f>SUM(AC36:AC37)</x:f>
        <x:v>413446.5351650527</x:v>
      </x:c>
      <x:c r="AD38" s="75" t="n">
        <x:f>SUM(AD36:AD37)</x:f>
        <x:v>427908.4753318806</x:v>
      </x:c>
      <x:c r="AE38" s="75" t="n">
        <x:f>SUM(AE36:AE37)</x:f>
        <x:v>442126.73619143385</x:v>
      </x:c>
      <x:c r="AF38" s="75" t="n">
        <x:f>SUM(AF36:AF37)</x:f>
        <x:v>459482.2762999785</x:v>
      </x:c>
      <x:c r="AG38" s="75" t="n">
        <x:f>SUM(AG36:AG37)</x:f>
        <x:v>475486.5563644121</x:v>
      </x:c>
      <x:c r="AH38" s="75" t="n">
        <x:f>SUM(AH36:AH37)</x:f>
        <x:v>490855.36944159353</x:v>
      </x:c>
      <x:c r="AI38" s="75" t="n">
        <x:f>SUM(AI36:AI37)</x:f>
        <x:v>505856.9648441061</x:v>
      </x:c>
      <x:c r="AJ38" s="75" t="n">
        <x:f>SUM(AJ36:AJ37)</x:f>
        <x:v>520517.38153261435</x:v>
      </x:c>
      <x:c r="AK38" s="75" t="n">
        <x:f>SUM(AK36:AK37)</x:f>
        <x:v>534855.5197591123</x:v>
      </x:c>
    </x:row>
    <x:row r="39" ht="18" customHeight="1">
      <x:c r="A39" s="4" t="str">
        <x:v>Annual gross billings, ex-tax (INR)</x:v>
      </x:c>
      <x:c r="B39" s="58" t="n">
        <x:f>B25*$B$84</x:f>
        <x:v>48939.75279661018</x:v>
      </x:c>
      <x:c r="C39" s="58" t="n">
        <x:f>C25*$B$84</x:f>
        <x:v>52769.82040677967</x:v>
      </x:c>
      <x:c r="D39" s="58" t="n">
        <x:f>D25*$B$84</x:f>
        <x:v>57059.49613016949</x:v>
      </x:c>
      <x:c r="E39" s="58" t="n">
        <x:f>E25*$B$84</x:f>
        <x:v>78886.45565223054</x:v>
      </x:c>
      <x:c r="F39" s="58" t="n">
        <x:f>F25*$B$84</x:f>
        <x:v>84267.42487965073</x:v>
      </x:c>
      <x:c r="G39" s="58" t="n">
        <x:f>G25*$B$84</x:f>
        <x:v>90294.11041436136</x:v>
      </x:c>
      <x:c r="H39" s="58" t="n">
        <x:f>H25*$B$84</x:f>
        <x:v>133926.13075561018</x:v>
      </x:c>
      <x:c r="I39" s="58" t="n">
        <x:f>I25*$B$84</x:f>
        <x:v>141486.0050903512</x:v>
      </x:c>
      <x:c r="J39" s="58" t="n">
        <x:f>J25*$B$84</x:f>
        <x:v>149953.0643452611</x:v>
      </x:c>
      <x:c r="K39" s="58" t="n">
        <x:f>K25*$B$84</x:f>
        <x:v>159436.17071076029</x:v>
      </x:c>
      <x:c r="L39" s="58" t="n">
        <x:f>L25*$B$84</x:f>
        <x:v>170057.2498401193</x:v>
      </x:c>
      <x:c r="M39" s="58" t="n">
        <x:f>M25*$B$84</x:f>
        <x:v>181952.85846500142</x:v>
      </x:c>
      <x:c r="N39" s="58" t="n">
        <x:f>N25*$B$84</x:f>
        <x:v>254225.65395562543</x:v>
      </x:c>
      <x:c r="O39" s="58" t="n">
        <x:f>O25*$B$84</x:f>
        <x:v>255340.20363018475</x:v>
      </x:c>
      <x:c r="P39" s="58" t="n">
        <x:f>P25*$B$84</x:f>
        <x:v>256588.49926569124</x:v>
      </x:c>
      <x:c r="Q39" s="58" t="n">
        <x:f>Q25*$B$84</x:f>
        <x:v>262940.144486611</x:v>
      </x:c>
      <x:c r="R39" s="58" t="n">
        <x:f>R25*$B$84</x:f>
        <x:v>264506.0065317903</x:v>
      </x:c>
      <x:c r="S39" s="58" t="n">
        <x:f>S25*$B$84</x:f>
        <x:v>266259.7720223911</x:v>
      </x:c>
      <x:c r="T39" s="58" t="n">
        <x:f>T25*$B$84</x:f>
        <x:v>343435.94263815053</x:v>
      </x:c>
      <x:c r="U39" s="58" t="n">
        <x:f>U25*$B$84</x:f>
        <x:v>345635.8660695602</x:v>
      </x:c>
      <x:c r="V39" s="58" t="n">
        <x:f>V25*$B$84</x:f>
        <x:v>348099.78031273896</x:v>
      </x:c>
      <x:c r="W39" s="58" t="n">
        <x:f>W25*$B$84</x:f>
        <x:v>350859.3642650992</x:v>
      </x:c>
      <x:c r="X39" s="58" t="n">
        <x:f>X25*$B$84</x:f>
        <x:v>353950.09829174273</x:v>
      </x:c>
      <x:c r="Y39" s="58" t="n">
        <x:f>Y25*$B$84</x:f>
        <x:v>357411.7204015834</x:v>
      </x:c>
      <x:c r="Z39" s="58" t="n">
        <x:f>Z25*$B$84</x:f>
        <x:v>422928.91161075636</x:v>
      </x:c>
      <x:c r="AA39" s="58" t="n">
        <x:f>AA25*$B$84</x:f>
        <x:v>423523.52386213373</x:v>
      </x:c>
      <x:c r="AB39" s="58" t="n">
        <x:f>AB25*$B$84</x:f>
        <x:v>424189.4895836765</x:v>
      </x:c>
      <x:c r="AC39" s="58" t="n">
        <x:f>AC25*$B$84</x:f>
        <x:v>427578.0923090371</x:v>
      </x:c>
      <x:c r="AD39" s="58" t="n">
        <x:f>AD25*$B$84</x:f>
        <x:v>428413.4797101403</x:v>
      </x:c>
      <x:c r="AE39" s="58" t="n">
        <x:f>AE25*$B$84</x:f>
        <x:v>429349.1135993758</x:v>
      </x:c>
      <x:c r="AF39" s="58" t="n">
        <x:f>AF25*$B$84</x:f>
        <x:v>513503.88429531653</x:v>
      </x:c>
      <x:c r="AG39" s="58" t="n">
        <x:f>AG25*$B$84</x:f>
        <x:v>514677.54344597354</x:v>
      </x:c>
      <x:c r="AH39" s="58" t="n">
        <x:f>AH25*$B$84</x:f>
        <x:v>515992.04169470945</x:v>
      </x:c>
      <x:c r="AI39" s="58" t="n">
        <x:f>AI25*$B$84</x:f>
        <x:v>517464.27973329363</x:v>
      </x:c>
      <x:c r="AJ39" s="58" t="n">
        <x:f>AJ25*$B$84</x:f>
        <x:v>519113.18633650796</x:v>
      </x:c>
      <x:c r="AK39" s="58" t="n">
        <x:f>AK25*$B$84</x:f>
        <x:v>520959.961732108</x:v>
      </x:c>
    </x:row>
    <x:row r="40" ht="18" customHeight="1">
      <x:c r="A40" s="4" t="str">
        <x:v>Monthly gross billings, ex-tax (INR)</x:v>
      </x:c>
      <x:c r="B40" s="58" t="n">
        <x:f>B32*$B$85</x:f>
        <x:v>2345.2339830508477</x:v>
      </x:c>
      <x:c r="C40" s="58" t="n">
        <x:f>C32*$B$85</x:f>
        <x:v>3893.7002120338984</x:v>
      </x:c>
      <x:c r="D40" s="58" t="n">
        <x:f>D32*$B$85</x:f>
        <x:v>5199.069173169914</x:v>
      </x:c>
      <x:c r="E40" s="58" t="n">
        <x:f>E32*$B$85</x:f>
        <x:v>7289.996861313609</x:v>
      </x:c>
      <x:c r="F40" s="58" t="n">
        <x:f>F32*$B$85</x:f>
        <x:v>9033.502426828672</x:v>
      </x:c>
      <x:c r="G40" s="58" t="n">
        <x:f>G32*$B$85</x:f>
        <x:v>10663.764005189742</x:v>
      </x:c>
      <x:c r="H40" s="58" t="n">
        <x:f>H32*$B$85</x:f>
        <x:v>14048.874726250258</x:v>
      </x:c>
      <x:c r="I40" s="58" t="n">
        <x:f>I32*$B$85</x:f>
        <x:v>16711.60156222109</x:v>
      </x:c>
      <x:c r="J40" s="58" t="n">
        <x:f>J32*$B$85</x:f>
        <x:v>19138.40941607539</x:v>
      </x:c>
      <x:c r="K40" s="58" t="n">
        <x:f>K32*$B$85</x:f>
        <x:v>21527.58222106063</x:v>
      </x:c>
      <x:c r="L40" s="58" t="n">
        <x:f>L32*$B$85</x:f>
        <x:v>23922.74770284346</x:v>
      </x:c>
      <x:c r="M40" s="58" t="n">
        <x:f>M32*$B$85</x:f>
        <x:v>26365.720642594413</x:v>
      </x:c>
      <x:c r="N40" s="58" t="n">
        <x:f>N32*$B$85</x:f>
        <x:v>31039.77380927815</x:v>
      </x:c>
      <x:c r="O40" s="58" t="n">
        <x:f>O32*$B$85</x:f>
        <x:v>34232.41457119399</x:v>
      </x:c>
      <x:c r="P40" s="58" t="n">
        <x:f>P32*$B$85</x:f>
        <x:v>36753.56119466073</x:v>
      </x:c>
      <x:c r="Q40" s="58" t="n">
        <x:f>Q32*$B$85</x:f>
        <x:v>38905.61195245194</x:v>
      </x:c>
      <x:c r="R40" s="58" t="n">
        <x:f>R32*$B$85</x:f>
        <x:v>40742.602479302506</x:v>
      </x:c>
      <x:c r="S40" s="58" t="n">
        <x:f>S32*$B$85</x:f>
        <x:v>42310.65759302217</x:v>
      </x:c>
      <x:c r="T40" s="58" t="n">
        <x:f>T32*$B$85</x:f>
        <x:v>46739.04928401006</x:v>
      </x:c>
      <x:c r="U40" s="58" t="n">
        <x:f>U32*$B$85</x:f>
        <x:v>49679.90763328631</x:v>
      </x:c>
      <x:c r="V40" s="58" t="n">
        <x:f>V32*$B$85</x:f>
        <x:v>51963.45595255673</x:v>
      </x:c>
      <x:c r="W40" s="58" t="n">
        <x:f>W32*$B$85</x:f>
        <x:v>53912.69279788595</x:v>
      </x:c>
      <x:c r="X40" s="58" t="n">
        <x:f>X32*$B$85</x:f>
        <x:v>55576.56136905899</x:v>
      </x:c>
      <x:c r="Y40" s="58" t="n">
        <x:f>Y32*$B$85</x:f>
        <x:v>56996.83958141228</x:v>
      </x:c>
      <x:c r="Z40" s="58" t="n">
        <x:f>Z32*$B$85</x:f>
        <x:v>60175.48896542412</x:v>
      </x:c>
      <x:c r="AA40" s="58" t="n">
        <x:f>AA32*$B$85</x:f>
        <x:v>62354.73702624779</x:v>
      </x:c>
      <x:c r="AB40" s="58" t="n">
        <x:f>AB32*$B$85</x:f>
        <x:v>64070.636027903</x:v>
      </x:c>
      <x:c r="AC40" s="58" t="n">
        <x:f>AC32*$B$85</x:f>
        <x:v>65535.32741571588</x:v>
      </x:c>
      <x:c r="AD40" s="58" t="n">
        <x:f>AD32*$B$85</x:f>
        <x:v>66785.58798435297</x:v>
      </x:c>
      <x:c r="AE40" s="58" t="n">
        <x:f>AE32*$B$85</x:f>
        <x:v>67852.81040574158</x:v>
      </x:c>
      <x:c r="AF40" s="58" t="n">
        <x:f>AF32*$B$85</x:f>
        <x:v>71572.79132456327</x:v>
      </x:c>
      <x:c r="AG40" s="58" t="n">
        <x:f>AG32*$B$85</x:f>
        <x:v>73985.24267491398</x:v>
      </x:c>
      <x:c r="AH40" s="58" t="n">
        <x:f>AH32*$B$85</x:f>
        <x:v>75838.35808605354</x:v>
      </x:c>
      <x:c r="AI40" s="58" t="n">
        <x:f>AI32*$B$85</x:f>
        <x:v>77420.17740100226</x:v>
      </x:c>
      <x:c r="AJ40" s="58" t="n">
        <x:f>AJ32*$B$85</x:f>
        <x:v>78770.4183682425</x:v>
      </x:c>
      <x:c r="AK40" s="58" t="n">
        <x:f>AK32*$B$85</x:f>
        <x:v>79922.98405787878</x:v>
      </x:c>
    </x:row>
    <x:row r="41" ht="18" customHeight="1">
      <x:c r="A41" s="4" t="str">
        <x:v>Total gross billings, ex-tax (INR)</x:v>
      </x:c>
      <x:c r="B41" s="58" t="n">
        <x:f>SUM(B39:B40)</x:f>
        <x:v>51284.98677966103</x:v>
      </x:c>
      <x:c r="C41" s="58" t="n">
        <x:f>SUM(C39:C40)</x:f>
        <x:v>56663.52061881356</x:v>
      </x:c>
      <x:c r="D41" s="58" t="n">
        <x:f>SUM(D39:D40)</x:f>
        <x:v>62258.565303339405</x:v>
      </x:c>
      <x:c r="E41" s="58" t="n">
        <x:f>SUM(E39:E40)</x:f>
        <x:v>86176.45251354415</x:v>
      </x:c>
      <x:c r="F41" s="58" t="n">
        <x:f>SUM(F39:F40)</x:f>
        <x:v>93300.9273064794</x:v>
      </x:c>
      <x:c r="G41" s="58" t="n">
        <x:f>SUM(G39:G40)</x:f>
        <x:v>100957.87441955111</x:v>
      </x:c>
      <x:c r="H41" s="58" t="n">
        <x:f>SUM(H39:H40)</x:f>
        <x:v>147975.00548186043</x:v>
      </x:c>
      <x:c r="I41" s="58" t="n">
        <x:f>SUM(I39:I40)</x:f>
        <x:v>158197.60665257229</x:v>
      </x:c>
      <x:c r="J41" s="58" t="n">
        <x:f>SUM(J39:J40)</x:f>
        <x:v>169091.4737613365</x:v>
      </x:c>
      <x:c r="K41" s="58" t="n">
        <x:f>SUM(K39:K40)</x:f>
        <x:v>180963.75293182093</x:v>
      </x:c>
      <x:c r="L41" s="58" t="n">
        <x:f>SUM(L39:L40)</x:f>
        <x:v>193979.99754296275</x:v>
      </x:c>
      <x:c r="M41" s="58" t="n">
        <x:f>SUM(M39:M40)</x:f>
        <x:v>208318.57910759584</x:v>
      </x:c>
      <x:c r="N41" s="58" t="n">
        <x:f>SUM(N39:N40)</x:f>
        <x:v>285265.4277649036</x:v>
      </x:c>
      <x:c r="O41" s="58" t="n">
        <x:f>SUM(O39:O40)</x:f>
        <x:v>289572.61820137873</x:v>
      </x:c>
      <x:c r="P41" s="58" t="n">
        <x:f>SUM(P39:P40)</x:f>
        <x:v>293342.060460352</x:v>
      </x:c>
      <x:c r="Q41" s="58" t="n">
        <x:f>SUM(Q39:Q40)</x:f>
        <x:v>301845.75643906294</x:v>
      </x:c>
      <x:c r="R41" s="58" t="n">
        <x:f>SUM(R39:R40)</x:f>
        <x:v>305248.6090110928</x:v>
      </x:c>
      <x:c r="S41" s="58" t="n">
        <x:f>SUM(S39:S40)</x:f>
        <x:v>308570.42961541325</x:v>
      </x:c>
      <x:c r="T41" s="58" t="n">
        <x:f>SUM(T39:T40)</x:f>
        <x:v>390174.9919221606</x:v>
      </x:c>
      <x:c r="U41" s="58" t="n">
        <x:f>SUM(U39:U40)</x:f>
        <x:v>395315.7737028465</x:v>
      </x:c>
      <x:c r="V41" s="58" t="n">
        <x:f>SUM(V39:V40)</x:f>
        <x:v>400063.2362652957</x:v>
      </x:c>
      <x:c r="W41" s="58" t="n">
        <x:f>SUM(W39:W40)</x:f>
        <x:v>404772.0570629852</x:v>
      </x:c>
      <x:c r="X41" s="58" t="n">
        <x:f>SUM(X39:X40)</x:f>
        <x:v>409526.6596608017</x:v>
      </x:c>
      <x:c r="Y41" s="58" t="n">
        <x:f>SUM(Y39:Y40)</x:f>
        <x:v>414408.5599829957</x:v>
      </x:c>
      <x:c r="Z41" s="58" t="n">
        <x:f>SUM(Z39:Z40)</x:f>
        <x:v>483104.4005761805</x:v>
      </x:c>
      <x:c r="AA41" s="58" t="n">
        <x:f>SUM(AA39:AA40)</x:f>
        <x:v>485878.2608883815</x:v>
      </x:c>
      <x:c r="AB41" s="58" t="n">
        <x:f>SUM(AB39:AB40)</x:f>
        <x:v>488260.1256115795</x:v>
      </x:c>
      <x:c r="AC41" s="58" t="n">
        <x:f>SUM(AC39:AC40)</x:f>
        <x:v>493113.419724753</x:v>
      </x:c>
      <x:c r="AD41" s="58" t="n">
        <x:f>SUM(AD39:AD40)</x:f>
        <x:v>495199.0676944933</x:v>
      </x:c>
      <x:c r="AE41" s="58" t="n">
        <x:f>SUM(AE39:AE40)</x:f>
        <x:v>497201.9240051174</x:v>
      </x:c>
      <x:c r="AF41" s="58" t="n">
        <x:f>SUM(AF39:AF40)</x:f>
        <x:v>585076.6756198797</x:v>
      </x:c>
      <x:c r="AG41" s="58" t="n">
        <x:f>SUM(AG39:AG40)</x:f>
        <x:v>588662.7861208875</x:v>
      </x:c>
      <x:c r="AH41" s="58" t="n">
        <x:f>SUM(AH39:AH40)</x:f>
        <x:v>591830.399780763</x:v>
      </x:c>
      <x:c r="AI41" s="58" t="n">
        <x:f>SUM(AI39:AI40)</x:f>
        <x:v>594884.457134296</x:v>
      </x:c>
      <x:c r="AJ41" s="58" t="n">
        <x:f>SUM(AJ39:AJ40)</x:f>
        <x:v>597883.6047047505</x:v>
      </x:c>
      <x:c r="AK41" s="58" t="n">
        <x:f>SUM(AK39:AK40)</x:f>
        <x:v>600882.9457899868</x:v>
      </x:c>
    </x:row>
    <x:row r="42" ht="18" customHeight="1">
      <x:c r="A42" s="4" t="str">
        <x:v>Refunds (INR)</x:v>
      </x:c>
      <x:c r="B42" s="58" t="n">
        <x:f>B41*'Scenario Inputs'!$C$29</x:f>
        <x:v>1538.5496033898307</x:v>
      </x:c>
      <x:c r="C42" s="58" t="n">
        <x:f>C41*'Scenario Inputs'!$C$29</x:f>
        <x:v>1699.905618564407</x:v>
      </x:c>
      <x:c r="D42" s="58" t="n">
        <x:f>D41*'Scenario Inputs'!$C$29</x:f>
        <x:v>1867.756959100182</x:v>
      </x:c>
      <x:c r="E42" s="58" t="n">
        <x:f>E41*'Scenario Inputs'!$C$29</x:f>
        <x:v>2585.2935754063246</x:v>
      </x:c>
      <x:c r="F42" s="58" t="n">
        <x:f>F41*'Scenario Inputs'!$C$29</x:f>
        <x:v>2799.0278191943817</x:v>
      </x:c>
      <x:c r="G42" s="58" t="n">
        <x:f>G41*'Scenario Inputs'!$C$29</x:f>
        <x:v>3028.7362325865333</x:v>
      </x:c>
      <x:c r="H42" s="58" t="n">
        <x:f>H41*'Scenario Inputs'!$C$29</x:f>
        <x:v>4439.250164455812</x:v>
      </x:c>
      <x:c r="I42" s="58" t="n">
        <x:f>I41*'Scenario Inputs'!$C$29</x:f>
        <x:v>4745.928199577168</x:v>
      </x:c>
      <x:c r="J42" s="58" t="n">
        <x:f>J41*'Scenario Inputs'!$C$29</x:f>
        <x:v>5072.744212840094</x:v>
      </x:c>
      <x:c r="K42" s="58" t="n">
        <x:f>K41*'Scenario Inputs'!$C$29</x:f>
        <x:v>5428.912587954627</x:v>
      </x:c>
      <x:c r="L42" s="58" t="n">
        <x:f>L41*'Scenario Inputs'!$C$29</x:f>
        <x:v>5819.399926288882</x:v>
      </x:c>
      <x:c r="M42" s="58" t="n">
        <x:f>M41*'Scenario Inputs'!$C$29</x:f>
        <x:v>6249.557373227875</x:v>
      </x:c>
      <x:c r="N42" s="58" t="n">
        <x:f>N41*'Scenario Inputs'!$C$29</x:f>
        <x:v>8557.962832947107</x:v>
      </x:c>
      <x:c r="O42" s="58" t="n">
        <x:f>O41*'Scenario Inputs'!$C$29</x:f>
        <x:v>8687.178546041361</x:v>
      </x:c>
      <x:c r="P42" s="58" t="n">
        <x:f>P41*'Scenario Inputs'!$C$29</x:f>
        <x:v>8800.261813810559</x:v>
      </x:c>
      <x:c r="Q42" s="58" t="n">
        <x:f>Q41*'Scenario Inputs'!$C$29</x:f>
        <x:v>9055.372693171888</x:v>
      </x:c>
      <x:c r="R42" s="58" t="n">
        <x:f>R41*'Scenario Inputs'!$C$29</x:f>
        <x:v>9157.458270332783</x:v>
      </x:c>
      <x:c r="S42" s="58" t="n">
        <x:f>S41*'Scenario Inputs'!$C$29</x:f>
        <x:v>9257.112888462398</x:v>
      </x:c>
      <x:c r="T42" s="58" t="n">
        <x:f>T41*'Scenario Inputs'!$C$29</x:f>
        <x:v>11705.249757664818</x:v>
      </x:c>
      <x:c r="U42" s="58" t="n">
        <x:f>U41*'Scenario Inputs'!$C$29</x:f>
        <x:v>11859.473211085395</x:v>
      </x:c>
      <x:c r="V42" s="58" t="n">
        <x:f>V41*'Scenario Inputs'!$C$29</x:f>
        <x:v>12001.89708795887</x:v>
      </x:c>
      <x:c r="W42" s="58" t="n">
        <x:f>W41*'Scenario Inputs'!$C$29</x:f>
        <x:v>12143.161711889556</x:v>
      </x:c>
      <x:c r="X42" s="58" t="n">
        <x:f>X41*'Scenario Inputs'!$C$29</x:f>
        <x:v>12285.79978982405</x:v>
      </x:c>
      <x:c r="Y42" s="58" t="n">
        <x:f>Y41*'Scenario Inputs'!$C$29</x:f>
        <x:v>12432.256799489869</x:v>
      </x:c>
      <x:c r="Z42" s="58" t="n">
        <x:f>Z41*'Scenario Inputs'!$C$29</x:f>
        <x:v>14493.132017285414</x:v>
      </x:c>
      <x:c r="AA42" s="58" t="n">
        <x:f>AA41*'Scenario Inputs'!$C$29</x:f>
        <x:v>14576.347826651445</x:v>
      </x:c>
      <x:c r="AB42" s="58" t="n">
        <x:f>AB41*'Scenario Inputs'!$C$29</x:f>
        <x:v>14647.803768347385</x:v>
      </x:c>
      <x:c r="AC42" s="58" t="n">
        <x:f>AC41*'Scenario Inputs'!$C$29</x:f>
        <x:v>14793.40259174259</x:v>
      </x:c>
      <x:c r="AD42" s="58" t="n">
        <x:f>AD41*'Scenario Inputs'!$C$29</x:f>
        <x:v>14855.972030834797</x:v>
      </x:c>
      <x:c r="AE42" s="58" t="n">
        <x:f>AE41*'Scenario Inputs'!$C$29</x:f>
        <x:v>14916.057720153522</x:v>
      </x:c>
      <x:c r="AF42" s="58" t="n">
        <x:f>AF41*'Scenario Inputs'!$C$29</x:f>
        <x:v>17552.30026859639</x:v>
      </x:c>
      <x:c r="AG42" s="58" t="n">
        <x:f>AG41*'Scenario Inputs'!$C$29</x:f>
        <x:v>17659.883583626623</x:v>
      </x:c>
      <x:c r="AH42" s="58" t="n">
        <x:f>AH41*'Scenario Inputs'!$C$29</x:f>
        <x:v>17754.911993422887</x:v>
      </x:c>
      <x:c r="AI42" s="58" t="n">
        <x:f>AI41*'Scenario Inputs'!$C$29</x:f>
        <x:v>17846.53371402888</x:v>
      </x:c>
      <x:c r="AJ42" s="58" t="n">
        <x:f>AJ41*'Scenario Inputs'!$C$29</x:f>
        <x:v>17936.508141142513</x:v>
      </x:c>
      <x:c r="AK42" s="58" t="n">
        <x:f>AK41*'Scenario Inputs'!$C$29</x:f>
        <x:v>18026.4883736996</x:v>
      </x:c>
    </x:row>
    <x:row r="43" ht="18" customHeight="1">
      <x:c r="A43" s="4" t="str">
        <x:v>Net billings, ex-tax (INR)</x:v>
      </x:c>
      <x:c r="B43" s="58" t="n">
        <x:f>B41-B42</x:f>
        <x:v>49746.437176271196</x:v>
      </x:c>
      <x:c r="C43" s="58" t="n">
        <x:f>C41-C42</x:f>
        <x:v>54963.615000249156</x:v>
      </x:c>
      <x:c r="D43" s="58" t="n">
        <x:f>D41-D42</x:f>
        <x:v>60390.80834423922</x:v>
      </x:c>
      <x:c r="E43" s="58" t="n">
        <x:f>E41-E42</x:f>
        <x:v>83591.15893813783</x:v>
      </x:c>
      <x:c r="F43" s="58" t="n">
        <x:f>F41-F42</x:f>
        <x:v>90501.89948728502</x:v>
      </x:c>
      <x:c r="G43" s="58" t="n">
        <x:f>G41-G42</x:f>
        <x:v>97929.13818696457</x:v>
      </x:c>
      <x:c r="H43" s="58" t="n">
        <x:f>H41-H42</x:f>
        <x:v>143535.7553174046</x:v>
      </x:c>
      <x:c r="I43" s="58" t="n">
        <x:f>I41-I42</x:f>
        <x:v>153451.6784529951</x:v>
      </x:c>
      <x:c r="J43" s="58" t="n">
        <x:f>J41-J42</x:f>
        <x:v>164018.7295484964</x:v>
      </x:c>
      <x:c r="K43" s="58" t="n">
        <x:f>K41-K42</x:f>
        <x:v>175534.8403438663</x:v>
      </x:c>
      <x:c r="L43" s="58" t="n">
        <x:f>L41-L42</x:f>
        <x:v>188160.59761667388</x:v>
      </x:c>
      <x:c r="M43" s="58" t="n">
        <x:f>M41-M42</x:f>
        <x:v>202069.02173436797</x:v>
      </x:c>
      <x:c r="N43" s="58" t="n">
        <x:f>N41-N42</x:f>
        <x:v>276707.4649319565</x:v>
      </x:c>
      <x:c r="O43" s="58" t="n">
        <x:f>O41-O42</x:f>
        <x:v>280885.43965533737</x:v>
      </x:c>
      <x:c r="P43" s="58" t="n">
        <x:f>P41-P42</x:f>
        <x:v>284541.7986465414</x:v>
      </x:c>
      <x:c r="Q43" s="58" t="n">
        <x:f>Q41-Q42</x:f>
        <x:v>292790.38374589104</x:v>
      </x:c>
      <x:c r="R43" s="58" t="n">
        <x:f>R41-R42</x:f>
        <x:v>296091.15074076003</x:v>
      </x:c>
      <x:c r="S43" s="58" t="n">
        <x:f>S41-S42</x:f>
        <x:v>299313.31672695087</x:v>
      </x:c>
      <x:c r="T43" s="58" t="n">
        <x:f>T41-T42</x:f>
        <x:v>378469.7421644958</x:v>
      </x:c>
      <x:c r="U43" s="58" t="n">
        <x:f>U41-U42</x:f>
        <x:v>383456.30049176107</x:v>
      </x:c>
      <x:c r="V43" s="58" t="n">
        <x:f>V41-V42</x:f>
        <x:v>388061.33917733683</x:v>
      </x:c>
      <x:c r="W43" s="58" t="n">
        <x:f>W41-W42</x:f>
        <x:v>392628.89535109565</x:v>
      </x:c>
      <x:c r="X43" s="58" t="n">
        <x:f>X41-X42</x:f>
        <x:v>397240.85987097764</x:v>
      </x:c>
      <x:c r="Y43" s="58" t="n">
        <x:f>Y41-Y42</x:f>
        <x:v>401976.30318350584</x:v>
      </x:c>
      <x:c r="Z43" s="58" t="n">
        <x:f>Z41-Z42</x:f>
        <x:v>468611.2685588951</x:v>
      </x:c>
      <x:c r="AA43" s="58" t="n">
        <x:f>AA41-AA42</x:f>
        <x:v>471301.91306173004</x:v>
      </x:c>
      <x:c r="AB43" s="58" t="n">
        <x:f>AB41-AB42</x:f>
        <x:v>473612.32184323214</x:v>
      </x:c>
      <x:c r="AC43" s="58" t="n">
        <x:f>AC41-AC42</x:f>
        <x:v>478320.01713301043</x:v>
      </x:c>
      <x:c r="AD43" s="58" t="n">
        <x:f>AD41-AD42</x:f>
        <x:v>480343.09566365846</x:v>
      </x:c>
      <x:c r="AE43" s="58" t="n">
        <x:f>AE41-AE42</x:f>
        <x:v>482285.86628496385</x:v>
      </x:c>
      <x:c r="AF43" s="58" t="n">
        <x:f>AF41-AF42</x:f>
        <x:v>567524.3753512834</x:v>
      </x:c>
      <x:c r="AG43" s="58" t="n">
        <x:f>AG41-AG42</x:f>
        <x:v>571002.9025372609</x:v>
      </x:c>
      <x:c r="AH43" s="58" t="n">
        <x:f>AH41-AH42</x:f>
        <x:v>574075.4877873401</x:v>
      </x:c>
      <x:c r="AI43" s="58" t="n">
        <x:f>AI41-AI42</x:f>
        <x:v>577037.9234202671</x:v>
      </x:c>
      <x:c r="AJ43" s="58" t="n">
        <x:f>AJ41-AJ42</x:f>
        <x:v>579947.0965636079</x:v>
      </x:c>
      <x:c r="AK43" s="58" t="n">
        <x:f>AK41-AK42</x:f>
        <x:v>582856.4574162872</x:v>
      </x:c>
    </x:row>
    <x:row r="44" ht="18" customHeight="1">
      <x:c r="A44" s="4" t="str">
        <x:v>Payment / store fees (INR)</x:v>
      </x:c>
      <x:c r="B44" s="58" t="n">
        <x:f>B25*$B$86+B32*$B$87</x:f>
        <x:v>5304.1549484745765</x:v>
      </x:c>
      <x:c r="C44" s="58" t="n">
        <x:f>C25*$B$86+C32*$B$87</x:f>
        <x:v>5897.804487181016</x:v>
      </x:c>
      <x:c r="D44" s="58" t="n">
        <x:f>D25*$B$86+D32*$B$87</x:f>
        <x:v>6506.58716308263</x:v>
      </x:c>
      <x:c r="E44" s="58" t="n">
        <x:f>E25*$B$86+E32*$B$87</x:f>
        <x:v>9008.909992367218</x:v>
      </x:c>
      <x:c r="F44" s="58" t="n">
        <x:f>F25*$B$86+F32*$B$87</x:f>
        <x:v>9786.4391494951</x:v>
      </x:c>
      <x:c r="G44" s="58" t="n">
        <x:f>G25*$B$86+G32*$B$87</x:f>
        <x:v>10615.09120405933</x:v>
      </x:c>
      <x:c r="H44" s="58" t="n">
        <x:f>H25*$B$86+H32*$B$87</x:f>
        <x:v>15513.28102434319</x:v>
      </x:c>
      <x:c r="I44" s="58" t="n">
        <x:f>I25*$B$86+I32*$B$87</x:f>
        <x:v>16633.54507695494</x:v>
      </x:c>
      <x:c r="J44" s="58" t="n">
        <x:f>J25*$B$86+J32*$B$87</x:f>
        <x:v>17815.584620820908</x:v>
      </x:c>
      <x:c r="K44" s="58" t="n">
        <x:f>K25*$B$86+K32*$B$87</x:f>
        <x:v>19096.452800878254</x:v>
      </x:c>
      <x:c r="L44" s="58" t="n">
        <x:f>L25*$B$86+L32*$B$87</x:f>
        <x:v>20494.306611838154</x:v>
      </x:c>
      <x:c r="M44" s="58" t="n">
        <x:f>M25*$B$86+M32*$B$87</x:f>
        <x:v>22028.55992523203</x:v>
      </x:c>
      <x:c r="N44" s="58" t="n">
        <x:f>N25*$B$86+N32*$B$87</x:f>
        <x:v>30019.946136093597</x:v>
      </x:c>
      <x:c r="O44" s="58" t="n">
        <x:f>O25*$B$86+O32*$B$87</x:f>
        <x:v>30551.375519252444</x:v>
      </x:c>
      <x:c r="P44" s="58" t="n">
        <x:f>P25*$B$86+P32*$B$87</x:f>
        <x:v>31008.626030380943</x:v>
      </x:c>
      <x:c r="Q44" s="58" t="n">
        <x:f>Q25*$B$86+Q32*$B$87</x:f>
        <x:v>31938.714298972864</x:v>
      </x:c>
      <x:c r="R44" s="58" t="n">
        <x:f>R25*$B$86+R32*$B$87</x:f>
        <x:v>32338.90011350996</x:v>
      </x:c>
      <x:c r="S44" s="58" t="n">
        <x:f>S25*$B$86+S32*$B$87</x:f>
        <x:v>32723.094694464973</x:v>
      </x:c>
      <x:c r="T44" s="58" t="n">
        <x:f>T25*$B$86+T32*$B$87</x:f>
        <x:v>41183.044751949514</x:v>
      </x:c>
      <x:c r="U44" s="58" t="n">
        <x:f>U25*$B$86+U32*$B$87</x:f>
        <x:v>41792.36996665479</x:v>
      </x:c>
      <x:c r="V44" s="58" t="n">
        <x:f>V25*$B$86+V32*$B$87</x:f>
        <x:v>42342.67137353087</x:v>
      </x:c>
      <x:c r="W44" s="58" t="n">
        <x:f>W25*$B$86+W32*$B$87</x:f>
        <x:v>42879.43423736794</x:v>
      </x:c>
      <x:c r="X44" s="58" t="n">
        <x:f>X25*$B$86+X32*$B$87</x:f>
        <x:v>43412.68367081824</x:v>
      </x:c>
      <x:c r="Y44" s="58" t="n">
        <x:f>Y25*$B$86+Y32*$B$87</x:f>
        <x:v>43951.94227843587</x:v>
      </x:c>
      <x:c r="Z44" s="58" t="n">
        <x:f>Z25*$B$86+Z32*$B$87</x:f>
        <x:v>51057.88472663959</x:v>
      </x:c>
      <x:c r="AA44" s="58" t="n">
        <x:f>AA25*$B$86+AA32*$B$87</x:f>
        <x:v>51403.66301332909</x:v>
      </x:c>
      <x:c r="AB44" s="58" t="n">
        <x:f>AB25*$B$86+AB32*$B$87</x:f>
        <x:v>51696.118159434714</x:v>
      </x:c>
      <x:c r="AC44" s="58" t="n">
        <x:f>AC25*$B$86+AC32*$B$87</x:f>
        <x:v>52233.73009257859</x:v>
      </x:c>
      <x:c r="AD44" s="58" t="n">
        <x:f>AD25*$B$86+AD32*$B$87</x:f>
        <x:v>52482.57666563738</x:v>
      </x:c>
      <x:c r="AE44" s="58" t="n">
        <x:f>AE25*$B$86+AE32*$B$87</x:f>
        <x:v>52717.71705021724</x:v>
      </x:c>
      <x:c r="AF44" s="58" t="n">
        <x:f>AF25*$B$86+AF32*$B$87</x:f>
        <x:v>61797.60748061208</x:v>
      </x:c>
      <x:c r="AG44" s="58" t="n">
        <x:f>AG25*$B$86+AG32*$B$87</x:f>
        <x:v>62233.01854908769</x:v>
      </x:c>
      <x:c r="AH44" s="58" t="n">
        <x:f>AH25*$B$86+AH32*$B$87</x:f>
        <x:v>62609.64611282801</x:v>
      </x:c>
      <x:c r="AI44" s="58" t="n">
        <x:f>AI25*$B$86+AI32*$B$87</x:f>
        <x:v>62966.893549728666</x:v>
      </x:c>
      <x:c r="AJ44" s="58" t="n">
        <x:f>AJ25*$B$86+AJ32*$B$87</x:f>
        <x:v>63311.88908817799</x:v>
      </x:c>
      <x:c r="AK44" s="58" t="n">
        <x:f>AK25*$B$86+AK32*$B$87</x:f>
        <x:v>63651.23230126657</x:v>
      </x:c>
    </x:row>
    <x:row r="45" ht="18" customHeight="1">
      <x:c r="A45" s="4" t="str">
        <x:v>Billing / entitlement reserve (INR)</x:v>
      </x:c>
      <x:c r="B45" s="58" t="n">
        <x:f>B25*$B$88+B32*$B$89</x:f>
        <x:v>534.7638</x:v>
      </x:c>
      <x:c r="C45" s="58" t="n">
        <x:f>C25*$B$88+C32*$B$89</x:f>
        <x:v>590.7725829000001</x:v>
      </x:c>
      <x:c r="D45" s="58" t="n">
        <x:f>D25*$B$88+D32*$B$89</x:f>
        <x:v>649.0535154997499</x:v>
      </x:c>
      <x:c r="E45" s="58" t="n">
        <x:f>E25*$B$88+E32*$B$89</x:f>
        <x:v>898.3951779800827</x:v>
      </x:c>
      <x:c r="F45" s="58" t="n">
        <x:f>F25*$B$88+F32*$B$89</x:f>
        <x:v>972.6027916160629</x:v>
      </x:c>
      <x:c r="G45" s="58" t="n">
        <x:f>G25*$B$88+G32*$B$89</x:f>
        <x:v>1052.370552808996</x:v>
      </x:c>
      <x:c r="H45" s="58" t="n">
        <x:f>H25*$B$88+H32*$B$89</x:f>
        <x:v>1542.5612384792046</x:v>
      </x:c>
      <x:c r="I45" s="58" t="n">
        <x:f>I25*$B$88+I32*$B$89</x:f>
        <x:v>1649.0292912091256</x:v>
      </x:c>
      <x:c r="J45" s="58" t="n">
        <x:f>J25*$B$88+J32*$B$89</x:f>
        <x:v>1762.5121420425169</x:v>
      </x:c>
      <x:c r="K45" s="58" t="n">
        <x:f>K25*$B$88+K32*$B$89</x:f>
        <x:v>1886.201916221989</x:v>
      </x:c>
      <x:c r="L45" s="58" t="n">
        <x:f>L25*$B$88+L32*$B$89</x:f>
        <x:v>2021.8228176946457</x:v>
      </x:c>
      <x:c r="M45" s="58" t="n">
        <x:f>M25*$B$88+M32*$B$89</x:f>
        <x:v>2171.232846652732</x:v>
      </x:c>
      <x:c r="N45" s="58" t="n">
        <x:f>N25*$B$88+N32*$B$89</x:f>
        <x:v>2973.5141711494744</x:v>
      </x:c>
      <x:c r="O45" s="58" t="n">
        <x:f>O25*$B$88+O32*$B$89</x:f>
        <x:v>3018.254518971136</x:v>
      </x:c>
      <x:c r="P45" s="58" t="n">
        <x:f>P25*$B$88+P32*$B$89</x:f>
        <x:v>3057.4247508974504</x:v>
      </x:c>
      <x:c r="Q45" s="58" t="n">
        <x:f>Q25*$B$88+Q32*$B$89</x:f>
        <x:v>3145.994077175865</x:v>
      </x:c>
      <x:c r="R45" s="58" t="n">
        <x:f>R25*$B$88+R32*$B$89</x:f>
        <x:v>3181.3800901026075</x:v>
      </x:c>
      <x:c r="S45" s="58" t="n">
        <x:f>S25*$B$88+S32*$B$89</x:f>
        <x:v>3215.936387705823</x:v>
      </x:c>
      <x:c r="T45" s="58" t="n">
        <x:f>T25*$B$88+T32*$B$89</x:f>
        <x:v>4066.8114121087865</x:v>
      </x:c>
      <x:c r="U45" s="58" t="n">
        <x:f>U25*$B$88+U32*$B$89</x:f>
        <x:v>4120.260510363725</x:v>
      </x:c>
      <x:c r="V45" s="58" t="n">
        <x:f>V25*$B$88+V32*$B$89</x:f>
        <x:v>4169.645061208132</x:v>
      </x:c>
      <x:c r="W45" s="58" t="n">
        <x:f>W25*$B$88+W32*$B$89</x:f>
        <x:v>4218.645777070987</x:v>
      </x:c>
      <x:c r="X45" s="58" t="n">
        <x:f>X25*$B$88+X32*$B$89</x:f>
        <x:v>4268.140378985037</x:v>
      </x:c>
      <x:c r="Y45" s="58" t="n">
        <x:f>Y25*$B$88+Y32*$B$89</x:f>
        <x:v>4318.976672934813</x:v>
      </x:c>
      <x:c r="Z45" s="58" t="n">
        <x:f>Z25*$B$88+Z32*$B$89</x:f>
        <x:v>5035.286482976316</x:v>
      </x:c>
      <x:c r="AA45" s="58" t="n">
        <x:f>AA25*$B$88+AA32*$B$89</x:f>
        <x:v>5064.092503210638</x:v>
      </x:c>
      <x:c r="AB45" s="58" t="n">
        <x:f>AB25*$B$88+AB32*$B$89</x:f>
        <x:v>5088.836644446895</x:v>
      </x:c>
      <x:c r="AC45" s="58" t="n">
        <x:f>AC25*$B$88+AC32*$B$89</x:f>
        <x:v>5139.372027705475</x:v>
      </x:c>
      <x:c r="AD45" s="58" t="n">
        <x:f>AD25*$B$88+AD32*$B$89</x:f>
        <x:v>5161.053387269262</x:v>
      </x:c>
      <x:c r="AE45" s="58" t="n">
        <x:f>AE25*$B$88+AE32*$B$89</x:f>
        <x:v>5181.881745975843</x:v>
      </x:c>
      <x:c r="AF45" s="58" t="n">
        <x:f>AF25*$B$88+AF32*$B$89</x:f>
        <x:v>6098.195037481999</x:v>
      </x:c>
      <x:c r="AG45" s="58" t="n">
        <x:f>AG25*$B$88+AG32*$B$89</x:f>
        <x:v>6135.459374415845</x:v>
      </x:c>
      <x:c r="AH45" s="58" t="n">
        <x:f>AH25*$B$88+AH32*$B$89</x:f>
        <x:v>6168.39093775224</x:v>
      </x:c>
      <x:c r="AI45" s="58" t="n">
        <x:f>AI25*$B$88+AI32*$B$89</x:f>
        <x:v>6200.153694966501</x:v>
      </x:c>
      <x:c r="AJ45" s="58" t="n">
        <x:f>AJ25*$B$88+AJ32*$B$89</x:f>
        <x:v>6231.3570442449445</x:v>
      </x:c>
      <x:c r="AK45" s="58" t="n">
        <x:f>AK25*$B$88+AK32*$B$89</x:f>
        <x:v>6262.573762075819</x:v>
      </x:c>
    </x:row>
    <x:row r="46" ht="18" customHeight="1">
      <x:c r="A46" s="4" t="str">
        <x:v>Paid users: AI cost (INR)</x:v>
      </x:c>
      <x:c r="B46" s="58" t="n">
        <x:f>B34*'Commercial Inputs'!$B$24*$B$90</x:f>
        <x:v>143.56485</x:v>
      </x:c>
      <x:c r="C46" s="58" t="n">
        <x:f>C34*'Commercial Inputs'!$B$24*$B$90</x:f>
        <x:v>283.36268317500003</x:v>
      </x:c>
      <x:c r="D46" s="58" t="n">
        <x:f>D34*'Commercial Inputs'!$B$24*$B$90</x:f>
        <x:v>428.87800990856255</x:v>
      </x:c>
      <x:c r="E46" s="58" t="n">
        <x:f>E34*'Commercial Inputs'!$B$24*$B$90</x:f>
        <x:v>634.437512012111</x:v>
      </x:c>
      <x:c r="F46" s="58" t="n">
        <x:f>F34*'Commercial Inputs'!$B$24*$B$90</x:f>
        <x:v>846.5189146903331</x:v>
      </x:c>
      <x:c r="G46" s="58" t="n">
        <x:f>G34*'Commercial Inputs'!$B$24*$B$90</x:f>
        <x:v>1070.1267127608323</x:v>
      </x:c>
      <x:c r="H46" s="58" t="n">
        <x:f>H34*'Commercial Inputs'!$B$24*$B$90</x:f>
        <x:v>1416.5864919642177</x:v>
      </x:c>
      <x:c r="I46" s="58" t="n">
        <x:f>I34*'Commercial Inputs'!$B$24*$B$90</x:f>
        <x:v>1768.6236630838828</x:v>
      </x:c>
      <x:c r="J46" s="58" t="n">
        <x:f>J34*'Commercial Inputs'!$B$24*$B$90</x:f>
        <x:v>2135.6789548814936</x:v>
      </x:c>
      <x:c r="K46" s="58" t="n">
        <x:f>K34*'Commercial Inputs'!$B$24*$B$90</x:f>
        <x:v>2523.022315647195</x:v>
      </x:c>
      <x:c r="L46" s="58" t="n">
        <x:f>L34*'Commercial Inputs'!$B$24*$B$90</x:f>
        <x:v>2933.82510328653</x:v>
      </x:c>
      <x:c r="M46" s="58" t="n">
        <x:f>M34*'Commercial Inputs'!$B$24*$B$90</x:f>
        <x:v>3371.5313726519666</x:v>
      </x:c>
      <x:c r="N46" s="58" t="n">
        <x:f>N34*'Commercial Inputs'!$B$24*$B$90</x:f>
        <x:v>3894.7174985359497</x:v>
      </x:c>
      <x:c r="O46" s="58" t="n">
        <x:f>O34*'Commercial Inputs'!$B$24*$B$90</x:f>
        <x:v>4389.257763426755</x:v>
      </x:c>
      <x:c r="P46" s="58" t="n">
        <x:f>P34*'Commercial Inputs'!$B$24*$B$90</x:f>
        <x:v>4866.83013280304</x:v>
      </x:c>
      <x:c r="Q46" s="58" t="n">
        <x:f>Q34*'Commercial Inputs'!$B$24*$B$90</x:f>
        <x:v>5304.706252064978</x:v>
      </x:c>
      <x:c r="R46" s="58" t="n">
        <x:f>R34*'Commercial Inputs'!$B$24*$B$90</x:f>
        <x:v>5729.367005250697</x:v>
      </x:c>
      <x:c r="S46" s="58" t="n">
        <x:f>S34*'Commercial Inputs'!$B$24*$B$90</x:f>
        <x:v>6140.5110355667375</x:v>
      </x:c>
      <x:c r="T46" s="58" t="n">
        <x:f>T34*'Commercial Inputs'!$B$24*$B$90</x:f>
        <x:v>6669.230721337766</x:v>
      </x:c>
      <x:c r="U46" s="58" t="n">
        <x:f>U34*'Commercial Inputs'!$B$24*$B$90</x:f>
        <x:v>7163.392785410139</x:v>
      </x:c>
      <x:c r="V46" s="58" t="n">
        <x:f>V34*'Commercial Inputs'!$B$24*$B$90</x:f>
        <x:v>7634.287769142502</x:v>
      </x:c>
      <x:c r="W46" s="58" t="n">
        <x:f>W34*'Commercial Inputs'!$B$24*$B$90</x:f>
        <x:v>8085.273886958534</x:v>
      </x:c>
      <x:c r="X46" s="58" t="n">
        <x:f>X34*'Commercial Inputs'!$B$24*$B$90</x:f>
        <x:v>8515.325048581311</x:v>
      </x:c>
      <x:c r="Y46" s="58" t="n">
        <x:f>Y34*'Commercial Inputs'!$B$24*$B$90</x:f>
        <x:v>8923.092493560804</x:v>
      </x:c>
      <x:c r="Z46" s="58" t="n">
        <x:f>Z34*'Commercial Inputs'!$B$24*$B$90</x:f>
        <x:v>9342.90668204016</x:v>
      </x:c>
      <x:c r="AA46" s="58" t="n">
        <x:f>AA34*'Commercial Inputs'!$B$24*$B$90</x:f>
        <x:v>9746.282210511183</x:v>
      </x:c>
      <x:c r="AB46" s="58" t="n">
        <x:f>AB34*'Commercial Inputs'!$B$24*$B$90</x:f>
        <x:v>10141.28549469054</x:v>
      </x:c>
      <x:c r="AC46" s="58" t="n">
        <x:f>AC34*'Commercial Inputs'!$B$24*$B$90</x:f>
        <x:v>10525.92525641425</x:v>
      </x:c>
      <x:c r="AD46" s="58" t="n">
        <x:f>AD34*'Commercial Inputs'!$B$24*$B$90</x:f>
        <x:v>10905.676255111268</x:v>
      </x:c>
      <x:c r="AE46" s="58" t="n">
        <x:f>AE34*'Commercial Inputs'!$B$24*$B$90</x:f>
        <x:v>11280.82606453049</x:v>
      </x:c>
      <x:c r="AF46" s="58" t="n">
        <x:f>AF34*'Commercial Inputs'!$B$24*$B$90</x:f>
        <x:v>11711.927210659025</x:v>
      </x:c>
      <x:c r="AG46" s="58" t="n">
        <x:f>AG34*'Commercial Inputs'!$B$24*$B$90</x:f>
        <x:v>12120.760151707947</x:v>
      </x:c>
      <x:c r="AH46" s="58" t="n">
        <x:f>AH34*'Commercial Inputs'!$B$24*$B$90</x:f>
        <x:v>12518.504214415712</x:v>
      </x:c>
      <x:c r="AI46" s="58" t="n">
        <x:f>AI34*'Commercial Inputs'!$B$24*$B$90</x:f>
        <x:v>12909.264066790669</x:v>
      </x:c>
      <x:c r="AJ46" s="58" t="n">
        <x:f>AJ34*'Commercial Inputs'!$B$24*$B$90</x:f>
        <x:v>13293.307666216142</x:v>
      </x:c>
      <x:c r="AK46" s="58" t="n">
        <x:f>AK34*'Commercial Inputs'!$B$24*$B$90</x:f>
        <x:v>13670.773197393417</x:v>
      </x:c>
    </x:row>
    <x:row r="47" ht="18" customHeight="1">
      <x:c r="A47" s="4" t="str">
        <x:v>Free users: AI cost (INR)</x:v>
      </x:c>
      <x:c r="B47" s="58" t="n">
        <x:f>B35*'Commercial Inputs'!$B$25*$B$90</x:f>
        <x:v>193.05</x:v>
      </x:c>
      <x:c r="C47" s="58" t="n">
        <x:f>C35*'Commercial Inputs'!$B$25*$B$90</x:f>
        <x:v>340.03521981</x:v>
      </x:c>
      <x:c r="D47" s="58" t="n">
        <x:f>D35*'Commercial Inputs'!$B$25*$B$90</x:f>
        <x:v>514.6536118902751</x:v>
      </x:c>
      <x:c r="E47" s="58" t="n">
        <x:f>E35*'Commercial Inputs'!$B$25*$B$90</x:f>
        <x:v>761.3250144145333</x:v>
      </x:c>
      <x:c r="F47" s="58" t="n">
        <x:f>F35*'Commercial Inputs'!$B$25*$B$90</x:f>
        <x:v>1015.8226976283997</x:v>
      </x:c>
      <x:c r="G47" s="58" t="n">
        <x:f>G35*'Commercial Inputs'!$B$25*$B$90</x:f>
        <x:v>1284.1520553129988</x:v>
      </x:c>
      <x:c r="H47" s="58" t="n">
        <x:f>H35*'Commercial Inputs'!$B$25*$B$90</x:f>
        <x:v>1699.9037903570613</x:v>
      </x:c>
      <x:c r="I47" s="58" t="n">
        <x:f>I35*'Commercial Inputs'!$B$25*$B$90</x:f>
        <x:v>2122.3483957006597</x:v>
      </x:c>
      <x:c r="J47" s="58" t="n">
        <x:f>J35*'Commercial Inputs'!$B$25*$B$90</x:f>
        <x:v>2562.814745857792</x:v>
      </x:c>
      <x:c r="K47" s="58" t="n">
        <x:f>K35*'Commercial Inputs'!$B$25*$B$90</x:f>
        <x:v>3027.6267787766337</x:v>
      </x:c>
      <x:c r="L47" s="58" t="n">
        <x:f>L35*'Commercial Inputs'!$B$25*$B$90</x:f>
        <x:v>3520.5901239438354</x:v>
      </x:c>
      <x:c r="M47" s="58" t="n">
        <x:f>M35*'Commercial Inputs'!$B$25*$B$90</x:f>
        <x:v>4045.8376471823603</x:v>
      </x:c>
      <x:c r="N47" s="58" t="n">
        <x:f>N35*'Commercial Inputs'!$B$25*$B$90</x:f>
        <x:v>4673.66099824314</x:v>
      </x:c>
      <x:c r="O47" s="58" t="n">
        <x:f>O35*'Commercial Inputs'!$B$25*$B$90</x:f>
        <x:v>5267.109316112106</x:v>
      </x:c>
      <x:c r="P47" s="58" t="n">
        <x:f>P35*'Commercial Inputs'!$B$25*$B$90</x:f>
        <x:v>5840.196159363648</x:v>
      </x:c>
      <x:c r="Q47" s="58" t="n">
        <x:f>Q35*'Commercial Inputs'!$B$25*$B$90</x:f>
        <x:v>6365.647502477974</x:v>
      </x:c>
      <x:c r="R47" s="58" t="n">
        <x:f>R35*'Commercial Inputs'!$B$25*$B$90</x:f>
        <x:v>6875.240406300835</x:v>
      </x:c>
      <x:c r="S47" s="58" t="n">
        <x:f>S35*'Commercial Inputs'!$B$25*$B$90</x:f>
        <x:v>7368.613242680085</x:v>
      </x:c>
      <x:c r="T47" s="58" t="n">
        <x:f>T35*'Commercial Inputs'!$B$25*$B$90</x:f>
        <x:v>8003.07686560532</x:v>
      </x:c>
      <x:c r="U47" s="58" t="n">
        <x:f>U35*'Commercial Inputs'!$B$25*$B$90</x:f>
        <x:v>8596.071342492167</x:v>
      </x:c>
      <x:c r="V47" s="58" t="n">
        <x:f>V35*'Commercial Inputs'!$B$25*$B$90</x:f>
        <x:v>9161.145322971002</x:v>
      </x:c>
      <x:c r="W47" s="58" t="n">
        <x:f>W35*'Commercial Inputs'!$B$25*$B$90</x:f>
        <x:v>9702.32866435024</x:v>
      </x:c>
      <x:c r="X47" s="58" t="n">
        <x:f>X35*'Commercial Inputs'!$B$25*$B$90</x:f>
        <x:v>10218.390058297573</x:v>
      </x:c>
      <x:c r="Y47" s="58" t="n">
        <x:f>Y35*'Commercial Inputs'!$B$25*$B$90</x:f>
        <x:v>10707.710992272963</x:v>
      </x:c>
      <x:c r="Z47" s="58" t="n">
        <x:f>Z35*'Commercial Inputs'!$B$25*$B$90</x:f>
        <x:v>11211.488018448194</x:v>
      </x:c>
      <x:c r="AA47" s="58" t="n">
        <x:f>AA35*'Commercial Inputs'!$B$25*$B$90</x:f>
        <x:v>11695.538652613419</x:v>
      </x:c>
      <x:c r="AB47" s="58" t="n">
        <x:f>AB35*'Commercial Inputs'!$B$25*$B$90</x:f>
        <x:v>12169.542593628648</x:v>
      </x:c>
      <x:c r="AC47" s="58" t="n">
        <x:f>AC35*'Commercial Inputs'!$B$25*$B$90</x:f>
        <x:v>12631.110307697101</x:v>
      </x:c>
      <x:c r="AD47" s="58" t="n">
        <x:f>AD35*'Commercial Inputs'!$B$25*$B$90</x:f>
        <x:v>13086.811506133521</x:v>
      </x:c>
      <x:c r="AE47" s="58" t="n">
        <x:f>AE35*'Commercial Inputs'!$B$25*$B$90</x:f>
        <x:v>13536.991277436591</x:v>
      </x:c>
      <x:c r="AF47" s="58" t="n">
        <x:f>AF35*'Commercial Inputs'!$B$25*$B$90</x:f>
        <x:v>14054.312652790832</x:v>
      </x:c>
      <x:c r="AG47" s="58" t="n">
        <x:f>AG35*'Commercial Inputs'!$B$25*$B$90</x:f>
        <x:v>14544.912182049538</x:v>
      </x:c>
      <x:c r="AH47" s="58" t="n">
        <x:f>AH35*'Commercial Inputs'!$B$25*$B$90</x:f>
        <x:v>15022.205057298856</x:v>
      </x:c>
      <x:c r="AI47" s="58" t="n">
        <x:f>AI35*'Commercial Inputs'!$B$25*$B$90</x:f>
        <x:v>15491.116880148804</x:v>
      </x:c>
      <x:c r="AJ47" s="58" t="n">
        <x:f>AJ35*'Commercial Inputs'!$B$25*$B$90</x:f>
        <x:v>15951.969199459372</x:v>
      </x:c>
      <x:c r="AK47" s="58" t="n">
        <x:f>AK35*'Commercial Inputs'!$B$25*$B$90</x:f>
        <x:v>16404.927836872102</x:v>
      </x:c>
    </x:row>
    <x:row r="48" ht="18" customHeight="1">
      <x:c r="A48" s="4" t="str">
        <x:v>Variable support/tools (INR)</x:v>
      </x:c>
      <x:c r="B48" s="58" t="n">
        <x:f>B34*'Commercial Inputs'!$B$28</x:f>
        <x:v>111.55</x:v>
      </x:c>
      <x:c r="C48" s="58" t="n">
        <x:f>C34*'Commercial Inputs'!$B$28</x:f>
        <x:v>220.173025</x:v>
      </x:c>
      <x:c r="D48" s="58" t="n">
        <x:f>D34*'Commercial Inputs'!$B$28</x:f>
        <x:v>333.2385469375</x:v>
      </x:c>
      <x:c r="E48" s="58" t="n">
        <x:f>E34*'Commercial Inputs'!$B$28</x:f>
        <x:v>492.95843979185</x:v>
      </x:c>
      <x:c r="F48" s="58" t="n">
        <x:f>F34*'Commercial Inputs'!$B$28</x:f>
        <x:v>657.7458544602432</x:v>
      </x:c>
      <x:c r="G48" s="58" t="n">
        <x:f>G34*'Commercial Inputs'!$B$28</x:f>
        <x:v>831.489287304454</x:v>
      </x:c>
      <x:c r="H48" s="58" t="n">
        <x:f>H34*'Commercial Inputs'!$B$28</x:f>
        <x:v>1100.688804945002</x:v>
      </x:c>
      <x:c r="I48" s="58" t="n">
        <x:f>I34*'Commercial Inputs'!$B$28</x:f>
        <x:v>1374.2219604381373</x:v>
      </x:c>
      <x:c r="J48" s="58" t="n">
        <x:f>J34*'Commercial Inputs'!$B$28</x:f>
        <x:v>1659.4242073671276</x:v>
      </x:c>
      <x:c r="K48" s="58" t="n">
        <x:f>K34*'Commercial Inputs'!$B$28</x:f>
        <x:v>1960.39029964817</x:v>
      </x:c>
      <x:c r="L48" s="58" t="n">
        <x:f>L34*'Commercial Inputs'!$B$28</x:f>
        <x:v>2279.584384838018</x:v>
      </x:c>
      <x:c r="M48" s="58" t="n">
        <x:f>M34*'Commercial Inputs'!$B$28</x:f>
        <x:v>2619.6824962330743</x:v>
      </x:c>
      <x:c r="N48" s="58" t="n">
        <x:f>N34*'Commercial Inputs'!$B$28</x:f>
        <x:v>3026.1985225609556</x:v>
      </x:c>
      <x:c r="O48" s="58" t="n">
        <x:f>O34*'Commercial Inputs'!$B$28</x:f>
        <x:v>3410.4566926392813</x:v>
      </x:c>
      <x:c r="P48" s="58" t="n">
        <x:f>P34*'Commercial Inputs'!$B$28</x:f>
        <x:v>3781.5307947187566</x:v>
      </x:c>
      <x:c r="Q48" s="58" t="n">
        <x:f>Q34*'Commercial Inputs'!$B$28</x:f>
        <x:v>4121.760879615367</x:v>
      </x:c>
      <x:c r="R48" s="58" t="n">
        <x:f>R34*'Commercial Inputs'!$B$28</x:f>
        <x:v>4451.722614802406</x:v>
      </x:c>
      <x:c r="S48" s="58" t="n">
        <x:f>S34*'Commercial Inputs'!$B$28</x:f>
        <x:v>4771.181845817201</x:v>
      </x:c>
      <x:c r="T48" s="58" t="n">
        <x:f>T34*'Commercial Inputs'!$B$28</x:f>
        <x:v>5181.997452476897</x:v>
      </x:c>
      <x:c r="U48" s="58" t="n">
        <x:f>U34*'Commercial Inputs'!$B$28</x:f>
        <x:v>5565.9617602254375</x:v>
      </x:c>
      <x:c r="V48" s="58" t="n">
        <x:f>V34*'Commercial Inputs'!$B$28</x:f>
        <x:v>5931.847528471252</x:v>
      </x:c>
      <x:c r="W48" s="58" t="n">
        <x:f>W34*'Commercial Inputs'!$B$28</x:f>
        <x:v>6282.264092430873</x:v>
      </x:c>
      <x:c r="X48" s="58" t="n">
        <x:f>X34*'Commercial Inputs'!$B$28</x:f>
        <x:v>6616.414179161857</x:v>
      </x:c>
      <x:c r="Y48" s="58" t="n">
        <x:f>Y34*'Commercial Inputs'!$B$28</x:f>
        <x:v>6933.249800746544</x:v>
      </x:c>
      <x:c r="Z48" s="58" t="n">
        <x:f>Z34*'Commercial Inputs'!$B$28</x:f>
        <x:v>7259.4457513909565</x:v>
      </x:c>
      <x:c r="AA48" s="58" t="n">
        <x:f>AA34*'Commercial Inputs'!$B$28</x:f>
        <x:v>7572.868850436039</x:v>
      </x:c>
      <x:c r="AB48" s="58" t="n">
        <x:f>AB34*'Commercial Inputs'!$B$28</x:f>
        <x:v>7879.786709161258</x:v>
      </x:c>
      <x:c r="AC48" s="58" t="n">
        <x:f>AC34*'Commercial Inputs'!$B$28</x:f>
        <x:v>8178.652102885975</x:v>
      </x:c>
      <x:c r="AD48" s="58" t="n">
        <x:f>AD34*'Commercial Inputs'!$B$28</x:f>
        <x:v>8473.718923940378</x:v>
      </x:c>
      <x:c r="AE48" s="58" t="n">
        <x:f>AE34*'Commercial Inputs'!$B$28</x:f>
        <x:v>8765.21061735081</x:v>
      </x:c>
      <x:c r="AF48" s="58" t="n">
        <x:f>AF34*'Commercial Inputs'!$B$28</x:f>
        <x:v>9100.176542858606</x:v>
      </x:c>
      <x:c r="AG48" s="58" t="n">
        <x:f>AG34*'Commercial Inputs'!$B$28</x:f>
        <x:v>9417.840055717132</x:v>
      </x:c>
      <x:c r="AH48" s="58" t="n">
        <x:f>AH34*'Commercial Inputs'!$B$28</x:f>
        <x:v>9726.88750148851</x:v>
      </x:c>
      <x:c r="AI48" s="58" t="n">
        <x:f>AI34*'Commercial Inputs'!$B$28</x:f>
        <x:v>10030.50821040456</x:v>
      </x:c>
      <x:c r="AJ48" s="58" t="n">
        <x:f>AJ34*'Commercial Inputs'!$B$28</x:f>
        <x:v>10328.910385560328</x:v>
      </x:c>
      <x:c r="AK48" s="58" t="n">
        <x:f>AK34*'Commercial Inputs'!$B$28</x:f>
        <x:v>10622.201396576082</x:v>
      </x:c>
    </x:row>
    <x:row r="49" ht="18" customHeight="1">
      <x:c r="A49" s="4" t="str">
        <x:v>Total direct costs (INR)</x:v>
      </x:c>
      <x:c r="B49" s="58" t="n">
        <x:f>SUM(B44:B48)</x:f>
        <x:v>6287.083598474576</x:v>
      </x:c>
      <x:c r="C49" s="58" t="n">
        <x:f>SUM(C44:C48)</x:f>
        <x:v>7332.147998066016</x:v>
      </x:c>
      <x:c r="D49" s="58" t="n">
        <x:f>SUM(D44:D48)</x:f>
        <x:v>8432.410847318717</x:v>
      </x:c>
      <x:c r="E49" s="58" t="n">
        <x:f>SUM(E44:E48)</x:f>
        <x:v>11796.026136565795</x:v>
      </x:c>
      <x:c r="F49" s="58" t="n">
        <x:f>SUM(F44:F48)</x:f>
        <x:v>13279.129407890137</x:v>
      </x:c>
      <x:c r="G49" s="58" t="n">
        <x:f>SUM(G44:G48)</x:f>
        <x:v>14853.22981224661</x:v>
      </x:c>
      <x:c r="H49" s="58" t="n">
        <x:f>SUM(H44:H48)</x:f>
        <x:v>21273.02135008868</x:v>
      </x:c>
      <x:c r="I49" s="58" t="n">
        <x:f>SUM(I44:I48)</x:f>
        <x:v>23547.768387386746</x:v>
      </x:c>
      <x:c r="J49" s="58" t="n">
        <x:f>SUM(J44:J48)</x:f>
        <x:v>25936.014670969835</x:v>
      </x:c>
      <x:c r="K49" s="58" t="n">
        <x:f>SUM(K44:K48)</x:f>
        <x:v>28493.69411117224</x:v>
      </x:c>
      <x:c r="L49" s="58" t="n">
        <x:f>SUM(L44:L48)</x:f>
        <x:v>31250.129041601183</x:v>
      </x:c>
      <x:c r="M49" s="58" t="n">
        <x:f>SUM(M44:M48)</x:f>
        <x:v>34236.84428795217</x:v>
      </x:c>
      <x:c r="N49" s="58" t="n">
        <x:f>SUM(N44:N48)</x:f>
        <x:v>44588.037326583115</x:v>
      </x:c>
      <x:c r="O49" s="58" t="n">
        <x:f>SUM(O44:O48)</x:f>
        <x:v>46636.45381040172</x:v>
      </x:c>
      <x:c r="P49" s="58" t="n">
        <x:f>SUM(P44:P48)</x:f>
        <x:v>48554.60786816383</x:v>
      </x:c>
      <x:c r="Q49" s="58" t="n">
        <x:f>SUM(Q44:Q48)</x:f>
        <x:v>50876.823010307045</x:v>
      </x:c>
      <x:c r="R49" s="58" t="n">
        <x:f>SUM(R44:R48)</x:f>
        <x:v>52576.6102299665</x:v>
      </x:c>
      <x:c r="S49" s="58" t="n">
        <x:f>SUM(S44:S48)</x:f>
        <x:v>54219.33720623481</x:v>
      </x:c>
      <x:c r="T49" s="58" t="n">
        <x:f>SUM(T44:T48)</x:f>
        <x:v>65104.16120347828</x:v>
      </x:c>
      <x:c r="U49" s="58" t="n">
        <x:f>SUM(U44:U48)</x:f>
        <x:v>67238.05636514627</x:v>
      </x:c>
      <x:c r="V49" s="58" t="n">
        <x:f>SUM(V44:V48)</x:f>
        <x:v>69239.59705532376</x:v>
      </x:c>
      <x:c r="W49" s="58" t="n">
        <x:f>SUM(W44:W48)</x:f>
        <x:v>71167.94665817858</x:v>
      </x:c>
      <x:c r="X49" s="58" t="n">
        <x:f>SUM(X44:X48)</x:f>
        <x:v>73030.95333584402</x:v>
      </x:c>
      <x:c r="Y49" s="58" t="n">
        <x:f>SUM(Y44:Y48)</x:f>
        <x:v>74834.97223795099</x:v>
      </x:c>
      <x:c r="Z49" s="58" t="n">
        <x:f>SUM(Z44:Z48)</x:f>
        <x:v>83907.01166149521</x:v>
      </x:c>
      <x:c r="AA49" s="58" t="n">
        <x:f>SUM(AA44:AA48)</x:f>
        <x:v>85482.44523010036</x:v>
      </x:c>
      <x:c r="AB49" s="58" t="n">
        <x:f>SUM(AB44:AB48)</x:f>
        <x:v>86975.56960136205</x:v>
      </x:c>
      <x:c r="AC49" s="58" t="n">
        <x:f>SUM(AC44:AC48)</x:f>
        <x:v>88708.78978728139</x:v>
      </x:c>
      <x:c r="AD49" s="58" t="n">
        <x:f>SUM(AD44:AD48)</x:f>
        <x:v>90109.83673809182</x:v>
      </x:c>
      <x:c r="AE49" s="58" t="n">
        <x:f>SUM(AE44:AE48)</x:f>
        <x:v>91482.62675551098</x:v>
      </x:c>
      <x:c r="AF49" s="58" t="n">
        <x:f>SUM(AF44:AF48)</x:f>
        <x:v>102762.21892440254</x:v>
      </x:c>
      <x:c r="AG49" s="58" t="n">
        <x:f>SUM(AG44:AG48)</x:f>
        <x:v>104451.99031297815</x:v>
      </x:c>
      <x:c r="AH49" s="58" t="n">
        <x:f>SUM(AH44:AH48)</x:f>
        <x:v>106045.63382378333</x:v>
      </x:c>
      <x:c r="AI49" s="58" t="n">
        <x:f>SUM(AI44:AI48)</x:f>
        <x:v>107597.9364020392</x:v>
      </x:c>
      <x:c r="AJ49" s="58" t="n">
        <x:f>SUM(AJ44:AJ48)</x:f>
        <x:v>109117.43338365879</x:v>
      </x:c>
      <x:c r="AK49" s="58" t="n">
        <x:f>SUM(AK44:AK48)</x:f>
        <x:v>110611.70849418399</x:v>
      </x:c>
    </x:row>
    <x:row r="50" ht="18" customHeight="1">
      <x:c r="A50" s="74" t="str">
        <x:v>CONTRIBUTION BEFORE ACQUISITION / FIXED</x:v>
      </x:c>
      <x:c r="B50" s="75" t="n">
        <x:f>B38-B49</x:f>
        <x:v>-56.24328385593253</x:v>
      </x:c>
      <x:c r="C50" s="75" t="n">
        <x:f>C38-C49</x:f>
        <x:v>4666.265041547546</x:v>
      </x:c>
      <x:c r="D50" s="75" t="n">
        <x:f>D38-D49</x:f>
        <x:v>9444.519355118815</x:v>
      </x:c>
      <x:c r="E50" s="75" t="n">
        <x:f>E38-E49</x:f>
        <x:v>14485.759088593082</x:v>
      </x:c>
      <x:c r="F50" s="75" t="n">
        <x:f>F38-F49</x:f>
        <x:v>21505.47306025679</x:v>
      </x:c>
      <x:c r="G50" s="75" t="n">
        <x:f>G38-G49</x:f>
        <x:v>28811.500312071432</x:v>
      </x:c>
      <x:c r="H50" s="75" t="n">
        <x:f>H38-H49</x:f>
        <x:v>36500.961743069885</x:v>
      </x:c>
      <x:c r="I50" s="75" t="n">
        <x:f>I38-I49</x:f>
        <x:v>48245.84514813358</x:v>
      </x:c>
      <x:c r="J50" s="75" t="n">
        <x:f>J38-J49</x:f>
        <x:v>60332.808517364436</x:v>
      </x:c>
      <x:c r="K50" s="75" t="n">
        <x:f>K38-K49</x:f>
        <x:v>72980.38383045082</x:v>
      </x:c>
      <x:c r="L50" s="75" t="n">
        <x:f>L38-L49</x:f>
        <x:v>86293.55377942754</x:v>
      </x:c>
      <x:c r="M50" s="75" t="n">
        <x:f>M38-M49</x:f>
        <x:v>100384.37834388926</x:v>
      </x:c>
      <x:c r="N50" s="75" t="n">
        <x:f>N38-N49</x:f>
        <x:v>111160.96055396195</x:v>
      </x:c>
      <x:c r="O50" s="75" t="n">
        <x:f>O38-O49</x:f>
        <x:v>128583.8449197603</x:v>
      </x:c>
      <x:c r="P50" s="75" t="n">
        <x:f>P38-P49</x:f>
        <x:v>145239.79750688223</x:v>
      </x:c>
      <x:c r="Q50" s="75" t="n">
        <x:f>Q38-Q49</x:f>
        <x:v>159882.7447805756</x:v>
      </x:c>
      <x:c r="R50" s="75" t="n">
        <x:f>R38-R49</x:f>
        <x:v>174534.1237221758</x:v>
      </x:c>
      <x:c r="S50" s="75" t="n">
        <x:f>S38-S49</x:f>
        <x:v>188636.30118619796</x:v>
      </x:c>
      <x:c r="T50" s="75" t="n">
        <x:f>T38-T49</x:f>
        <x:v>198982.3935897181</x:v>
      </x:c>
      <x:c r="U50" s="75" t="n">
        <x:f>U38-U49</x:f>
        <x:v>216203.2447893341</x:v>
      </x:c>
      <x:c r="V50" s="75" t="n">
        <x:f>V38-V49</x:f>
        <x:v>232433.60550955334</x:v>
      </x:c>
      <x:c r="W50" s="75" t="n">
        <x:f>W38-W49</x:f>
        <x:v>247869.3904589769</x:v>
      </x:c>
      <x:c r="X50" s="75" t="n">
        <x:f>X38-X49</x:f>
        <x:v>262485.00821185554</x:v>
      </x:c>
      <x:c r="Y50" s="75" t="n">
        <x:f>Y38-Y49</x:f>
        <x:v>276241.5838489383</x:v>
      </x:c>
      <x:c r="Z50" s="75" t="n">
        <x:f>Z38-Z49</x:f>
        <x:v>283889.68098834204</x:v>
      </x:c>
      <x:c r="AA50" s="75" t="n">
        <x:f>AA38-AA49</x:f>
        <x:v>298022.93642415165</x:v>
      </x:c>
      <x:c r="AB50" s="75" t="n">
        <x:f>AB38-AB49</x:f>
        <x:v>311741.98080186604</x:v>
      </x:c>
      <x:c r="AC50" s="75" t="n">
        <x:f>AC38-AC49</x:f>
        <x:v>324737.7453777713</x:v>
      </x:c>
      <x:c r="AD50" s="75" t="n">
        <x:f>AD38-AD49</x:f>
        <x:v>337798.6385937888</x:v>
      </x:c>
      <x:c r="AE50" s="75" t="n">
        <x:f>AE38-AE49</x:f>
        <x:v>350644.1094359229</x:v>
      </x:c>
      <x:c r="AF50" s="75" t="n">
        <x:f>AF38-AF49</x:f>
        <x:v>356720.05737557594</x:v>
      </x:c>
      <x:c r="AG50" s="75" t="n">
        <x:f>AG38-AG49</x:f>
        <x:v>371034.56605143397</x:v>
      </x:c>
      <x:c r="AH50" s="75" t="n">
        <x:f>AH38-AH49</x:f>
        <x:v>384809.7356178102</x:v>
      </x:c>
      <x:c r="AI50" s="75" t="n">
        <x:f>AI38-AI49</x:f>
        <x:v>398259.0284420669</x:v>
      </x:c>
      <x:c r="AJ50" s="75" t="n">
        <x:f>AJ38-AJ49</x:f>
        <x:v>411399.9481489556</x:v>
      </x:c>
      <x:c r="AK50" s="75" t="n">
        <x:f>AK38-AK49</x:f>
        <x:v>424243.8112649283</x:v>
      </x:c>
    </x:row>
    <x:row r="51" ht="18" customHeight="1">
      <x:c r="A51" s="4" t="str">
        <x:v>Contribution margin (%)</x:v>
      </x:c>
      <x:c r="B51" s="62" t="n">
        <x:f>IFERROR(B50/B38,0)</x:f>
        <x:v>-0.009026596898010037</x:v>
      </x:c>
      <x:c r="C51" s="62" t="n">
        <x:f>IFERROR(C50/C38,0)</x:f>
        <x:v>0.3889068517762775</x:v>
      </x:c>
      <x:c r="D51" s="62" t="n">
        <x:f>IFERROR(D50/D38,0)</x:f>
        <x:v>0.5283076707337062</x:v>
      </x:c>
      <x:c r="E51" s="62" t="n">
        <x:f>IFERROR(E50/E38,0)</x:f>
        <x:v>0.5511710473429422</x:v>
      </x:c>
      <x:c r="F51" s="62" t="n">
        <x:f>IFERROR(F50/F38,0)</x:f>
        <x:v>0.6182469119763508</x:v>
      </x:c>
      <x:c r="G51" s="62" t="n">
        <x:f>IFERROR(G50/G38,0)</x:f>
        <x:v>0.659834613200221</x:v>
      </x:c>
      <x:c r="H51" s="62" t="n">
        <x:f>IFERROR(H50/H38,0)</x:f>
        <x:v>0.6317889089317823</x:v>
      </x:c>
      <x:c r="I51" s="62" t="n">
        <x:f>IFERROR(I50/I38,0)</x:f>
        <x:v>0.6720074777161572</x:v>
      </x:c>
      <x:c r="J51" s="62" t="n">
        <x:f>IFERROR(J50/J38,0)</x:f>
        <x:v>0.699358195551727</x:v>
      </x:c>
      <x:c r="K51" s="62" t="n">
        <x:f>IFERROR(K50/K38,0)</x:f>
        <x:v>0.7192022367765258</x:v>
      </x:c>
      <x:c r="L51" s="62" t="n">
        <x:f>IFERROR(L50/L38,0)</x:f>
        <x:v>0.7341402932798827</x:v>
      </x:c>
      <x:c r="M51" s="62" t="n">
        <x:f>IFERROR(M50/M38,0)</x:f>
        <x:v>0.74568018609085</x:v>
      </x:c>
      <x:c r="N51" s="62" t="n">
        <x:f>IFERROR(N50/N38,0)</x:f>
        <x:v>0.7137186246245973</x:v>
      </x:c>
      <x:c r="O51" s="62" t="n">
        <x:f>IFERROR(O50/O38,0)</x:f>
        <x:v>0.7338410324124517</x:v>
      </x:c>
      <x:c r="P51" s="62" t="n">
        <x:f>IFERROR(P50/P38,0)</x:f>
        <x:v>0.7494529949190372</x:v>
      </x:c>
      <x:c r="Q51" s="62" t="n">
        <x:f>IFERROR(Q50/Q38,0)</x:f>
        <x:v>0.7586025462873057</x:v>
      </x:c>
      <x:c r="R51" s="62" t="n">
        <x:f>IFERROR(R50/R38,0)</x:f>
        <x:v>0.768497907100042</x:v>
      </x:c>
      <x:c r="S51" s="62" t="n">
        <x:f>IFERROR(S50/S38,0)</x:f>
        <x:v>0.7767425225737553</x:v>
      </x:c>
      <x:c r="T51" s="62" t="n">
        <x:f>IFERROR(T50/T38,0)</x:f>
        <x:v>0.7534741545079388</x:v>
      </x:c>
      <x:c r="U51" s="62" t="n">
        <x:f>IFERROR(U50/U38,0)</x:f>
        <x:v>0.7627796087187012</x:v>
      </x:c>
      <x:c r="V51" s="62" t="n">
        <x:f>IFERROR(V50/V38,0)</x:f>
        <x:v>0.7704814465897637</x:v>
      </x:c>
      <x:c r="W51" s="62" t="n">
        <x:f>IFERROR(W50/W38,0)</x:f>
        <x:v>0.7769290976997949</x:v>
      </x:c>
      <x:c r="X51" s="62" t="n">
        <x:f>IFERROR(X50/X38,0)</x:f>
        <x:v>0.782332402312665</x:v>
      </x:c>
      <x:c r="Y51" s="62" t="n">
        <x:f>IFERROR(Y50/Y38,0)</x:f>
        <x:v>0.7868414425843069</x:v>
      </x:c>
      <x:c r="Z51" s="62" t="n">
        <x:f>IFERROR(Z50/Z38,0)</x:f>
        <x:v>0.7718657798226062</x:v>
      </x:c>
      <x:c r="AA51" s="62" t="n">
        <x:f>IFERROR(AA50/AA38,0)</x:f>
        <x:v>0.7771023580911134</x:v>
      </x:c>
      <x:c r="AB51" s="62" t="n">
        <x:f>IFERROR(AB50/AB38,0)</x:f>
        <x:v>0.7818616975515561</x:v>
      </x:c>
      <x:c r="AC51" s="62" t="n">
        <x:f>IFERROR(AC50/AC38,0)</x:f>
        <x:v>0.7854407226998098</x:v>
      </x:c>
      <x:c r="AD51" s="62" t="n">
        <x:f>IFERROR(AD50/AD38,0)</x:f>
        <x:v>0.7894179668486263</x:v>
      </x:c>
      <x:c r="AE51" s="62" t="n">
        <x:f>IFERROR(AE50/AE38,0)</x:f>
        <x:v>0.793085060759817</x:v>
      </x:c>
      <x:c r="AF51" s="62" t="n">
        <x:f>IFERROR(AF50/AF38,0)</x:f>
        <x:v>0.7763521593217819</x:v>
      </x:c>
      <x:c r="AG51" s="62" t="n">
        <x:f>IFERROR(AG50/AG38,0)</x:f>
        <x:v>0.7803260914217597</x:v>
      </x:c>
      <x:c r="AH51" s="62" t="n">
        <x:f>IFERROR(AH50/AH38,0)</x:f>
        <x:v>0.7839574741854758</x:v>
      </x:c>
      <x:c r="AI51" s="62" t="n">
        <x:f>IFERROR(AI50/AI38,0)</x:f>
        <x:v>0.7872957300584</x:v>
      </x:c>
      <x:c r="AJ51" s="62" t="n">
        <x:f>IFERROR(AJ50/AJ38,0)</x:f>
        <x:v>0.7903673589873738</x:v>
      </x:c>
      <x:c r="AK51" s="62" t="n">
        <x:f>IFERROR(AK50/AK38,0)</x:f>
        <x:v>0.7931932935010166</x:v>
      </x:c>
    </x:row>
    <x:row r="52" ht="18" customHeight="1">
      <x:c r="A52" s="4" t="str">
        <x:v>Core operating overhead (INR)</x:v>
      </x:c>
      <x:c r="B52" s="60" t="n">
        <x:f>'Scenario Inputs'!$C$24</x:f>
        <x:v>10000</x:v>
      </x:c>
      <x:c r="C52" s="60" t="n">
        <x:f>'Scenario Inputs'!$C$24</x:f>
        <x:v>10000</x:v>
      </x:c>
      <x:c r="D52" s="60" t="n">
        <x:f>'Scenario Inputs'!$C$24</x:f>
        <x:v>10000</x:v>
      </x:c>
      <x:c r="E52" s="60" t="n">
        <x:f>'Scenario Inputs'!$C$24</x:f>
        <x:v>10000</x:v>
      </x:c>
      <x:c r="F52" s="60" t="n">
        <x:f>'Scenario Inputs'!$C$24</x:f>
        <x:v>10000</x:v>
      </x:c>
      <x:c r="G52" s="60" t="n">
        <x:f>'Scenario Inputs'!$C$24</x:f>
        <x:v>10000</x:v>
      </x:c>
      <x:c r="H52" s="60" t="n">
        <x:f>'Scenario Inputs'!$C$24</x:f>
        <x:v>10000</x:v>
      </x:c>
      <x:c r="I52" s="60" t="n">
        <x:f>'Scenario Inputs'!$C$24</x:f>
        <x:v>10000</x:v>
      </x:c>
      <x:c r="J52" s="60" t="n">
        <x:f>'Scenario Inputs'!$C$24</x:f>
        <x:v>10000</x:v>
      </x:c>
      <x:c r="K52" s="60" t="n">
        <x:f>'Scenario Inputs'!$C$24</x:f>
        <x:v>10000</x:v>
      </x:c>
      <x:c r="L52" s="60" t="n">
        <x:f>'Scenario Inputs'!$C$24</x:f>
        <x:v>10000</x:v>
      </x:c>
      <x:c r="M52" s="60" t="n">
        <x:f>'Scenario Inputs'!$C$24</x:f>
        <x:v>10000</x:v>
      </x:c>
      <x:c r="N52" s="60" t="n">
        <x:f>'Scenario Inputs'!$C$25</x:f>
        <x:v>15000</x:v>
      </x:c>
      <x:c r="O52" s="60" t="n">
        <x:f>'Scenario Inputs'!$C$25</x:f>
        <x:v>15000</x:v>
      </x:c>
      <x:c r="P52" s="60" t="n">
        <x:f>'Scenario Inputs'!$C$25</x:f>
        <x:v>15000</x:v>
      </x:c>
      <x:c r="Q52" s="60" t="n">
        <x:f>'Scenario Inputs'!$C$25</x:f>
        <x:v>15000</x:v>
      </x:c>
      <x:c r="R52" s="60" t="n">
        <x:f>'Scenario Inputs'!$C$25</x:f>
        <x:v>15000</x:v>
      </x:c>
      <x:c r="S52" s="60" t="n">
        <x:f>'Scenario Inputs'!$C$25</x:f>
        <x:v>15000</x:v>
      </x:c>
      <x:c r="T52" s="60" t="n">
        <x:f>'Scenario Inputs'!$C$25</x:f>
        <x:v>15000</x:v>
      </x:c>
      <x:c r="U52" s="60" t="n">
        <x:f>'Scenario Inputs'!$C$25</x:f>
        <x:v>15000</x:v>
      </x:c>
      <x:c r="V52" s="60" t="n">
        <x:f>'Scenario Inputs'!$C$25</x:f>
        <x:v>15000</x:v>
      </x:c>
      <x:c r="W52" s="60" t="n">
        <x:f>'Scenario Inputs'!$C$25</x:f>
        <x:v>15000</x:v>
      </x:c>
      <x:c r="X52" s="60" t="n">
        <x:f>'Scenario Inputs'!$C$25</x:f>
        <x:v>15000</x:v>
      </x:c>
      <x:c r="Y52" s="60" t="n">
        <x:f>'Scenario Inputs'!$C$25</x:f>
        <x:v>15000</x:v>
      </x:c>
      <x:c r="Z52" s="60" t="n">
        <x:f>'Scenario Inputs'!$C$26</x:f>
        <x:v>25000</x:v>
      </x:c>
      <x:c r="AA52" s="60" t="n">
        <x:f>'Scenario Inputs'!$C$26</x:f>
        <x:v>25000</x:v>
      </x:c>
      <x:c r="AB52" s="60" t="n">
        <x:f>'Scenario Inputs'!$C$26</x:f>
        <x:v>25000</x:v>
      </x:c>
      <x:c r="AC52" s="60" t="n">
        <x:f>'Scenario Inputs'!$C$26</x:f>
        <x:v>25000</x:v>
      </x:c>
      <x:c r="AD52" s="60" t="n">
        <x:f>'Scenario Inputs'!$C$26</x:f>
        <x:v>25000</x:v>
      </x:c>
      <x:c r="AE52" s="60" t="n">
        <x:f>'Scenario Inputs'!$C$26</x:f>
        <x:v>25000</x:v>
      </x:c>
      <x:c r="AF52" s="60" t="n">
        <x:f>'Scenario Inputs'!$C$26</x:f>
        <x:v>25000</x:v>
      </x:c>
      <x:c r="AG52" s="60" t="n">
        <x:f>'Scenario Inputs'!$C$26</x:f>
        <x:v>25000</x:v>
      </x:c>
      <x:c r="AH52" s="60" t="n">
        <x:f>'Scenario Inputs'!$C$26</x:f>
        <x:v>25000</x:v>
      </x:c>
      <x:c r="AI52" s="60" t="n">
        <x:f>'Scenario Inputs'!$C$26</x:f>
        <x:v>25000</x:v>
      </x:c>
      <x:c r="AJ52" s="60" t="n">
        <x:f>'Scenario Inputs'!$C$26</x:f>
        <x:v>25000</x:v>
      </x:c>
      <x:c r="AK52" s="60" t="n">
        <x:f>'Scenario Inputs'!$C$26</x:f>
        <x:v>25000</x:v>
      </x:c>
    </x:row>
    <x:row r="53" ht="18" customHeight="1">
      <x:c r="A53" s="4" t="str">
        <x:v>Scaled technical QA reserve (INR)</x:v>
      </x:c>
      <x:c r="B53" s="58" t="n">
        <x:f>IF(B34&gt;='Commercial Inputs'!$B$38,'Commercial Inputs'!$B$42,IF(B34&gt;='Commercial Inputs'!$B$37,'Commercial Inputs'!$B$41,IF(B34&gt;='Commercial Inputs'!$B$36,'Commercial Inputs'!$B$40,IF(B34&gt;='Commercial Inputs'!$B$35,'Commercial Inputs'!$B$39,0))))</x:f>
        <x:v>0</x:v>
      </x:c>
      <x:c r="C53" s="58" t="n">
        <x:f>IF(C34&gt;='Commercial Inputs'!$B$38,'Commercial Inputs'!$B$42,IF(C34&gt;='Commercial Inputs'!$B$37,'Commercial Inputs'!$B$41,IF(C34&gt;='Commercial Inputs'!$B$36,'Commercial Inputs'!$B$40,IF(C34&gt;='Commercial Inputs'!$B$35,'Commercial Inputs'!$B$39,0))))</x:f>
        <x:v>0</x:v>
      </x:c>
      <x:c r="D53" s="58" t="n">
        <x:f>IF(D34&gt;='Commercial Inputs'!$B$38,'Commercial Inputs'!$B$42,IF(D34&gt;='Commercial Inputs'!$B$37,'Commercial Inputs'!$B$41,IF(D34&gt;='Commercial Inputs'!$B$36,'Commercial Inputs'!$B$40,IF(D34&gt;='Commercial Inputs'!$B$35,'Commercial Inputs'!$B$39,0))))</x:f>
        <x:v>0</x:v>
      </x:c>
      <x:c r="E53" s="58" t="n">
        <x:f>IF(E34&gt;='Commercial Inputs'!$B$38,'Commercial Inputs'!$B$42,IF(E34&gt;='Commercial Inputs'!$B$37,'Commercial Inputs'!$B$41,IF(E34&gt;='Commercial Inputs'!$B$36,'Commercial Inputs'!$B$40,IF(E34&gt;='Commercial Inputs'!$B$35,'Commercial Inputs'!$B$39,0))))</x:f>
        <x:v>0</x:v>
      </x:c>
      <x:c r="F53" s="58" t="n">
        <x:f>IF(F34&gt;='Commercial Inputs'!$B$38,'Commercial Inputs'!$B$42,IF(F34&gt;='Commercial Inputs'!$B$37,'Commercial Inputs'!$B$41,IF(F34&gt;='Commercial Inputs'!$B$36,'Commercial Inputs'!$B$40,IF(F34&gt;='Commercial Inputs'!$B$35,'Commercial Inputs'!$B$39,0))))</x:f>
        <x:v>0</x:v>
      </x:c>
      <x:c r="G53" s="58" t="n">
        <x:f>IF(G34&gt;='Commercial Inputs'!$B$38,'Commercial Inputs'!$B$42,IF(G34&gt;='Commercial Inputs'!$B$37,'Commercial Inputs'!$B$41,IF(G34&gt;='Commercial Inputs'!$B$36,'Commercial Inputs'!$B$40,IF(G34&gt;='Commercial Inputs'!$B$35,'Commercial Inputs'!$B$39,0))))</x:f>
        <x:v>0</x:v>
      </x:c>
      <x:c r="H53" s="58" t="n">
        <x:f>IF(H34&gt;='Commercial Inputs'!$B$38,'Commercial Inputs'!$B$42,IF(H34&gt;='Commercial Inputs'!$B$37,'Commercial Inputs'!$B$41,IF(H34&gt;='Commercial Inputs'!$B$36,'Commercial Inputs'!$B$40,IF(H34&gt;='Commercial Inputs'!$B$35,'Commercial Inputs'!$B$39,0))))</x:f>
        <x:v>0</x:v>
      </x:c>
      <x:c r="I53" s="58" t="n">
        <x:f>IF(I34&gt;='Commercial Inputs'!$B$38,'Commercial Inputs'!$B$42,IF(I34&gt;='Commercial Inputs'!$B$37,'Commercial Inputs'!$B$41,IF(I34&gt;='Commercial Inputs'!$B$36,'Commercial Inputs'!$B$40,IF(I34&gt;='Commercial Inputs'!$B$35,'Commercial Inputs'!$B$39,0))))</x:f>
        <x:v>0</x:v>
      </x:c>
      <x:c r="J53" s="58" t="n">
        <x:f>IF(J34&gt;='Commercial Inputs'!$B$38,'Commercial Inputs'!$B$42,IF(J34&gt;='Commercial Inputs'!$B$37,'Commercial Inputs'!$B$41,IF(J34&gt;='Commercial Inputs'!$B$36,'Commercial Inputs'!$B$40,IF(J34&gt;='Commercial Inputs'!$B$35,'Commercial Inputs'!$B$39,0))))</x:f>
        <x:v>0</x:v>
      </x:c>
      <x:c r="K53" s="58" t="n">
        <x:f>IF(K34&gt;='Commercial Inputs'!$B$38,'Commercial Inputs'!$B$42,IF(K34&gt;='Commercial Inputs'!$B$37,'Commercial Inputs'!$B$41,IF(K34&gt;='Commercial Inputs'!$B$36,'Commercial Inputs'!$B$40,IF(K34&gt;='Commercial Inputs'!$B$35,'Commercial Inputs'!$B$39,0))))</x:f>
        <x:v>0</x:v>
      </x:c>
      <x:c r="L53" s="58" t="n">
        <x:f>IF(L34&gt;='Commercial Inputs'!$B$38,'Commercial Inputs'!$B$42,IF(L34&gt;='Commercial Inputs'!$B$37,'Commercial Inputs'!$B$41,IF(L34&gt;='Commercial Inputs'!$B$36,'Commercial Inputs'!$B$40,IF(L34&gt;='Commercial Inputs'!$B$35,'Commercial Inputs'!$B$39,0))))</x:f>
        <x:v>0</x:v>
      </x:c>
      <x:c r="M53" s="58" t="n">
        <x:f>IF(M34&gt;='Commercial Inputs'!$B$38,'Commercial Inputs'!$B$42,IF(M34&gt;='Commercial Inputs'!$B$37,'Commercial Inputs'!$B$41,IF(M34&gt;='Commercial Inputs'!$B$36,'Commercial Inputs'!$B$40,IF(M34&gt;='Commercial Inputs'!$B$35,'Commercial Inputs'!$B$39,0))))</x:f>
        <x:v>10000</x:v>
      </x:c>
      <x:c r="N53" s="58" t="n">
        <x:f>IF(N34&gt;='Commercial Inputs'!$B$38,'Commercial Inputs'!$B$42,IF(N34&gt;='Commercial Inputs'!$B$37,'Commercial Inputs'!$B$41,IF(N34&gt;='Commercial Inputs'!$B$36,'Commercial Inputs'!$B$40,IF(N34&gt;='Commercial Inputs'!$B$35,'Commercial Inputs'!$B$39,0))))</x:f>
        <x:v>10000</x:v>
      </x:c>
      <x:c r="O53" s="58" t="n">
        <x:f>IF(O34&gt;='Commercial Inputs'!$B$38,'Commercial Inputs'!$B$42,IF(O34&gt;='Commercial Inputs'!$B$37,'Commercial Inputs'!$B$41,IF(O34&gt;='Commercial Inputs'!$B$36,'Commercial Inputs'!$B$40,IF(O34&gt;='Commercial Inputs'!$B$35,'Commercial Inputs'!$B$39,0))))</x:f>
        <x:v>10000</x:v>
      </x:c>
      <x:c r="P53" s="58" t="n">
        <x:f>IF(P34&gt;='Commercial Inputs'!$B$38,'Commercial Inputs'!$B$42,IF(P34&gt;='Commercial Inputs'!$B$37,'Commercial Inputs'!$B$41,IF(P34&gt;='Commercial Inputs'!$B$36,'Commercial Inputs'!$B$40,IF(P34&gt;='Commercial Inputs'!$B$35,'Commercial Inputs'!$B$39,0))))</x:f>
        <x:v>10000</x:v>
      </x:c>
      <x:c r="Q53" s="58" t="n">
        <x:f>IF(Q34&gt;='Commercial Inputs'!$B$38,'Commercial Inputs'!$B$42,IF(Q34&gt;='Commercial Inputs'!$B$37,'Commercial Inputs'!$B$41,IF(Q34&gt;='Commercial Inputs'!$B$36,'Commercial Inputs'!$B$40,IF(Q34&gt;='Commercial Inputs'!$B$35,'Commercial Inputs'!$B$39,0))))</x:f>
        <x:v>10000</x:v>
      </x:c>
      <x:c r="R53" s="58" t="n">
        <x:f>IF(R34&gt;='Commercial Inputs'!$B$38,'Commercial Inputs'!$B$42,IF(R34&gt;='Commercial Inputs'!$B$37,'Commercial Inputs'!$B$41,IF(R34&gt;='Commercial Inputs'!$B$36,'Commercial Inputs'!$B$40,IF(R34&gt;='Commercial Inputs'!$B$35,'Commercial Inputs'!$B$39,0))))</x:f>
        <x:v>10000</x:v>
      </x:c>
      <x:c r="S53" s="58" t="n">
        <x:f>IF(S34&gt;='Commercial Inputs'!$B$38,'Commercial Inputs'!$B$42,IF(S34&gt;='Commercial Inputs'!$B$37,'Commercial Inputs'!$B$41,IF(S34&gt;='Commercial Inputs'!$B$36,'Commercial Inputs'!$B$40,IF(S34&gt;='Commercial Inputs'!$B$35,'Commercial Inputs'!$B$39,0))))</x:f>
        <x:v>10000</x:v>
      </x:c>
      <x:c r="T53" s="58" t="n">
        <x:f>IF(T34&gt;='Commercial Inputs'!$B$38,'Commercial Inputs'!$B$42,IF(T34&gt;='Commercial Inputs'!$B$37,'Commercial Inputs'!$B$41,IF(T34&gt;='Commercial Inputs'!$B$36,'Commercial Inputs'!$B$40,IF(T34&gt;='Commercial Inputs'!$B$35,'Commercial Inputs'!$B$39,0))))</x:f>
        <x:v>10000</x:v>
      </x:c>
      <x:c r="U53" s="58" t="n">
        <x:f>IF(U34&gt;='Commercial Inputs'!$B$38,'Commercial Inputs'!$B$42,IF(U34&gt;='Commercial Inputs'!$B$37,'Commercial Inputs'!$B$41,IF(U34&gt;='Commercial Inputs'!$B$36,'Commercial Inputs'!$B$40,IF(U34&gt;='Commercial Inputs'!$B$35,'Commercial Inputs'!$B$39,0))))</x:f>
        <x:v>10000</x:v>
      </x:c>
      <x:c r="V53" s="58" t="n">
        <x:f>IF(V34&gt;='Commercial Inputs'!$B$38,'Commercial Inputs'!$B$42,IF(V34&gt;='Commercial Inputs'!$B$37,'Commercial Inputs'!$B$41,IF(V34&gt;='Commercial Inputs'!$B$36,'Commercial Inputs'!$B$40,IF(V34&gt;='Commercial Inputs'!$B$35,'Commercial Inputs'!$B$39,0))))</x:f>
        <x:v>10000</x:v>
      </x:c>
      <x:c r="W53" s="58" t="n">
        <x:f>IF(W34&gt;='Commercial Inputs'!$B$38,'Commercial Inputs'!$B$42,IF(W34&gt;='Commercial Inputs'!$B$37,'Commercial Inputs'!$B$41,IF(W34&gt;='Commercial Inputs'!$B$36,'Commercial Inputs'!$B$40,IF(W34&gt;='Commercial Inputs'!$B$35,'Commercial Inputs'!$B$39,0))))</x:f>
        <x:v>10000</x:v>
      </x:c>
      <x:c r="X53" s="58" t="n">
        <x:f>IF(X34&gt;='Commercial Inputs'!$B$38,'Commercial Inputs'!$B$42,IF(X34&gt;='Commercial Inputs'!$B$37,'Commercial Inputs'!$B$41,IF(X34&gt;='Commercial Inputs'!$B$36,'Commercial Inputs'!$B$40,IF(X34&gt;='Commercial Inputs'!$B$35,'Commercial Inputs'!$B$39,0))))</x:f>
        <x:v>10000</x:v>
      </x:c>
      <x:c r="Y53" s="58" t="n">
        <x:f>IF(Y34&gt;='Commercial Inputs'!$B$38,'Commercial Inputs'!$B$42,IF(Y34&gt;='Commercial Inputs'!$B$37,'Commercial Inputs'!$B$41,IF(Y34&gt;='Commercial Inputs'!$B$36,'Commercial Inputs'!$B$40,IF(Y34&gt;='Commercial Inputs'!$B$35,'Commercial Inputs'!$B$39,0))))</x:f>
        <x:v>10000</x:v>
      </x:c>
      <x:c r="Z53" s="58" t="n">
        <x:f>IF(Z34&gt;='Commercial Inputs'!$B$38,'Commercial Inputs'!$B$42,IF(Z34&gt;='Commercial Inputs'!$B$37,'Commercial Inputs'!$B$41,IF(Z34&gt;='Commercial Inputs'!$B$36,'Commercial Inputs'!$B$40,IF(Z34&gt;='Commercial Inputs'!$B$35,'Commercial Inputs'!$B$39,0))))</x:f>
        <x:v>10000</x:v>
      </x:c>
      <x:c r="AA53" s="58" t="n">
        <x:f>IF(AA34&gt;='Commercial Inputs'!$B$38,'Commercial Inputs'!$B$42,IF(AA34&gt;='Commercial Inputs'!$B$37,'Commercial Inputs'!$B$41,IF(AA34&gt;='Commercial Inputs'!$B$36,'Commercial Inputs'!$B$40,IF(AA34&gt;='Commercial Inputs'!$B$35,'Commercial Inputs'!$B$39,0))))</x:f>
        <x:v>25000</x:v>
      </x:c>
      <x:c r="AB53" s="58" t="n">
        <x:f>IF(AB34&gt;='Commercial Inputs'!$B$38,'Commercial Inputs'!$B$42,IF(AB34&gt;='Commercial Inputs'!$B$37,'Commercial Inputs'!$B$41,IF(AB34&gt;='Commercial Inputs'!$B$36,'Commercial Inputs'!$B$40,IF(AB34&gt;='Commercial Inputs'!$B$35,'Commercial Inputs'!$B$39,0))))</x:f>
        <x:v>25000</x:v>
      </x:c>
      <x:c r="AC53" s="58" t="n">
        <x:f>IF(AC34&gt;='Commercial Inputs'!$B$38,'Commercial Inputs'!$B$42,IF(AC34&gt;='Commercial Inputs'!$B$37,'Commercial Inputs'!$B$41,IF(AC34&gt;='Commercial Inputs'!$B$36,'Commercial Inputs'!$B$40,IF(AC34&gt;='Commercial Inputs'!$B$35,'Commercial Inputs'!$B$39,0))))</x:f>
        <x:v>25000</x:v>
      </x:c>
      <x:c r="AD53" s="58" t="n">
        <x:f>IF(AD34&gt;='Commercial Inputs'!$B$38,'Commercial Inputs'!$B$42,IF(AD34&gt;='Commercial Inputs'!$B$37,'Commercial Inputs'!$B$41,IF(AD34&gt;='Commercial Inputs'!$B$36,'Commercial Inputs'!$B$40,IF(AD34&gt;='Commercial Inputs'!$B$35,'Commercial Inputs'!$B$39,0))))</x:f>
        <x:v>25000</x:v>
      </x:c>
      <x:c r="AE53" s="58" t="n">
        <x:f>IF(AE34&gt;='Commercial Inputs'!$B$38,'Commercial Inputs'!$B$42,IF(AE34&gt;='Commercial Inputs'!$B$37,'Commercial Inputs'!$B$41,IF(AE34&gt;='Commercial Inputs'!$B$36,'Commercial Inputs'!$B$40,IF(AE34&gt;='Commercial Inputs'!$B$35,'Commercial Inputs'!$B$39,0))))</x:f>
        <x:v>25000</x:v>
      </x:c>
      <x:c r="AF53" s="58" t="n">
        <x:f>IF(AF34&gt;='Commercial Inputs'!$B$38,'Commercial Inputs'!$B$42,IF(AF34&gt;='Commercial Inputs'!$B$37,'Commercial Inputs'!$B$41,IF(AF34&gt;='Commercial Inputs'!$B$36,'Commercial Inputs'!$B$40,IF(AF34&gt;='Commercial Inputs'!$B$35,'Commercial Inputs'!$B$39,0))))</x:f>
        <x:v>25000</x:v>
      </x:c>
      <x:c r="AG53" s="58" t="n">
        <x:f>IF(AG34&gt;='Commercial Inputs'!$B$38,'Commercial Inputs'!$B$42,IF(AG34&gt;='Commercial Inputs'!$B$37,'Commercial Inputs'!$B$41,IF(AG34&gt;='Commercial Inputs'!$B$36,'Commercial Inputs'!$B$40,IF(AG34&gt;='Commercial Inputs'!$B$35,'Commercial Inputs'!$B$39,0))))</x:f>
        <x:v>25000</x:v>
      </x:c>
      <x:c r="AH53" s="58" t="n">
        <x:f>IF(AH34&gt;='Commercial Inputs'!$B$38,'Commercial Inputs'!$B$42,IF(AH34&gt;='Commercial Inputs'!$B$37,'Commercial Inputs'!$B$41,IF(AH34&gt;='Commercial Inputs'!$B$36,'Commercial Inputs'!$B$40,IF(AH34&gt;='Commercial Inputs'!$B$35,'Commercial Inputs'!$B$39,0))))</x:f>
        <x:v>25000</x:v>
      </x:c>
      <x:c r="AI53" s="58" t="n">
        <x:f>IF(AI34&gt;='Commercial Inputs'!$B$38,'Commercial Inputs'!$B$42,IF(AI34&gt;='Commercial Inputs'!$B$37,'Commercial Inputs'!$B$41,IF(AI34&gt;='Commercial Inputs'!$B$36,'Commercial Inputs'!$B$40,IF(AI34&gt;='Commercial Inputs'!$B$35,'Commercial Inputs'!$B$39,0))))</x:f>
        <x:v>25000</x:v>
      </x:c>
      <x:c r="AJ53" s="58" t="n">
        <x:f>IF(AJ34&gt;='Commercial Inputs'!$B$38,'Commercial Inputs'!$B$42,IF(AJ34&gt;='Commercial Inputs'!$B$37,'Commercial Inputs'!$B$41,IF(AJ34&gt;='Commercial Inputs'!$B$36,'Commercial Inputs'!$B$40,IF(AJ34&gt;='Commercial Inputs'!$B$35,'Commercial Inputs'!$B$39,0))))</x:f>
        <x:v>25000</x:v>
      </x:c>
      <x:c r="AK53" s="58" t="n">
        <x:f>IF(AK34&gt;='Commercial Inputs'!$B$38,'Commercial Inputs'!$B$42,IF(AK34&gt;='Commercial Inputs'!$B$37,'Commercial Inputs'!$B$41,IF(AK34&gt;='Commercial Inputs'!$B$36,'Commercial Inputs'!$B$40,IF(AK34&gt;='Commercial Inputs'!$B$35,'Commercial Inputs'!$B$39,0))))</x:f>
        <x:v>25000</x:v>
      </x:c>
    </x:row>
    <x:row r="54" ht="18" customHeight="1">
      <x:c r="A54" s="4" t="str">
        <x:v>Founder cash pay (INR)</x:v>
      </x:c>
      <x:c r="B54" s="60" t="n">
        <x:f>'Commercial Inputs'!$B$32</x:f>
        <x:v>0</x:v>
      </x:c>
      <x:c r="C54" s="60" t="n">
        <x:f>'Commercial Inputs'!$B$32</x:f>
        <x:v>0</x:v>
      </x:c>
      <x:c r="D54" s="60" t="n">
        <x:f>'Commercial Inputs'!$B$32</x:f>
        <x:v>0</x:v>
      </x:c>
      <x:c r="E54" s="60" t="n">
        <x:f>'Commercial Inputs'!$B$32</x:f>
        <x:v>0</x:v>
      </x:c>
      <x:c r="F54" s="60" t="n">
        <x:f>'Commercial Inputs'!$B$32</x:f>
        <x:v>0</x:v>
      </x:c>
      <x:c r="G54" s="60" t="n">
        <x:f>'Commercial Inputs'!$B$32</x:f>
        <x:v>0</x:v>
      </x:c>
      <x:c r="H54" s="60" t="n">
        <x:f>'Commercial Inputs'!$B$32</x:f>
        <x:v>0</x:v>
      </x:c>
      <x:c r="I54" s="60" t="n">
        <x:f>'Commercial Inputs'!$B$32</x:f>
        <x:v>0</x:v>
      </x:c>
      <x:c r="J54" s="60" t="n">
        <x:f>'Commercial Inputs'!$B$32</x:f>
        <x:v>0</x:v>
      </x:c>
      <x:c r="K54" s="60" t="n">
        <x:f>'Commercial Inputs'!$B$32</x:f>
        <x:v>0</x:v>
      </x:c>
      <x:c r="L54" s="60" t="n">
        <x:f>'Commercial Inputs'!$B$32</x:f>
        <x:v>0</x:v>
      </x:c>
      <x:c r="M54" s="60" t="n">
        <x:f>'Commercial Inputs'!$B$32</x:f>
        <x:v>0</x:v>
      </x:c>
      <x:c r="N54" s="60" t="n">
        <x:f>'Commercial Inputs'!$B$32</x:f>
        <x:v>0</x:v>
      </x:c>
      <x:c r="O54" s="60" t="n">
        <x:f>'Commercial Inputs'!$B$32</x:f>
        <x:v>0</x:v>
      </x:c>
      <x:c r="P54" s="60" t="n">
        <x:f>'Commercial Inputs'!$B$32</x:f>
        <x:v>0</x:v>
      </x:c>
      <x:c r="Q54" s="60" t="n">
        <x:f>'Commercial Inputs'!$B$32</x:f>
        <x:v>0</x:v>
      </x:c>
      <x:c r="R54" s="60" t="n">
        <x:f>'Commercial Inputs'!$B$32</x:f>
        <x:v>0</x:v>
      </x:c>
      <x:c r="S54" s="60" t="n">
        <x:f>'Commercial Inputs'!$B$32</x:f>
        <x:v>0</x:v>
      </x:c>
      <x:c r="T54" s="60" t="n">
        <x:f>'Commercial Inputs'!$B$32</x:f>
        <x:v>0</x:v>
      </x:c>
      <x:c r="U54" s="60" t="n">
        <x:f>'Commercial Inputs'!$B$32</x:f>
        <x:v>0</x:v>
      </x:c>
      <x:c r="V54" s="60" t="n">
        <x:f>'Commercial Inputs'!$B$32</x:f>
        <x:v>0</x:v>
      </x:c>
      <x:c r="W54" s="60" t="n">
        <x:f>'Commercial Inputs'!$B$32</x:f>
        <x:v>0</x:v>
      </x:c>
      <x:c r="X54" s="60" t="n">
        <x:f>'Commercial Inputs'!$B$32</x:f>
        <x:v>0</x:v>
      </x:c>
      <x:c r="Y54" s="60" t="n">
        <x:f>'Commercial Inputs'!$B$32</x:f>
        <x:v>0</x:v>
      </x:c>
      <x:c r="Z54" s="60" t="n">
        <x:f>'Commercial Inputs'!$B$32</x:f>
        <x:v>0</x:v>
      </x:c>
      <x:c r="AA54" s="60" t="n">
        <x:f>'Commercial Inputs'!$B$32</x:f>
        <x:v>0</x:v>
      </x:c>
      <x:c r="AB54" s="60" t="n">
        <x:f>'Commercial Inputs'!$B$32</x:f>
        <x:v>0</x:v>
      </x:c>
      <x:c r="AC54" s="60" t="n">
        <x:f>'Commercial Inputs'!$B$32</x:f>
        <x:v>0</x:v>
      </x:c>
      <x:c r="AD54" s="60" t="n">
        <x:f>'Commercial Inputs'!$B$32</x:f>
        <x:v>0</x:v>
      </x:c>
      <x:c r="AE54" s="60" t="n">
        <x:f>'Commercial Inputs'!$B$32</x:f>
        <x:v>0</x:v>
      </x:c>
      <x:c r="AF54" s="60" t="n">
        <x:f>'Commercial Inputs'!$B$32</x:f>
        <x:v>0</x:v>
      </x:c>
      <x:c r="AG54" s="60" t="n">
        <x:f>'Commercial Inputs'!$B$32</x:f>
        <x:v>0</x:v>
      </x:c>
      <x:c r="AH54" s="60" t="n">
        <x:f>'Commercial Inputs'!$B$32</x:f>
        <x:v>0</x:v>
      </x:c>
      <x:c r="AI54" s="60" t="n">
        <x:f>'Commercial Inputs'!$B$32</x:f>
        <x:v>0</x:v>
      </x:c>
      <x:c r="AJ54" s="60" t="n">
        <x:f>'Commercial Inputs'!$B$32</x:f>
        <x:v>0</x:v>
      </x:c>
      <x:c r="AK54" s="60" t="n">
        <x:f>'Commercial Inputs'!$B$32</x:f>
        <x:v>0</x:v>
      </x:c>
    </x:row>
    <x:row r="55" ht="18" customHeight="1">
      <x:c r="A55" s="4" t="str">
        <x:v>One-time launch expense (INR)</x:v>
      </x:c>
      <x:c r="B55" s="60" t="n">
        <x:f>'Commercial Inputs'!$B$30</x:f>
        <x:v>20000</x:v>
      </x:c>
      <x:c r="C55" s="60" t="n">
        <x:f>0</x:f>
        <x:v>0</x:v>
      </x:c>
      <x:c r="D55" s="60" t="n">
        <x:f>0</x:f>
        <x:v>0</x:v>
      </x:c>
      <x:c r="E55" s="60" t="n">
        <x:f>0</x:f>
        <x:v>0</x:v>
      </x:c>
      <x:c r="F55" s="60" t="n">
        <x:f>0</x:f>
        <x:v>0</x:v>
      </x:c>
      <x:c r="G55" s="60" t="n">
        <x:f>0</x:f>
        <x:v>0</x:v>
      </x:c>
      <x:c r="H55" s="60" t="n">
        <x:f>0</x:f>
        <x:v>0</x:v>
      </x:c>
      <x:c r="I55" s="60" t="n">
        <x:f>0</x:f>
        <x:v>0</x:v>
      </x:c>
      <x:c r="J55" s="60" t="n">
        <x:f>0</x:f>
        <x:v>0</x:v>
      </x:c>
      <x:c r="K55" s="60" t="n">
        <x:f>0</x:f>
        <x:v>0</x:v>
      </x:c>
      <x:c r="L55" s="60" t="n">
        <x:f>0</x:f>
        <x:v>0</x:v>
      </x:c>
      <x:c r="M55" s="60" t="n">
        <x:f>0</x:f>
        <x:v>0</x:v>
      </x:c>
      <x:c r="N55" s="60" t="n">
        <x:f>0</x:f>
        <x:v>0</x:v>
      </x:c>
      <x:c r="O55" s="60" t="n">
        <x:f>0</x:f>
        <x:v>0</x:v>
      </x:c>
      <x:c r="P55" s="60" t="n">
        <x:f>0</x:f>
        <x:v>0</x:v>
      </x:c>
      <x:c r="Q55" s="60" t="n">
        <x:f>0</x:f>
        <x:v>0</x:v>
      </x:c>
      <x:c r="R55" s="60" t="n">
        <x:f>0</x:f>
        <x:v>0</x:v>
      </x:c>
      <x:c r="S55" s="60" t="n">
        <x:f>0</x:f>
        <x:v>0</x:v>
      </x:c>
      <x:c r="T55" s="60" t="n">
        <x:f>0</x:f>
        <x:v>0</x:v>
      </x:c>
      <x:c r="U55" s="60" t="n">
        <x:f>0</x:f>
        <x:v>0</x:v>
      </x:c>
      <x:c r="V55" s="60" t="n">
        <x:f>0</x:f>
        <x:v>0</x:v>
      </x:c>
      <x:c r="W55" s="60" t="n">
        <x:f>0</x:f>
        <x:v>0</x:v>
      </x:c>
      <x:c r="X55" s="60" t="n">
        <x:f>0</x:f>
        <x:v>0</x:v>
      </x:c>
      <x:c r="Y55" s="60" t="n">
        <x:f>0</x:f>
        <x:v>0</x:v>
      </x:c>
      <x:c r="Z55" s="60" t="n">
        <x:f>0</x:f>
        <x:v>0</x:v>
      </x:c>
      <x:c r="AA55" s="60" t="n">
        <x:f>0</x:f>
        <x:v>0</x:v>
      </x:c>
      <x:c r="AB55" s="60" t="n">
        <x:f>0</x:f>
        <x:v>0</x:v>
      </x:c>
      <x:c r="AC55" s="60" t="n">
        <x:f>0</x:f>
        <x:v>0</x:v>
      </x:c>
      <x:c r="AD55" s="60" t="n">
        <x:f>0</x:f>
        <x:v>0</x:v>
      </x:c>
      <x:c r="AE55" s="60" t="n">
        <x:f>0</x:f>
        <x:v>0</x:v>
      </x:c>
      <x:c r="AF55" s="60" t="n">
        <x:f>0</x:f>
        <x:v>0</x:v>
      </x:c>
      <x:c r="AG55" s="60" t="n">
        <x:f>0</x:f>
        <x:v>0</x:v>
      </x:c>
      <x:c r="AH55" s="60" t="n">
        <x:f>0</x:f>
        <x:v>0</x:v>
      </x:c>
      <x:c r="AI55" s="60" t="n">
        <x:f>0</x:f>
        <x:v>0</x:v>
      </x:c>
      <x:c r="AJ55" s="60" t="n">
        <x:f>0</x:f>
        <x:v>0</x:v>
      </x:c>
      <x:c r="AK55" s="60" t="n">
        <x:f>0</x:f>
        <x:v>0</x:v>
      </x:c>
    </x:row>
    <x:row r="56" ht="18" customHeight="1">
      <x:c r="A56" s="74" t="str">
        <x:v>OPERATING PROFIT BEFORE INCOME TAX</x:v>
      </x:c>
      <x:c r="B56" s="75" t="n">
        <x:f>B50-B16-SUM(B52:B55)</x:f>
        <x:v>-42556.24328385593</x:v>
      </x:c>
      <x:c r="C56" s="75" t="n">
        <x:f>C50-C16-SUM(C52:C55)</x:f>
        <x:v>-17833.734958452453</x:v>
      </x:c>
      <x:c r="D56" s="75" t="n">
        <x:f>D50-D16-SUM(D52:D55)</x:f>
        <x:v>-13055.480644881185</x:v>
      </x:c>
      <x:c r="E56" s="75" t="n">
        <x:f>E50-E16-SUM(E52:E55)</x:f>
        <x:v>-15514.240911406918</x:v>
      </x:c>
      <x:c r="F56" s="75" t="n">
        <x:f>F50-F16-SUM(F52:F55)</x:f>
        <x:v>-8494.52693974321</x:v>
      </x:c>
      <x:c r="G56" s="75" t="n">
        <x:f>G50-G16-SUM(G52:G55)</x:f>
        <x:v>-1188.4996879285682</x:v>
      </x:c>
      <x:c r="H56" s="75" t="n">
        <x:f>H50-H16-SUM(H52:H55)</x:f>
        <x:v>-9749.038256930115</x:v>
      </x:c>
      <x:c r="I56" s="75" t="n">
        <x:f>I50-I16-SUM(I52:I55)</x:f>
        <x:v>1995.8451481335796</x:v>
      </x:c>
      <x:c r="J56" s="75" t="n">
        <x:f>J50-J16-SUM(J52:J55)</x:f>
        <x:v>14082.808517364436</x:v>
      </x:c>
      <x:c r="K56" s="75" t="n">
        <x:f>K50-K16-SUM(K52:K55)</x:f>
        <x:v>26730.383830450824</x:v>
      </x:c>
      <x:c r="L56" s="75" t="n">
        <x:f>L50-L16-SUM(L52:L55)</x:f>
        <x:v>40043.553779427544</x:v>
      </x:c>
      <x:c r="M56" s="75" t="n">
        <x:f>M50-M16-SUM(M52:M55)</x:f>
        <x:v>44134.37834388926</x:v>
      </x:c>
      <x:c r="N56" s="75" t="n">
        <x:f>N50-N16-SUM(N52:N55)</x:f>
        <x:v>13660.960553961952</x:v>
      </x:c>
      <x:c r="O56" s="75" t="n">
        <x:f>O50-O16-SUM(O52:O55)</x:f>
        <x:v>31083.844919760304</x:v>
      </x:c>
      <x:c r="P56" s="75" t="n">
        <x:f>P50-P16-SUM(P52:P55)</x:f>
        <x:v>47739.79750688223</x:v>
      </x:c>
      <x:c r="Q56" s="75" t="n">
        <x:f>Q50-Q16-SUM(Q52:Q55)</x:f>
        <x:v>62382.744780575595</x:v>
      </x:c>
      <x:c r="R56" s="75" t="n">
        <x:f>R50-R16-SUM(R52:R55)</x:f>
        <x:v>77034.1237221758</x:v>
      </x:c>
      <x:c r="S56" s="75" t="n">
        <x:f>S50-S16-SUM(S52:S55)</x:f>
        <x:v>91136.30118619796</x:v>
      </x:c>
      <x:c r="T56" s="75" t="n">
        <x:f>T50-T16-SUM(T52:T55)</x:f>
        <x:v>70232.39358971809</x:v>
      </x:c>
      <x:c r="U56" s="75" t="n">
        <x:f>U50-U16-SUM(U52:U55)</x:f>
        <x:v>87453.2447893341</x:v>
      </x:c>
      <x:c r="V56" s="75" t="n">
        <x:f>V50-V16-SUM(V52:V55)</x:f>
        <x:v>103683.60550955334</x:v>
      </x:c>
      <x:c r="W56" s="75" t="n">
        <x:f>W50-W16-SUM(W52:W55)</x:f>
        <x:v>119119.39045897691</x:v>
      </x:c>
      <x:c r="X56" s="75" t="n">
        <x:f>X50-X16-SUM(X52:X55)</x:f>
        <x:v>133735.00821185554</x:v>
      </x:c>
      <x:c r="Y56" s="75" t="n">
        <x:f>Y50-Y16-SUM(Y52:Y55)</x:f>
        <x:v>147491.5838489383</x:v>
      </x:c>
      <x:c r="Z56" s="75" t="n">
        <x:f>Z50-Z16-SUM(Z52:Z55)</x:f>
        <x:v>108889.68098834204</x:v>
      </x:c>
      <x:c r="AA56" s="75" t="n">
        <x:f>AA50-AA16-SUM(AA52:AA55)</x:f>
        <x:v>108022.93642415165</x:v>
      </x:c>
      <x:c r="AB56" s="75" t="n">
        <x:f>AB50-AB16-SUM(AB52:AB55)</x:f>
        <x:v>121741.98080186604</x:v>
      </x:c>
      <x:c r="AC56" s="75" t="n">
        <x:f>AC50-AC16-SUM(AC52:AC55)</x:f>
        <x:v>134737.74537777132</x:v>
      </x:c>
      <x:c r="AD56" s="75" t="n">
        <x:f>AD50-AD16-SUM(AD52:AD55)</x:f>
        <x:v>147798.63859378878</x:v>
      </x:c>
      <x:c r="AE56" s="75" t="n">
        <x:f>AE50-AE16-SUM(AE52:AE55)</x:f>
        <x:v>160644.10943592287</x:v>
      </x:c>
      <x:c r="AF56" s="75" t="n">
        <x:f>AF50-AF16-SUM(AF52:AF55)</x:f>
        <x:v>135470.05737557594</x:v>
      </x:c>
      <x:c r="AG56" s="75" t="n">
        <x:f>AG50-AG16-SUM(AG52:AG55)</x:f>
        <x:v>149784.56605143397</x:v>
      </x:c>
      <x:c r="AH56" s="75" t="n">
        <x:f>AH50-AH16-SUM(AH52:AH55)</x:f>
        <x:v>163559.73561781022</x:v>
      </x:c>
      <x:c r="AI56" s="75" t="n">
        <x:f>AI50-AI16-SUM(AI52:AI55)</x:f>
        <x:v>177009.02844206692</x:v>
      </x:c>
      <x:c r="AJ56" s="75" t="n">
        <x:f>AJ50-AJ16-SUM(AJ52:AJ55)</x:f>
        <x:v>190149.9481489556</x:v>
      </x:c>
      <x:c r="AK56" s="75" t="n">
        <x:f>AK50-AK16-SUM(AK52:AK55)</x:f>
        <x:v>202993.8112649283</x:v>
      </x:c>
    </x:row>
    <x:row r="57" ht="18" customHeight="1">
      <x:c r="A57" s="4" t="str">
        <x:v>Operating margin (%)</x:v>
      </x:c>
      <x:c r="B57" s="62" t="n">
        <x:f>IFERROR(B56/B38,0)</x:f>
        <x:v>-6.829936434739231</x:v>
      </x:c>
      <x:c r="C57" s="62" t="n">
        <x:f>IFERROR(C56/C38,0)</x:f>
        <x:v>-1.4863411435806706</x:v>
      </x:c>
      <x:c r="D57" s="62" t="n">
        <x:f>IFERROR(D56/D38,0)</x:f>
        <x:v>-0.7302976795815347</x:v>
      </x:c>
      <x:c r="E57" s="62" t="n">
        <x:f>IFERROR(E56/E38,0)</x:f>
        <x:v>-0.5903039226024697</x:v>
      </x:c>
      <x:c r="F57" s="62" t="n">
        <x:f>IFERROR(F56/F38,0)</x:f>
        <x:v>-0.2442036515300655</x:v>
      </x:c>
      <x:c r="G57" s="62" t="n">
        <x:f>IFERROR(G56/G38,0)</x:f>
        <x:v>-0.027218757210791995</x:v>
      </x:c>
      <x:c r="H57" s="62" t="n">
        <x:f>IFERROR(H56/H38,0)</x:f>
        <x:v>-0.1687444371147152</x:v>
      </x:c>
      <x:c r="I57" s="62" t="n">
        <x:f>IFERROR(I56/I38,0)</x:f>
        <x:v>0.027799758917917163</x:v>
      </x:c>
      <x:c r="J57" s="62" t="n">
        <x:f>IFERROR(J56/J38,0)</x:f>
        <x:v>0.16324331313318285</x:v>
      </x:c>
      <x:c r="K57" s="62" t="n">
        <x:f>IFERROR(K56/K38,0)</x:f>
        <x:v>0.2634208102470123</x:v>
      </x:c>
      <x:c r="L57" s="62" t="n">
        <x:f>IFERROR(L56/L38,0)</x:f>
        <x:v>0.34066955210513195</x:v>
      </x:c>
      <x:c r="M57" s="62" t="n">
        <x:f>IFERROR(M56/M38,0)</x:f>
        <x:v>0.32784116412749265</x:v>
      </x:c>
      <x:c r="N57" s="62" t="n">
        <x:f>IFERROR(N56/N38,0)</x:f>
        <x:v>0.08771138652487195</x:v>
      </x:c>
      <x:c r="O57" s="62" t="n">
        <x:f>IFERROR(O56/O38,0)</x:f>
        <x:v>0.17739865269622213</x:v>
      </x:c>
      <x:c r="P57" s="62" t="n">
        <x:f>IFERROR(P56/P38,0)</x:f>
        <x:v>0.24634249587593843</x:v>
      </x:c>
      <x:c r="Q57" s="62" t="n">
        <x:f>IFERROR(Q56/Q38,0)</x:f>
        <x:v>0.29599009636645424</x:v>
      </x:c>
      <x:c r="R57" s="62" t="n">
        <x:f>IFERROR(R56/R38,0)</x:f>
        <x:v>0.33919191040265295</x:v>
      </x:c>
      <x:c r="S57" s="62" t="n">
        <x:f>IFERROR(S56/S38,0)</x:f>
        <x:v>0.3752694472710983</x:v>
      </x:c>
      <x:c r="T57" s="62" t="n">
        <x:f>IFERROR(T56/T38,0)</x:f>
        <x:v>0.26594460155200406</x:v>
      </x:c>
      <x:c r="U57" s="62" t="n">
        <x:f>IFERROR(U56/U38,0)</x:f>
        <x:v>0.308540937517326</x:v>
      </x:c>
      <x:c r="V57" s="62" t="n">
        <x:f>IFERROR(V56/V38,0)</x:f>
        <x:v>0.34369511321528595</x:v>
      </x:c>
      <x:c r="W57" s="62" t="n">
        <x:f>IFERROR(W56/W38,0)</x:f>
        <x:v>0.3733713161454655</x:v>
      </x:c>
      <x:c r="X57" s="62" t="n">
        <x:f>IFERROR(X56/X38,0)</x:f>
        <x:v>0.3985950700972619</x:v>
      </x:c>
      <x:c r="Y57" s="62" t="n">
        <x:f>IFERROR(Y56/Y38,0)</x:f>
        <x:v>0.420112312519196</x:v>
      </x:c>
      <x:c r="Z57" s="62" t="n">
        <x:f>IFERROR(Z56/Z38,0)</x:f>
        <x:v>0.2960594349118061</x:v>
      </x:c>
      <x:c r="AA57" s="62" t="n">
        <x:f>IFERROR(AA56/AA38,0)</x:f>
        <x:v>0.2816725438328773</x:v>
      </x:c>
      <x:c r="AB57" s="62" t="n">
        <x:f>IFERROR(AB56/AB38,0)</x:f>
        <x:v>0.30533389031595637</x:v>
      </x:c>
      <x:c r="AC57" s="62" t="n">
        <x:f>IFERROR(AC56/AC38,0)</x:f>
        <x:v>0.3258891632118345</x:v>
      </x:c>
      <x:c r="AD57" s="62" t="n">
        <x:f>IFERROR(AD56/AD38,0)</x:f>
        <x:v>0.3453977827365021</x:v>
      </x:c>
      <x:c r="AE57" s="62" t="n">
        <x:f>IFERROR(AE56/AE38,0)</x:f>
        <x:v>0.36334402850129044</x:v>
      </x:c>
      <x:c r="AF57" s="62" t="n">
        <x:f>IFERROR(AF56/AF38,0)</x:f>
        <x:v>0.29483195405590074</x:v>
      </x:c>
      <x:c r="AG57" s="62" t="n">
        <x:f>IFERROR(AG56/AG38,0)</x:f>
        <x:v>0.3150132512613865</x:v>
      </x:c>
      <x:c r="AH57" s="62" t="n">
        <x:f>IFERROR(AH56/AH38,0)</x:f>
        <x:v>0.33321370366973657</x:v>
      </x:c>
      <x:c r="AI57" s="62" t="n">
        <x:f>IFERROR(AI56/AI38,0)</x:f>
        <x:v>0.34991912881266185</x:v>
      </x:c>
      <x:c r="AJ57" s="62" t="n">
        <x:f>IFERROR(AJ56/AJ38,0)</x:f>
        <x:v>0.3653095072235186</x:v>
      </x:c>
      <x:c r="AK57" s="62" t="n">
        <x:f>IFERROR(AK56/AK38,0)</x:f>
        <x:v>0.3795301792086814</x:v>
      </x:c>
    </x:row>
    <x:row r="58" ht="18" customHeight="1">
      <x:c r="A58" s="4" t="str">
        <x:v>After imputed founder time (INR)</x:v>
      </x:c>
      <x:c r="B58" s="58" t="n">
        <x:f>B56-'Commercial Inputs'!$B$33</x:f>
        <x:v>-142556.24328385593</x:v>
      </x:c>
      <x:c r="C58" s="58" t="n">
        <x:f>C56-'Commercial Inputs'!$B$33</x:f>
        <x:v>-117833.73495845245</x:v>
      </x:c>
      <x:c r="D58" s="58" t="n">
        <x:f>D56-'Commercial Inputs'!$B$33</x:f>
        <x:v>-113055.48064488119</x:v>
      </x:c>
      <x:c r="E58" s="58" t="n">
        <x:f>E56-'Commercial Inputs'!$B$33</x:f>
        <x:v>-115514.24091140692</x:v>
      </x:c>
      <x:c r="F58" s="58" t="n">
        <x:f>F56-'Commercial Inputs'!$B$33</x:f>
        <x:v>-108494.52693974321</x:v>
      </x:c>
      <x:c r="G58" s="58" t="n">
        <x:f>G56-'Commercial Inputs'!$B$33</x:f>
        <x:v>-101188.49968792856</x:v>
      </x:c>
      <x:c r="H58" s="58" t="n">
        <x:f>H56-'Commercial Inputs'!$B$33</x:f>
        <x:v>-109749.03825693011</x:v>
      </x:c>
      <x:c r="I58" s="58" t="n">
        <x:f>I56-'Commercial Inputs'!$B$33</x:f>
        <x:v>-98004.15485186642</x:v>
      </x:c>
      <x:c r="J58" s="58" t="n">
        <x:f>J56-'Commercial Inputs'!$B$33</x:f>
        <x:v>-85917.19148263556</x:v>
      </x:c>
      <x:c r="K58" s="58" t="n">
        <x:f>K56-'Commercial Inputs'!$B$33</x:f>
        <x:v>-73269.61616954918</x:v>
      </x:c>
      <x:c r="L58" s="58" t="n">
        <x:f>L56-'Commercial Inputs'!$B$33</x:f>
        <x:v>-59956.446220572456</x:v>
      </x:c>
      <x:c r="M58" s="58" t="n">
        <x:f>M56-'Commercial Inputs'!$B$33</x:f>
        <x:v>-55865.62165611074</x:v>
      </x:c>
      <x:c r="N58" s="58" t="n">
        <x:f>N56-'Commercial Inputs'!$B$33</x:f>
        <x:v>-86339.03944603805</x:v>
      </x:c>
      <x:c r="O58" s="58" t="n">
        <x:f>O56-'Commercial Inputs'!$B$33</x:f>
        <x:v>-68916.1550802397</x:v>
      </x:c>
      <x:c r="P58" s="58" t="n">
        <x:f>P56-'Commercial Inputs'!$B$33</x:f>
        <x:v>-52260.20249311777</x:v>
      </x:c>
      <x:c r="Q58" s="58" t="n">
        <x:f>Q56-'Commercial Inputs'!$B$33</x:f>
        <x:v>-37617.255219424405</x:v>
      </x:c>
      <x:c r="R58" s="58" t="n">
        <x:f>R56-'Commercial Inputs'!$B$33</x:f>
        <x:v>-22965.876277824194</x:v>
      </x:c>
      <x:c r="S58" s="58" t="n">
        <x:f>S56-'Commercial Inputs'!$B$33</x:f>
        <x:v>-8863.698813802039</x:v>
      </x:c>
      <x:c r="T58" s="58" t="n">
        <x:f>T56-'Commercial Inputs'!$B$33</x:f>
        <x:v>-29767.606410281907</x:v>
      </x:c>
      <x:c r="U58" s="58" t="n">
        <x:f>U56-'Commercial Inputs'!$B$33</x:f>
        <x:v>-12546.755210665899</x:v>
      </x:c>
      <x:c r="V58" s="58" t="n">
        <x:f>V56-'Commercial Inputs'!$B$33</x:f>
        <x:v>3683.6055095533375</x:v>
      </x:c>
      <x:c r="W58" s="58" t="n">
        <x:f>W56-'Commercial Inputs'!$B$33</x:f>
        <x:v>19119.390458976908</x:v>
      </x:c>
      <x:c r="X58" s="58" t="n">
        <x:f>X56-'Commercial Inputs'!$B$33</x:f>
        <x:v>33735.008211855544</x:v>
      </x:c>
      <x:c r="Y58" s="58" t="n">
        <x:f>Y56-'Commercial Inputs'!$B$33</x:f>
        <x:v>47491.58384893829</x:v>
      </x:c>
      <x:c r="Z58" s="58" t="n">
        <x:f>Z56-'Commercial Inputs'!$B$33</x:f>
        <x:v>8889.680988342036</x:v>
      </x:c>
      <x:c r="AA58" s="58" t="n">
        <x:f>AA56-'Commercial Inputs'!$B$33</x:f>
        <x:v>8022.936424151645</x:v>
      </x:c>
      <x:c r="AB58" s="58" t="n">
        <x:f>AB56-'Commercial Inputs'!$B$33</x:f>
        <x:v>21741.98080186604</x:v>
      </x:c>
      <x:c r="AC58" s="58" t="n">
        <x:f>AC56-'Commercial Inputs'!$B$33</x:f>
        <x:v>34737.74537777132</x:v>
      </x:c>
      <x:c r="AD58" s="58" t="n">
        <x:f>AD56-'Commercial Inputs'!$B$33</x:f>
        <x:v>47798.63859378878</x:v>
      </x:c>
      <x:c r="AE58" s="58" t="n">
        <x:f>AE56-'Commercial Inputs'!$B$33</x:f>
        <x:v>60644.109435922874</x:v>
      </x:c>
      <x:c r="AF58" s="58" t="n">
        <x:f>AF56-'Commercial Inputs'!$B$33</x:f>
        <x:v>35470.05737557594</x:v>
      </x:c>
      <x:c r="AG58" s="58" t="n">
        <x:f>AG56-'Commercial Inputs'!$B$33</x:f>
        <x:v>49784.56605143397</x:v>
      </x:c>
      <x:c r="AH58" s="58" t="n">
        <x:f>AH56-'Commercial Inputs'!$B$33</x:f>
        <x:v>63559.73561781022</x:v>
      </x:c>
      <x:c r="AI58" s="58" t="n">
        <x:f>AI56-'Commercial Inputs'!$B$33</x:f>
        <x:v>77009.02844206692</x:v>
      </x:c>
      <x:c r="AJ58" s="58" t="n">
        <x:f>AJ56-'Commercial Inputs'!$B$33</x:f>
        <x:v>90149.94814895559</x:v>
      </x:c>
      <x:c r="AK58" s="58" t="n">
        <x:f>AK56-'Commercial Inputs'!$B$33</x:f>
        <x:v>102993.81126492831</x:v>
      </x:c>
    </x:row>
    <x:row r="59" ht="18" customHeight="1">
      <x:c r="A59" s="4" t="str">
        <x:v>Net proceeds awaiting payout (INR)</x:v>
      </x:c>
      <x:c r="B59" s="58" t="n">
        <x:f>B43-B44</x:f>
        <x:v>44442.28222779662</x:v>
      </x:c>
      <x:c r="C59" s="58" t="n">
        <x:f>C43-C44</x:f>
        <x:v>49065.810513068136</x:v>
      </x:c>
      <x:c r="D59" s="58" t="n">
        <x:f>D43-D44</x:f>
        <x:v>53884.221181156594</x:v>
      </x:c>
      <x:c r="E59" s="58" t="n">
        <x:f>E43-E44</x:f>
        <x:v>74582.24894577061</x:v>
      </x:c>
      <x:c r="F59" s="58" t="n">
        <x:f>F43-F44</x:f>
        <x:v>80715.46033778992</x:v>
      </x:c>
      <x:c r="G59" s="58" t="n">
        <x:f>G43-G44</x:f>
        <x:v>87314.04698290525</x:v>
      </x:c>
      <x:c r="H59" s="58" t="n">
        <x:f>H43-H44</x:f>
        <x:v>128022.47429306142</x:v>
      </x:c>
      <x:c r="I59" s="58" t="n">
        <x:f>I43-I44</x:f>
        <x:v>136818.13337604018</x:v>
      </x:c>
      <x:c r="J59" s="58" t="n">
        <x:f>J43-J44</x:f>
        <x:v>146203.1449276755</x:v>
      </x:c>
      <x:c r="K59" s="58" t="n">
        <x:f>K43-K44</x:f>
        <x:v>156438.38754298803</x:v>
      </x:c>
      <x:c r="L59" s="58" t="n">
        <x:f>L43-L44</x:f>
        <x:v>167666.29100483574</x:v>
      </x:c>
      <x:c r="M59" s="58" t="n">
        <x:f>M43-M44</x:f>
        <x:v>180040.46180913594</x:v>
      </x:c>
      <x:c r="N59" s="58" t="n">
        <x:f>N43-N44</x:f>
        <x:v>246687.5187958629</x:v>
      </x:c>
      <x:c r="O59" s="58" t="n">
        <x:f>O43-O44</x:f>
        <x:v>250334.06413608493</x:v>
      </x:c>
      <x:c r="P59" s="58" t="n">
        <x:f>P43-P44</x:f>
        <x:v>253533.17261616047</x:v>
      </x:c>
      <x:c r="Q59" s="58" t="n">
        <x:f>Q43-Q44</x:f>
        <x:v>260851.66944691818</x:v>
      </x:c>
      <x:c r="R59" s="58" t="n">
        <x:f>R43-R44</x:f>
        <x:v>263752.25062725006</x:v>
      </x:c>
      <x:c r="S59" s="58" t="n">
        <x:f>S43-S44</x:f>
        <x:v>266590.2220324859</x:v>
      </x:c>
      <x:c r="T59" s="58" t="n">
        <x:f>T43-T44</x:f>
        <x:v>337286.6974125463</x:v>
      </x:c>
      <x:c r="U59" s="58" t="n">
        <x:f>U43-U44</x:f>
        <x:v>341663.93052510626</x:v>
      </x:c>
      <x:c r="V59" s="58" t="n">
        <x:f>V43-V44</x:f>
        <x:v>345718.66780380596</x:v>
      </x:c>
      <x:c r="W59" s="58" t="n">
        <x:f>W43-W44</x:f>
        <x:v>349749.4611137277</x:v>
      </x:c>
      <x:c r="X59" s="58" t="n">
        <x:f>X43-X44</x:f>
        <x:v>353828.1762001594</x:v>
      </x:c>
      <x:c r="Y59" s="58" t="n">
        <x:f>Y43-Y44</x:f>
        <x:v>358024.36090507</x:v>
      </x:c>
      <x:c r="Z59" s="58" t="n">
        <x:f>Z43-Z44</x:f>
        <x:v>417553.3838322555</x:v>
      </x:c>
      <x:c r="AA59" s="58" t="n">
        <x:f>AA43-AA44</x:f>
        <x:v>419898.25004840095</x:v>
      </x:c>
      <x:c r="AB59" s="58" t="n">
        <x:f>AB43-AB44</x:f>
        <x:v>421916.20368379744</x:v>
      </x:c>
      <x:c r="AC59" s="58" t="n">
        <x:f>AC43-AC44</x:f>
        <x:v>426086.28704043187</x:v>
      </x:c>
      <x:c r="AD59" s="58" t="n">
        <x:f>AD43-AD44</x:f>
        <x:v>427860.5189980211</x:v>
      </x:c>
      <x:c r="AE59" s="58" t="n">
        <x:f>AE43-AE44</x:f>
        <x:v>429568.1492347466</x:v>
      </x:c>
      <x:c r="AF59" s="58" t="n">
        <x:f>AF43-AF44</x:f>
        <x:v>505726.7678706713</x:v>
      </x:c>
      <x:c r="AG59" s="58" t="n">
        <x:f>AG43-AG44</x:f>
        <x:v>508769.8839881732</x:v>
      </x:c>
      <x:c r="AH59" s="58" t="n">
        <x:f>AH43-AH44</x:f>
        <x:v>511465.8416745121</x:v>
      </x:c>
      <x:c r="AI59" s="58" t="n">
        <x:f>AI43-AI44</x:f>
        <x:v>514071.0298705384</x:v>
      </x:c>
      <x:c r="AJ59" s="58" t="n">
        <x:f>AJ43-AJ44</x:f>
        <x:v>516635.2074754299</x:v>
      </x:c>
      <x:c r="AK59" s="58" t="n">
        <x:f>AK43-AK44</x:f>
        <x:v>519205.2251150206</x:v>
      </x:c>
    </x:row>
    <x:row r="60" ht="18" customHeight="1">
      <x:c r="A60" s="4" t="str">
        <x:v>Payouts received this month (INR)</x:v>
      </x:c>
      <x:c r="B60" s="58" t="n">
        <x:f>B59*(1-'Commercial Inputs'!$B$31)+0*'Commercial Inputs'!$B$31</x:f>
        <x:v>22221.14111389831</x:v>
      </x:c>
      <x:c r="C60" s="58" t="n">
        <x:f>C59*(1-'Commercial Inputs'!$B$31)+B59*'Commercial Inputs'!$B$31</x:f>
        <x:v>46754.04637043238</x:v>
      </x:c>
      <x:c r="D60" s="58" t="n">
        <x:f>D59*(1-'Commercial Inputs'!$B$31)+C59*'Commercial Inputs'!$B$31</x:f>
        <x:v>51475.015847112365</x:v>
      </x:c>
      <x:c r="E60" s="58" t="n">
        <x:f>E59*(1-'Commercial Inputs'!$B$31)+D59*'Commercial Inputs'!$B$31</x:f>
        <x:v>64233.2350634636</x:v>
      </x:c>
      <x:c r="F60" s="58" t="n">
        <x:f>F59*(1-'Commercial Inputs'!$B$31)+E59*'Commercial Inputs'!$B$31</x:f>
        <x:v>77648.85464178026</x:v>
      </x:c>
      <x:c r="G60" s="58" t="n">
        <x:f>G59*(1-'Commercial Inputs'!$B$31)+F59*'Commercial Inputs'!$B$31</x:f>
        <x:v>84014.75366034757</x:v>
      </x:c>
      <x:c r="H60" s="58" t="n">
        <x:f>H59*(1-'Commercial Inputs'!$B$31)+G59*'Commercial Inputs'!$B$31</x:f>
        <x:v>107668.26063798333</x:v>
      </x:c>
      <x:c r="I60" s="58" t="n">
        <x:f>I59*(1-'Commercial Inputs'!$B$31)+H59*'Commercial Inputs'!$B$31</x:f>
        <x:v>132420.30383455078</x:v>
      </x:c>
      <x:c r="J60" s="58" t="n">
        <x:f>J59*(1-'Commercial Inputs'!$B$31)+I59*'Commercial Inputs'!$B$31</x:f>
        <x:v>141510.63915185782</x:v>
      </x:c>
      <x:c r="K60" s="58" t="n">
        <x:f>K59*(1-'Commercial Inputs'!$B$31)+J59*'Commercial Inputs'!$B$31</x:f>
        <x:v>151320.76623533177</x:v>
      </x:c>
      <x:c r="L60" s="58" t="n">
        <x:f>L59*(1-'Commercial Inputs'!$B$31)+K59*'Commercial Inputs'!$B$31</x:f>
        <x:v>162052.3392739119</x:v>
      </x:c>
      <x:c r="M60" s="58" t="n">
        <x:f>M59*(1-'Commercial Inputs'!$B$31)+L59*'Commercial Inputs'!$B$31</x:f>
        <x:v>173853.37640698586</x:v>
      </x:c>
      <x:c r="N60" s="58" t="n">
        <x:f>N59*(1-'Commercial Inputs'!$B$31)+M59*'Commercial Inputs'!$B$31</x:f>
        <x:v>213363.99030249944</x:v>
      </x:c>
      <x:c r="O60" s="58" t="n">
        <x:f>O59*(1-'Commercial Inputs'!$B$31)+N59*'Commercial Inputs'!$B$31</x:f>
        <x:v>248510.79146597392</x:v>
      </x:c>
      <x:c r="P60" s="58" t="n">
        <x:f>P59*(1-'Commercial Inputs'!$B$31)+O59*'Commercial Inputs'!$B$31</x:f>
        <x:v>251933.6183761227</x:v>
      </x:c>
      <x:c r="Q60" s="58" t="n">
        <x:f>Q59*(1-'Commercial Inputs'!$B$31)+P59*'Commercial Inputs'!$B$31</x:f>
        <x:v>257192.42103153933</x:v>
      </x:c>
      <x:c r="R60" s="58" t="n">
        <x:f>R59*(1-'Commercial Inputs'!$B$31)+Q59*'Commercial Inputs'!$B$31</x:f>
        <x:v>262301.9600370841</x:v>
      </x:c>
      <x:c r="S60" s="58" t="n">
        <x:f>S59*(1-'Commercial Inputs'!$B$31)+R59*'Commercial Inputs'!$B$31</x:f>
        <x:v>265171.23632986797</x:v>
      </x:c>
      <x:c r="T60" s="58" t="n">
        <x:f>T59*(1-'Commercial Inputs'!$B$31)+S59*'Commercial Inputs'!$B$31</x:f>
        <x:v>301938.4597225161</x:v>
      </x:c>
      <x:c r="U60" s="58" t="n">
        <x:f>U59*(1-'Commercial Inputs'!$B$31)+T59*'Commercial Inputs'!$B$31</x:f>
        <x:v>339475.3139688263</x:v>
      </x:c>
      <x:c r="V60" s="58" t="n">
        <x:f>V59*(1-'Commercial Inputs'!$B$31)+U59*'Commercial Inputs'!$B$31</x:f>
        <x:v>343691.2991644561</x:v>
      </x:c>
      <x:c r="W60" s="58" t="n">
        <x:f>W59*(1-'Commercial Inputs'!$B$31)+V59*'Commercial Inputs'!$B$31</x:f>
        <x:v>347734.06445876684</x:v>
      </x:c>
      <x:c r="X60" s="58" t="n">
        <x:f>X59*(1-'Commercial Inputs'!$B$31)+W59*'Commercial Inputs'!$B$31</x:f>
        <x:v>351788.81865694356</x:v>
      </x:c>
      <x:c r="Y60" s="58" t="n">
        <x:f>Y59*(1-'Commercial Inputs'!$B$31)+X59*'Commercial Inputs'!$B$31</x:f>
        <x:v>355926.2685526147</x:v>
      </x:c>
      <x:c r="Z60" s="58" t="n">
        <x:f>Z59*(1-'Commercial Inputs'!$B$31)+Y59*'Commercial Inputs'!$B$31</x:f>
        <x:v>387788.87236866273</x:v>
      </x:c>
      <x:c r="AA60" s="58" t="n">
        <x:f>AA59*(1-'Commercial Inputs'!$B$31)+Z59*'Commercial Inputs'!$B$31</x:f>
        <x:v>418725.8169403282</x:v>
      </x:c>
      <x:c r="AB60" s="58" t="n">
        <x:f>AB59*(1-'Commercial Inputs'!$B$31)+AA59*'Commercial Inputs'!$B$31</x:f>
        <x:v>420907.22686609917</x:v>
      </x:c>
      <x:c r="AC60" s="58" t="n">
        <x:f>AC59*(1-'Commercial Inputs'!$B$31)+AB59*'Commercial Inputs'!$B$31</x:f>
        <x:v>424001.2453621146</x:v>
      </x:c>
      <x:c r="AD60" s="58" t="n">
        <x:f>AD59*(1-'Commercial Inputs'!$B$31)+AC59*'Commercial Inputs'!$B$31</x:f>
        <x:v>426973.4030192265</x:v>
      </x:c>
      <x:c r="AE60" s="58" t="n">
        <x:f>AE59*(1-'Commercial Inputs'!$B$31)+AD59*'Commercial Inputs'!$B$31</x:f>
        <x:v>428714.3341163838</x:v>
      </x:c>
      <x:c r="AF60" s="58" t="n">
        <x:f>AF59*(1-'Commercial Inputs'!$B$31)+AE59*'Commercial Inputs'!$B$31</x:f>
        <x:v>467647.45855270897</x:v>
      </x:c>
      <x:c r="AG60" s="58" t="n">
        <x:f>AG59*(1-'Commercial Inputs'!$B$31)+AF59*'Commercial Inputs'!$B$31</x:f>
        <x:v>507248.3259294223</x:v>
      </x:c>
      <x:c r="AH60" s="58" t="n">
        <x:f>AH59*(1-'Commercial Inputs'!$B$31)+AG59*'Commercial Inputs'!$B$31</x:f>
        <x:v>510117.8628313426</x:v>
      </x:c>
      <x:c r="AI60" s="58" t="n">
        <x:f>AI59*(1-'Commercial Inputs'!$B$31)+AH59*'Commercial Inputs'!$B$31</x:f>
        <x:v>512768.43577252526</x:v>
      </x:c>
      <x:c r="AJ60" s="58" t="n">
        <x:f>AJ59*(1-'Commercial Inputs'!$B$31)+AI59*'Commercial Inputs'!$B$31</x:f>
        <x:v>515353.1186729842</x:v>
      </x:c>
      <x:c r="AK60" s="58" t="n">
        <x:f>AK59*(1-'Commercial Inputs'!$B$31)+AJ59*'Commercial Inputs'!$B$31</x:f>
        <x:v>517920.21629522525</x:v>
      </x:c>
    </x:row>
    <x:row r="61" ht="18" customHeight="1">
      <x:c r="A61" s="4" t="str">
        <x:v>Cash outgo other than withheld fees (INR)</x:v>
      </x:c>
      <x:c r="B61" s="58" t="n">
        <x:f>SUM(B45:B48)+B16+SUM(B52:B55)</x:f>
        <x:v>43482.92865</x:v>
      </x:c>
      <x:c r="C61" s="58" t="n">
        <x:f>SUM(C45:C48)+C16+SUM(C52:C55)</x:f>
        <x:v>23934.343510885003</x:v>
      </x:c>
      <x:c r="D61" s="58" t="n">
        <x:f>SUM(D45:D48)+D16+SUM(D52:D55)</x:f>
        <x:v>24425.823684236086</x:v>
      </x:c>
      <x:c r="E61" s="58" t="n">
        <x:f>SUM(E45:E48)+E16+SUM(E52:E55)</x:f>
        <x:v>32787.116144198575</x:v>
      </x:c>
      <x:c r="F61" s="58" t="n">
        <x:f>SUM(F45:F48)+F16+SUM(F52:F55)</x:f>
        <x:v>33492.69025839504</x:v>
      </x:c>
      <x:c r="G61" s="58" t="n">
        <x:f>SUM(G45:G48)+G16+SUM(G52:G55)</x:f>
        <x:v>34238.13860818728</x:v>
      </x:c>
      <x:c r="H61" s="58" t="n">
        <x:f>SUM(H45:H48)+H16+SUM(H52:H55)</x:f>
        <x:v>52009.740325745486</x:v>
      </x:c>
      <x:c r="I61" s="58" t="n">
        <x:f>SUM(I45:I48)+I16+SUM(I52:I55)</x:f>
        <x:v>53164.22331043181</x:v>
      </x:c>
      <x:c r="J61" s="58" t="n">
        <x:f>SUM(J45:J48)+J16+SUM(J52:J55)</x:f>
        <x:v>54370.43005014893</x:v>
      </x:c>
      <x:c r="K61" s="58" t="n">
        <x:f>SUM(K45:K48)+K16+SUM(K52:K55)</x:f>
        <x:v>55647.24131029399</x:v>
      </x:c>
      <x:c r="L61" s="58" t="n">
        <x:f>SUM(L45:L48)+L16+SUM(L52:L55)</x:f>
        <x:v>57005.82242976303</x:v>
      </x:c>
      <x:c r="M61" s="58" t="n">
        <x:f>SUM(M45:M48)+M16+SUM(M52:M55)</x:f>
        <x:v>68458.28436272014</x:v>
      </x:c>
      <x:c r="N61" s="58" t="n">
        <x:f>SUM(N45:N48)+N16+SUM(N52:N55)</x:f>
        <x:v>112068.09119048952</x:v>
      </x:c>
      <x:c r="O61" s="58" t="n">
        <x:f>SUM(O45:O48)+O16+SUM(O52:O55)</x:f>
        <x:v>113585.07829114929</x:v>
      </x:c>
      <x:c r="P61" s="58" t="n">
        <x:f>SUM(P45:P48)+P16+SUM(P52:P55)</x:f>
        <x:v>115045.98183778289</x:v>
      </x:c>
      <x:c r="Q61" s="58" t="n">
        <x:f>SUM(Q45:Q48)+Q16+SUM(Q52:Q55)</x:f>
        <x:v>116438.10871133418</x:v>
      </x:c>
      <x:c r="R61" s="58" t="n">
        <x:f>SUM(R45:R48)+R16+SUM(R52:R55)</x:f>
        <x:v>117737.71011645655</x:v>
      </x:c>
      <x:c r="S61" s="58" t="n">
        <x:f>SUM(S45:S48)+S16+SUM(S52:S55)</x:f>
        <x:v>118996.24251176984</x:v>
      </x:c>
      <x:c r="T61" s="58" t="n">
        <x:f>SUM(T45:T48)+T16+SUM(T52:T55)</x:f>
        <x:v>152671.11645152877</x:v>
      </x:c>
      <x:c r="U61" s="58" t="n">
        <x:f>SUM(U45:U48)+U16+SUM(U52:U55)</x:f>
        <x:v>154195.68639849147</x:v>
      </x:c>
      <x:c r="V61" s="58" t="n">
        <x:f>SUM(V45:V48)+V16+SUM(V52:V55)</x:f>
        <x:v>155646.9256817929</x:v>
      </x:c>
      <x:c r="W61" s="58" t="n">
        <x:f>SUM(W45:W48)+W16+SUM(W52:W55)</x:f>
        <x:v>157038.51242081064</x:v>
      </x:c>
      <x:c r="X61" s="58" t="n">
        <x:f>SUM(X45:X48)+X16+SUM(X52:X55)</x:f>
        <x:v>158368.2696650258</x:v>
      </x:c>
      <x:c r="Y61" s="58" t="n">
        <x:f>SUM(Y45:Y48)+Y16+SUM(Y52:Y55)</x:f>
        <x:v>159633.02995951512</x:v>
      </x:c>
      <x:c r="Z61" s="58" t="n">
        <x:f>SUM(Z45:Z48)+Z16+SUM(Z52:Z55)</x:f>
        <x:v>207849.12693485562</x:v>
      </x:c>
      <x:c r="AA61" s="58" t="n">
        <x:f>SUM(AA45:AA48)+AA16+SUM(AA52:AA55)</x:f>
        <x:v>224078.78221677127</x:v>
      </x:c>
      <x:c r="AB61" s="58" t="n">
        <x:f>SUM(AB45:AB48)+AB16+SUM(AB52:AB55)</x:f>
        <x:v>225279.45144192735</x:v>
      </x:c>
      <x:c r="AC61" s="58" t="n">
        <x:f>SUM(AC45:AC48)+AC16+SUM(AC52:AC55)</x:f>
        <x:v>226475.0596947028</x:v>
      </x:c>
      <x:c r="AD61" s="58" t="n">
        <x:f>SUM(AD45:AD48)+AD16+SUM(AD52:AD55)</x:f>
        <x:v>227627.26007245443</x:v>
      </x:c>
      <x:c r="AE61" s="58" t="n">
        <x:f>SUM(AE45:AE48)+AE16+SUM(AE52:AE55)</x:f>
        <x:v>228764.90970529374</x:v>
      </x:c>
      <x:c r="AF61" s="58" t="n">
        <x:f>SUM(AF45:AF48)+AF16+SUM(AF52:AF55)</x:f>
        <x:v>262214.6114437905</x:v>
      </x:c>
      <x:c r="AG61" s="58" t="n">
        <x:f>SUM(AG45:AG48)+AG16+SUM(AG52:AG55)</x:f>
        <x:v>263468.97176389047</x:v>
      </x:c>
      <x:c r="AH61" s="58" t="n">
        <x:f>SUM(AH45:AH48)+AH16+SUM(AH52:AH55)</x:f>
        <x:v>264685.9877109553</x:v>
      </x:c>
      <x:c r="AI61" s="58" t="n">
        <x:f>SUM(AI45:AI48)+AI16+SUM(AI52:AI55)</x:f>
        <x:v>265881.0428523105</x:v>
      </x:c>
      <x:c r="AJ61" s="58" t="n">
        <x:f>SUM(AJ45:AJ48)+AJ16+SUM(AJ52:AJ55)</x:f>
        <x:v>267055.54429548077</x:v>
      </x:c>
      <x:c r="AK61" s="58" t="n">
        <x:f>SUM(AK45:AK48)+AK16+SUM(AK52:AK55)</x:f>
        <x:v>268210.47619291744</x:v>
      </x:c>
    </x:row>
    <x:row r="62" ht="18" customHeight="1">
      <x:c r="A62" s="74" t="str">
        <x:v>NET CASH MOVEMENT (INR)</x:v>
      </x:c>
      <x:c r="B62" s="75" t="n">
        <x:f>B60-B61</x:f>
        <x:v>-21261.787536101692</x:v>
      </x:c>
      <x:c r="C62" s="75" t="n">
        <x:f>C60-C61</x:f>
        <x:v>22819.702859547375</x:v>
      </x:c>
      <x:c r="D62" s="75" t="n">
        <x:f>D60-D61</x:f>
        <x:v>27049.19216287628</x:v>
      </x:c>
      <x:c r="E62" s="75" t="n">
        <x:f>E60-E61</x:f>
        <x:v>31446.118919265027</x:v>
      </x:c>
      <x:c r="F62" s="75" t="n">
        <x:f>F60-F61</x:f>
        <x:v>44156.164383385214</x:v>
      </x:c>
      <x:c r="G62" s="75" t="n">
        <x:f>G60-G61</x:f>
        <x:v>49776.6150521603</x:v>
      </x:c>
      <x:c r="H62" s="75" t="n">
        <x:f>H60-H61</x:f>
        <x:v>55658.520312237844</x:v>
      </x:c>
      <x:c r="I62" s="75" t="n">
        <x:f>I60-I61</x:f>
        <x:v>79256.08052411897</x:v>
      </x:c>
      <x:c r="J62" s="75" t="n">
        <x:f>J60-J61</x:f>
        <x:v>87140.2091017089</x:v>
      </x:c>
      <x:c r="K62" s="75" t="n">
        <x:f>K60-K61</x:f>
        <x:v>95673.52492503778</x:v>
      </x:c>
      <x:c r="L62" s="75" t="n">
        <x:f>L60-L61</x:f>
        <x:v>105046.51684414886</x:v>
      </x:c>
      <x:c r="M62" s="75" t="n">
        <x:f>M60-M61</x:f>
        <x:v>105395.09204426572</x:v>
      </x:c>
      <x:c r="N62" s="75" t="n">
        <x:f>N60-N61</x:f>
        <x:v>101295.89911200992</x:v>
      </x:c>
      <x:c r="O62" s="75" t="n">
        <x:f>O60-O61</x:f>
        <x:v>134925.71317482463</x:v>
      </x:c>
      <x:c r="P62" s="75" t="n">
        <x:f>P60-P61</x:f>
        <x:v>136887.6365383398</x:v>
      </x:c>
      <x:c r="Q62" s="75" t="n">
        <x:f>Q60-Q61</x:f>
        <x:v>140754.31232020515</x:v>
      </x:c>
      <x:c r="R62" s="75" t="n">
        <x:f>R60-R61</x:f>
        <x:v>144564.24992062757</x:v>
      </x:c>
      <x:c r="S62" s="75" t="n">
        <x:f>S60-S61</x:f>
        <x:v>146174.99381809813</x:v>
      </x:c>
      <x:c r="T62" s="75" t="n">
        <x:f>T60-T61</x:f>
        <x:v>149267.34327098736</x:v>
      </x:c>
      <x:c r="U62" s="75" t="n">
        <x:f>U60-U61</x:f>
        <x:v>185279.62757033485</x:v>
      </x:c>
      <x:c r="V62" s="75" t="n">
        <x:f>V60-V61</x:f>
        <x:v>188044.37348266318</x:v>
      </x:c>
      <x:c r="W62" s="75" t="n">
        <x:f>W60-W61</x:f>
        <x:v>190695.5520379562</x:v>
      </x:c>
      <x:c r="X62" s="75" t="n">
        <x:f>X60-X61</x:f>
        <x:v>193420.54899191778</x:v>
      </x:c>
      <x:c r="Y62" s="75" t="n">
        <x:f>Y60-Y61</x:f>
        <x:v>196293.2385930996</x:v>
      </x:c>
      <x:c r="Z62" s="75" t="n">
        <x:f>Z60-Z61</x:f>
        <x:v>179939.7454338071</x:v>
      </x:c>
      <x:c r="AA62" s="75" t="n">
        <x:f>AA60-AA61</x:f>
        <x:v>194647.03472355695</x:v>
      </x:c>
      <x:c r="AB62" s="75" t="n">
        <x:f>AB60-AB61</x:f>
        <x:v>195627.77542417182</x:v>
      </x:c>
      <x:c r="AC62" s="75" t="n">
        <x:f>AC60-AC61</x:f>
        <x:v>197526.18566741183</x:v>
      </x:c>
      <x:c r="AD62" s="75" t="n">
        <x:f>AD60-AD61</x:f>
        <x:v>199346.14294677207</x:v>
      </x:c>
      <x:c r="AE62" s="75" t="n">
        <x:f>AE60-AE61</x:f>
        <x:v>199949.42441109006</x:v>
      </x:c>
      <x:c r="AF62" s="75" t="n">
        <x:f>AF60-AF61</x:f>
        <x:v>205432.84710891847</x:v>
      </x:c>
      <x:c r="AG62" s="75" t="n">
        <x:f>AG60-AG61</x:f>
        <x:v>243779.3541655318</x:v>
      </x:c>
      <x:c r="AH62" s="75" t="n">
        <x:f>AH60-AH61</x:f>
        <x:v>245431.8751203873</x:v>
      </x:c>
      <x:c r="AI62" s="75" t="n">
        <x:f>AI60-AI61</x:f>
        <x:v>246887.39292021474</x:v>
      </x:c>
      <x:c r="AJ62" s="75" t="n">
        <x:f>AJ60-AJ61</x:f>
        <x:v>248297.57437750342</x:v>
      </x:c>
      <x:c r="AK62" s="75" t="n">
        <x:f>AK60-AK61</x:f>
        <x:v>249709.7401023078</x:v>
      </x:c>
    </x:row>
    <x:row r="63" ht="18" customHeight="1">
      <x:c r="A63" s="4" t="str">
        <x:v>Cumulative cash movement (INR)</x:v>
      </x:c>
      <x:c r="B63" s="58" t="n">
        <x:f>0+B62</x:f>
        <x:v>-21261.787536101692</x:v>
      </x:c>
      <x:c r="C63" s="58" t="n">
        <x:f>B63+C62</x:f>
        <x:v>1557.9153234456826</x:v>
      </x:c>
      <x:c r="D63" s="58" t="n">
        <x:f>C63+D62</x:f>
        <x:v>28607.107486321962</x:v>
      </x:c>
      <x:c r="E63" s="58" t="n">
        <x:f>D63+E62</x:f>
        <x:v>60053.22640558699</x:v>
      </x:c>
      <x:c r="F63" s="58" t="n">
        <x:f>E63+F62</x:f>
        <x:v>104209.3907889722</x:v>
      </x:c>
      <x:c r="G63" s="58" t="n">
        <x:f>F63+G62</x:f>
        <x:v>153986.0058411325</x:v>
      </x:c>
      <x:c r="H63" s="58" t="n">
        <x:f>G63+H62</x:f>
        <x:v>209644.52615337033</x:v>
      </x:c>
      <x:c r="I63" s="58" t="n">
        <x:f>H63+I62</x:f>
        <x:v>288900.6066774893</x:v>
      </x:c>
      <x:c r="J63" s="58" t="n">
        <x:f>I63+J62</x:f>
        <x:v>376040.8157791982</x:v>
      </x:c>
      <x:c r="K63" s="58" t="n">
        <x:f>J63+K62</x:f>
        <x:v>471714.34070423595</x:v>
      </x:c>
      <x:c r="L63" s="58" t="n">
        <x:f>K63+L62</x:f>
        <x:v>576760.8575483848</x:v>
      </x:c>
      <x:c r="M63" s="58" t="n">
        <x:f>L63+M62</x:f>
        <x:v>682155.9495926505</x:v>
      </x:c>
      <x:c r="N63" s="58" t="n">
        <x:f>M63+N62</x:f>
        <x:v>783451.8487046604</x:v>
      </x:c>
      <x:c r="O63" s="58" t="n">
        <x:f>N63+O62</x:f>
        <x:v>918377.561879485</x:v>
      </x:c>
      <x:c r="P63" s="58" t="n">
        <x:f>O63+P62</x:f>
        <x:v>1055265.198417825</x:v>
      </x:c>
      <x:c r="Q63" s="58" t="n">
        <x:f>P63+Q62</x:f>
        <x:v>1196019.51073803</x:v>
      </x:c>
      <x:c r="R63" s="58" t="n">
        <x:f>Q63+R62</x:f>
        <x:v>1340583.7606586576</x:v>
      </x:c>
      <x:c r="S63" s="58" t="n">
        <x:f>R63+S62</x:f>
        <x:v>1486758.7544767559</x:v>
      </x:c>
      <x:c r="T63" s="58" t="n">
        <x:f>S63+T62</x:f>
        <x:v>1636026.0977477431</x:v>
      </x:c>
      <x:c r="U63" s="58" t="n">
        <x:f>T63+U62</x:f>
        <x:v>1821305.725318078</x:v>
      </x:c>
      <x:c r="V63" s="58" t="n">
        <x:f>U63+V62</x:f>
        <x:v>2009350.0988007411</x:v>
      </x:c>
      <x:c r="W63" s="58" t="n">
        <x:f>V63+W62</x:f>
        <x:v>2200045.6508386973</x:v>
      </x:c>
      <x:c r="X63" s="58" t="n">
        <x:f>W63+X62</x:f>
        <x:v>2393466.199830615</x:v>
      </x:c>
      <x:c r="Y63" s="58" t="n">
        <x:f>X63+Y62</x:f>
        <x:v>2589759.4384237146</x:v>
      </x:c>
      <x:c r="Z63" s="58" t="n">
        <x:f>Y63+Z62</x:f>
        <x:v>2769699.1838575215</x:v>
      </x:c>
      <x:c r="AA63" s="58" t="n">
        <x:f>Z63+AA62</x:f>
        <x:v>2964346.2185810786</x:v>
      </x:c>
      <x:c r="AB63" s="58" t="n">
        <x:f>AA63+AB62</x:f>
        <x:v>3159973.9940052503</x:v>
      </x:c>
      <x:c r="AC63" s="58" t="n">
        <x:f>AB63+AC62</x:f>
        <x:v>3357500.179672662</x:v>
      </x:c>
      <x:c r="AD63" s="58" t="n">
        <x:f>AC63+AD62</x:f>
        <x:v>3556846.3226194344</x:v>
      </x:c>
      <x:c r="AE63" s="58" t="n">
        <x:f>AD63+AE62</x:f>
        <x:v>3756795.7470305245</x:v>
      </x:c>
      <x:c r="AF63" s="58" t="n">
        <x:f>AE63+AF62</x:f>
        <x:v>3962228.594139443</x:v>
      </x:c>
      <x:c r="AG63" s="58" t="n">
        <x:f>AF63+AG62</x:f>
        <x:v>4206007.9483049745</x:v>
      </x:c>
      <x:c r="AH63" s="58" t="n">
        <x:f>AG63+AH62</x:f>
        <x:v>4451439.823425362</x:v>
      </x:c>
      <x:c r="AI63" s="58" t="n">
        <x:f>AH63+AI62</x:f>
        <x:v>4698327.216345577</x:v>
      </x:c>
      <x:c r="AJ63" s="58" t="n">
        <x:f>AI63+AJ62</x:f>
        <x:v>4946624.79072308</x:v>
      </x:c>
      <x:c r="AK63" s="58" t="n">
        <x:f>AJ63+AK62</x:f>
        <x:v>5196334.530825388</x:v>
      </x:c>
    </x:row>
    <x:row r="64" ht="18" customHeight="1">
      <x:c r="A64" s="74" t="str">
        <x:v>CLOSING CASH, BEFORE TAX / OWNER DRAWS</x:v>
      </x:c>
      <x:c r="B64" s="75" t="n">
        <x:f>'Commercial Inputs'!$B$29+B63</x:f>
        <x:v>78738.21246389831</x:v>
      </x:c>
      <x:c r="C64" s="75" t="n">
        <x:f>'Commercial Inputs'!$B$29+C63</x:f>
        <x:v>101557.91532344569</x:v>
      </x:c>
      <x:c r="D64" s="75" t="n">
        <x:f>'Commercial Inputs'!$B$29+D63</x:f>
        <x:v>128607.10748632197</x:v>
      </x:c>
      <x:c r="E64" s="75" t="n">
        <x:f>'Commercial Inputs'!$B$29+E63</x:f>
        <x:v>160053.226405587</x:v>
      </x:c>
      <x:c r="F64" s="75" t="n">
        <x:f>'Commercial Inputs'!$B$29+F63</x:f>
        <x:v>204209.3907889722</x:v>
      </x:c>
      <x:c r="G64" s="75" t="n">
        <x:f>'Commercial Inputs'!$B$29+G63</x:f>
        <x:v>253986.0058411325</x:v>
      </x:c>
      <x:c r="H64" s="75" t="n">
        <x:f>'Commercial Inputs'!$B$29+H63</x:f>
        <x:v>309644.52615337033</x:v>
      </x:c>
      <x:c r="I64" s="75" t="n">
        <x:f>'Commercial Inputs'!$B$29+I63</x:f>
        <x:v>388900.6066774893</x:v>
      </x:c>
      <x:c r="J64" s="75" t="n">
        <x:f>'Commercial Inputs'!$B$29+J63</x:f>
        <x:v>476040.8157791982</x:v>
      </x:c>
      <x:c r="K64" s="75" t="n">
        <x:f>'Commercial Inputs'!$B$29+K63</x:f>
        <x:v>571714.340704236</x:v>
      </x:c>
      <x:c r="L64" s="75" t="n">
        <x:f>'Commercial Inputs'!$B$29+L63</x:f>
        <x:v>676760.8575483848</x:v>
      </x:c>
      <x:c r="M64" s="75" t="n">
        <x:f>'Commercial Inputs'!$B$29+M63</x:f>
        <x:v>782155.9495926505</x:v>
      </x:c>
      <x:c r="N64" s="75" t="n">
        <x:f>'Commercial Inputs'!$B$29+N63</x:f>
        <x:v>883451.8487046604</x:v>
      </x:c>
      <x:c r="O64" s="75" t="n">
        <x:f>'Commercial Inputs'!$B$29+O63</x:f>
        <x:v>1018377.561879485</x:v>
      </x:c>
      <x:c r="P64" s="75" t="n">
        <x:f>'Commercial Inputs'!$B$29+P63</x:f>
        <x:v>1155265.198417825</x:v>
      </x:c>
      <x:c r="Q64" s="75" t="n">
        <x:f>'Commercial Inputs'!$B$29+Q63</x:f>
        <x:v>1296019.51073803</x:v>
      </x:c>
      <x:c r="R64" s="75" t="n">
        <x:f>'Commercial Inputs'!$B$29+R63</x:f>
        <x:v>1440583.7606586576</x:v>
      </x:c>
      <x:c r="S64" s="75" t="n">
        <x:f>'Commercial Inputs'!$B$29+S63</x:f>
        <x:v>1586758.7544767559</x:v>
      </x:c>
      <x:c r="T64" s="75" t="n">
        <x:f>'Commercial Inputs'!$B$29+T63</x:f>
        <x:v>1736026.0977477431</x:v>
      </x:c>
      <x:c r="U64" s="75" t="n">
        <x:f>'Commercial Inputs'!$B$29+U63</x:f>
        <x:v>1921305.725318078</x:v>
      </x:c>
      <x:c r="V64" s="75" t="n">
        <x:f>'Commercial Inputs'!$B$29+V63</x:f>
        <x:v>2109350.098800741</x:v>
      </x:c>
      <x:c r="W64" s="75" t="n">
        <x:f>'Commercial Inputs'!$B$29+W63</x:f>
        <x:v>2300045.6508386973</x:v>
      </x:c>
      <x:c r="X64" s="75" t="n">
        <x:f>'Commercial Inputs'!$B$29+X63</x:f>
        <x:v>2493466.199830615</x:v>
      </x:c>
      <x:c r="Y64" s="75" t="n">
        <x:f>'Commercial Inputs'!$B$29+Y63</x:f>
        <x:v>2689759.4384237146</x:v>
      </x:c>
      <x:c r="Z64" s="75" t="n">
        <x:f>'Commercial Inputs'!$B$29+Z63</x:f>
        <x:v>2869699.1838575215</x:v>
      </x:c>
      <x:c r="AA64" s="75" t="n">
        <x:f>'Commercial Inputs'!$B$29+AA63</x:f>
        <x:v>3064346.2185810786</x:v>
      </x:c>
      <x:c r="AB64" s="75" t="n">
        <x:f>'Commercial Inputs'!$B$29+AB63</x:f>
        <x:v>3259973.9940052503</x:v>
      </x:c>
      <x:c r="AC64" s="75" t="n">
        <x:f>'Commercial Inputs'!$B$29+AC63</x:f>
        <x:v>3457500.179672662</x:v>
      </x:c>
      <x:c r="AD64" s="75" t="n">
        <x:f>'Commercial Inputs'!$B$29+AD63</x:f>
        <x:v>3656846.3226194344</x:v>
      </x:c>
      <x:c r="AE64" s="75" t="n">
        <x:f>'Commercial Inputs'!$B$29+AE63</x:f>
        <x:v>3856795.7470305245</x:v>
      </x:c>
      <x:c r="AF64" s="75" t="n">
        <x:f>'Commercial Inputs'!$B$29+AF63</x:f>
        <x:v>4062228.594139443</x:v>
      </x:c>
      <x:c r="AG64" s="75" t="n">
        <x:f>'Commercial Inputs'!$B$29+AG63</x:f>
        <x:v>4306007.9483049745</x:v>
      </x:c>
      <x:c r="AH64" s="75" t="n">
        <x:f>'Commercial Inputs'!$B$29+AH63</x:f>
        <x:v>4551439.823425362</x:v>
      </x:c>
      <x:c r="AI64" s="75" t="n">
        <x:f>'Commercial Inputs'!$B$29+AI63</x:f>
        <x:v>4798327.216345577</x:v>
      </x:c>
      <x:c r="AJ64" s="75" t="n">
        <x:f>'Commercial Inputs'!$B$29+AJ63</x:f>
        <x:v>5046624.79072308</x:v>
      </x:c>
      <x:c r="AK64" s="75" t="n">
        <x:f>'Commercial Inputs'!$B$29+AK63</x:f>
        <x:v>5296334.530825388</x:v>
      </x:c>
    </x:row>
    <x:row r="65" ht="18" customHeight="1">
      <x:c r="A65" s="74" t="str">
        <x:v>Unearned annual subscription revenue (INR)</x:v>
      </x:c>
      <x:c r="B65" s="75" t="n">
        <x:f>0+B43-B38</x:f>
        <x:v>43515.59686165255</x:v>
      </x:c>
      <x:c r="C65" s="75" t="n">
        <x:f>B65+C43-C38</x:f>
        <x:v>86480.79882228815</x:v>
      </x:c>
      <x:c r="D65" s="75" t="n">
        <x:f>C65+D43-D38</x:f>
        <x:v>128994.67696408983</x:v>
      </x:c>
      <x:c r="E65" s="75" t="n">
        <x:f>D65+E43-E38</x:f>
        <x:v>186304.0506770688</x:v>
      </x:c>
      <x:c r="F65" s="75" t="n">
        <x:f>E65+F43-F38</x:f>
        <x:v>242021.34769620688</x:v>
      </x:c>
      <x:c r="G65" s="75" t="n">
        <x:f>F65+G43-G38</x:f>
        <x:v>296285.7557588534</x:v>
      </x:c>
      <x:c r="H65" s="75" t="n">
        <x:f>G65+H43-H38</x:f>
        <x:v>382047.52798309946</x:v>
      </x:c>
      <x:c r="I65" s="75" t="n">
        <x:f>H65+I43-I38</x:f>
        <x:v>463705.59290057427</x:v>
      </x:c>
      <x:c r="J65" s="75" t="n">
        <x:f>I65+J43-J38</x:f>
        <x:v>541455.4992607364</x:v>
      </x:c>
      <x:c r="K65" s="75" t="n">
        <x:f>J65+K43-K38</x:f>
        <x:v>615516.2616629796</x:v>
      </x:c>
      <x:c r="L65" s="75" t="n">
        <x:f>K65+L43-L38</x:f>
        <x:v>686133.1764586248</x:v>
      </x:c>
      <x:c r="M65" s="75" t="n">
        <x:f>L65+M43-M38</x:f>
        <x:v>753580.9755611513</x:v>
      </x:c>
      <x:c r="N65" s="75" t="n">
        <x:f>M65+N43-N38</x:f>
        <x:v>874539.4426125627</x:v>
      </x:c>
      <x:c r="O65" s="75" t="n">
        <x:f>N65+O43-O38</x:f>
        <x:v>980204.5835377381</x:v>
      </x:c>
      <x:c r="P65" s="75" t="n">
        <x:f>O65+P43-P38</x:f>
        <x:v>1070951.9768092334</x:v>
      </x:c>
      <x:c r="Q65" s="75" t="n">
        <x:f>P65+Q43-Q38</x:f>
        <x:v>1152982.7927642418</x:v>
      </x:c>
      <x:c r="R65" s="75" t="n">
        <x:f>Q65+R43-R38</x:f>
        <x:v>1221963.2095528594</x:v>
      </x:c>
      <x:c r="S65" s="75" t="n">
        <x:f>R65+S43-S38</x:f>
        <x:v>1278420.8878873775</x:v>
      </x:c>
      <x:c r="T65" s="75" t="n">
        <x:f>S65+T43-T38</x:f>
        <x:v>1392804.075258677</x:v>
      </x:c>
      <x:c r="U65" s="75" t="n">
        <x:f>T65+U43-U38</x:f>
        <x:v>1492819.0745959575</x:v>
      </x:c>
      <x:c r="V65" s="75" t="n">
        <x:f>U65+V43-V38</x:f>
        <x:v>1579207.211208417</x:v>
      </x:c>
      <x:c r="W65" s="75" t="n">
        <x:f>V65+W43-W38</x:f>
        <x:v>1652798.7694423571</x:v>
      </x:c>
      <x:c r="X65" s="75" t="n">
        <x:f>W65+X43-X38</x:f>
        <x:v>1714523.6677656353</x:v>
      </x:c>
      <x:c r="Y65" s="75" t="n">
        <x:f>X65+Y43-Y38</x:f>
        <x:v>1765423.414862252</x:v>
      </x:c>
      <x:c r="Z65" s="75" t="n">
        <x:f>Y65+Z43-Z38</x:f>
        <x:v>1866237.99077131</x:v>
      </x:c>
      <x:c r="AA65" s="75" t="n">
        <x:f>Z65+AA43-AA38</x:f>
        <x:v>1954034.522178788</x:v>
      </x:c>
      <x:c r="AB65" s="75" t="n">
        <x:f>AA65+AB43-AB38</x:f>
        <x:v>2028929.2936187922</x:v>
      </x:c>
      <x:c r="AC65" s="75" t="n">
        <x:f>AB65+AC43-AC38</x:f>
        <x:v>2093802.7755867501</x:v>
      </x:c>
      <x:c r="AD65" s="75" t="n">
        <x:f>AC65+AD43-AD38</x:f>
        <x:v>2146237.395918528</x:v>
      </x:c>
      <x:c r="AE65" s="75" t="n">
        <x:f>AD65+AE43-AE38</x:f>
        <x:v>2186396.526012058</x:v>
      </x:c>
      <x:c r="AF65" s="75" t="n">
        <x:f>AE65+AF43-AF38</x:f>
        <x:v>2294438.6250633625</x:v>
      </x:c>
      <x:c r="AG65" s="75" t="n">
        <x:f>AF65+AG43-AG38</x:f>
        <x:v>2389954.9712362117</x:v>
      </x:c>
      <x:c r="AH65" s="75" t="n">
        <x:f>AG65+AH43-AH38</x:f>
        <x:v>2473175.0895819585</x:v>
      </x:c>
      <x:c r="AI65" s="75" t="n">
        <x:f>AH65+AI43-AI38</x:f>
        <x:v>2544356.0481581194</x:v>
      </x:c>
      <x:c r="AJ65" s="75" t="n">
        <x:f>AI65+AJ43-AJ38</x:f>
        <x:v>2603785.763189113</x:v>
      </x:c>
      <x:c r="AK65" s="75" t="n">
        <x:f>AJ65+AK43-AK38</x:f>
        <x:v>2651786.7008462874</x:v>
      </x:c>
    </x:row>
    <x:row r="66" ht="18" customHeight="1">
      <x:c r="A66" s="4" t="str">
        <x:v>Payout receivable (INR)</x:v>
      </x:c>
      <x:c r="B66" s="58" t="n">
        <x:f>'Commercial Inputs'!$B$31*B59</x:f>
        <x:v>22221.14111389831</x:v>
      </x:c>
      <x:c r="C66" s="58" t="n">
        <x:f>'Commercial Inputs'!$B$31*C59</x:f>
        <x:v>24532.905256534068</x:v>
      </x:c>
      <x:c r="D66" s="58" t="n">
        <x:f>'Commercial Inputs'!$B$31*D59</x:f>
        <x:v>26942.110590578297</x:v>
      </x:c>
      <x:c r="E66" s="58" t="n">
        <x:f>'Commercial Inputs'!$B$31*E59</x:f>
        <x:v>37291.124472885305</x:v>
      </x:c>
      <x:c r="F66" s="58" t="n">
        <x:f>'Commercial Inputs'!$B$31*F59</x:f>
        <x:v>40357.73016889496</x:v>
      </x:c>
      <x:c r="G66" s="58" t="n">
        <x:f>'Commercial Inputs'!$B$31*G59</x:f>
        <x:v>43657.02349145262</x:v>
      </x:c>
      <x:c r="H66" s="58" t="n">
        <x:f>'Commercial Inputs'!$B$31*H59</x:f>
        <x:v>64011.23714653071</x:v>
      </x:c>
      <x:c r="I66" s="58" t="n">
        <x:f>'Commercial Inputs'!$B$31*I59</x:f>
        <x:v>68409.06668802009</x:v>
      </x:c>
      <x:c r="J66" s="58" t="n">
        <x:f>'Commercial Inputs'!$B$31*J59</x:f>
        <x:v>73101.57246383774</x:v>
      </x:c>
      <x:c r="K66" s="58" t="n">
        <x:f>'Commercial Inputs'!$B$31*K59</x:f>
        <x:v>78219.19377149401</x:v>
      </x:c>
      <x:c r="L66" s="58" t="n">
        <x:f>'Commercial Inputs'!$B$31*L59</x:f>
        <x:v>83833.14550241787</x:v>
      </x:c>
      <x:c r="M66" s="58" t="n">
        <x:f>'Commercial Inputs'!$B$31*M59</x:f>
        <x:v>90020.23090456797</x:v>
      </x:c>
      <x:c r="N66" s="58" t="n">
        <x:f>'Commercial Inputs'!$B$31*N59</x:f>
        <x:v>123343.75939793146</x:v>
      </x:c>
      <x:c r="O66" s="58" t="n">
        <x:f>'Commercial Inputs'!$B$31*O59</x:f>
        <x:v>125167.03206804246</x:v>
      </x:c>
      <x:c r="P66" s="58" t="n">
        <x:f>'Commercial Inputs'!$B$31*P59</x:f>
        <x:v>126766.58630808024</x:v>
      </x:c>
      <x:c r="Q66" s="58" t="n">
        <x:f>'Commercial Inputs'!$B$31*Q59</x:f>
        <x:v>130425.83472345909</x:v>
      </x:c>
      <x:c r="R66" s="58" t="n">
        <x:f>'Commercial Inputs'!$B$31*R59</x:f>
        <x:v>131876.12531362503</x:v>
      </x:c>
      <x:c r="S66" s="58" t="n">
        <x:f>'Commercial Inputs'!$B$31*S59</x:f>
        <x:v>133295.11101624294</x:v>
      </x:c>
      <x:c r="T66" s="58" t="n">
        <x:f>'Commercial Inputs'!$B$31*T59</x:f>
        <x:v>168643.34870627316</x:v>
      </x:c>
      <x:c r="U66" s="58" t="n">
        <x:f>'Commercial Inputs'!$B$31*U59</x:f>
        <x:v>170831.96526255313</x:v>
      </x:c>
      <x:c r="V66" s="58" t="n">
        <x:f>'Commercial Inputs'!$B$31*V59</x:f>
        <x:v>172859.33390190298</x:v>
      </x:c>
      <x:c r="W66" s="58" t="n">
        <x:f>'Commercial Inputs'!$B$31*W59</x:f>
        <x:v>174874.73055686385</x:v>
      </x:c>
      <x:c r="X66" s="58" t="n">
        <x:f>'Commercial Inputs'!$B$31*X59</x:f>
        <x:v>176914.0881000797</x:v>
      </x:c>
      <x:c r="Y66" s="58" t="n">
        <x:f>'Commercial Inputs'!$B$31*Y59</x:f>
        <x:v>179012.180452535</x:v>
      </x:c>
      <x:c r="Z66" s="58" t="n">
        <x:f>'Commercial Inputs'!$B$31*Z59</x:f>
        <x:v>208776.69191612775</x:v>
      </x:c>
      <x:c r="AA66" s="58" t="n">
        <x:f>'Commercial Inputs'!$B$31*AA59</x:f>
        <x:v>209949.12502420048</x:v>
      </x:c>
      <x:c r="AB66" s="58" t="n">
        <x:f>'Commercial Inputs'!$B$31*AB59</x:f>
        <x:v>210958.10184189872</x:v>
      </x:c>
      <x:c r="AC66" s="58" t="n">
        <x:f>'Commercial Inputs'!$B$31*AC59</x:f>
        <x:v>213043.14352021593</x:v>
      </x:c>
      <x:c r="AD66" s="58" t="n">
        <x:f>'Commercial Inputs'!$B$31*AD59</x:f>
        <x:v>213930.25949901054</x:v>
      </x:c>
      <x:c r="AE66" s="58" t="n">
        <x:f>'Commercial Inputs'!$B$31*AE59</x:f>
        <x:v>214784.0746173733</x:v>
      </x:c>
      <x:c r="AF66" s="58" t="n">
        <x:f>'Commercial Inputs'!$B$31*AF59</x:f>
        <x:v>252863.38393533565</x:v>
      </x:c>
      <x:c r="AG66" s="58" t="n">
        <x:f>'Commercial Inputs'!$B$31*AG59</x:f>
        <x:v>254384.9419940866</x:v>
      </x:c>
      <x:c r="AH66" s="58" t="n">
        <x:f>'Commercial Inputs'!$B$31*AH59</x:f>
        <x:v>255732.92083725604</x:v>
      </x:c>
      <x:c r="AI66" s="58" t="n">
        <x:f>'Commercial Inputs'!$B$31*AI59</x:f>
        <x:v>257035.5149352692</x:v>
      </x:c>
      <x:c r="AJ66" s="58" t="n">
        <x:f>'Commercial Inputs'!$B$31*AJ59</x:f>
        <x:v>258317.60373771496</x:v>
      </x:c>
      <x:c r="AK66" s="58" t="n">
        <x:f>'Commercial Inputs'!$B$31*AK59</x:f>
        <x:v>259602.6125575103</x:v>
      </x:c>
    </x:row>
    <x:row r="67" ht="18" customHeight="1">
      <x:c r="A67" s="4" t="str">
        <x:v>Cash-profit bridge check: must be zero</x:v>
      </x:c>
      <x:c r="B67" s="58" t="n">
        <x:f>ROUND(B62-(B56+(B65-0)-(B66-0)),6)</x:f>
        <x:v>0</x:v>
      </x:c>
      <x:c r="C67" s="58" t="n">
        <x:f>ROUND(C62-(C56+(C65-B65)-(C66-B66)),6)</x:f>
        <x:v>0</x:v>
      </x:c>
      <x:c r="D67" s="58" t="n">
        <x:f>ROUND(D62-(D56+(D65-C65)-(D66-C66)),6)</x:f>
        <x:v>0</x:v>
      </x:c>
      <x:c r="E67" s="58" t="n">
        <x:f>ROUND(E62-(E56+(E65-D65)-(E66-D66)),6)</x:f>
        <x:v>0</x:v>
      </x:c>
      <x:c r="F67" s="58" t="n">
        <x:f>ROUND(F62-(F56+(F65-E65)-(F66-E66)),6)</x:f>
        <x:v>0</x:v>
      </x:c>
      <x:c r="G67" s="58" t="n">
        <x:f>ROUND(G62-(G56+(G65-F65)-(G66-F66)),6)</x:f>
        <x:v>0</x:v>
      </x:c>
      <x:c r="H67" s="58" t="n">
        <x:f>ROUND(H62-(H56+(H65-G65)-(H66-G66)),6)</x:f>
        <x:v>0</x:v>
      </x:c>
      <x:c r="I67" s="58" t="n">
        <x:f>ROUND(I62-(I56+(I65-H65)-(I66-H66)),6)</x:f>
        <x:v>0</x:v>
      </x:c>
      <x:c r="J67" s="58" t="n">
        <x:f>ROUND(J62-(J56+(J65-I65)-(J66-I66)),6)</x:f>
        <x:v>0</x:v>
      </x:c>
      <x:c r="K67" s="58" t="n">
        <x:f>ROUND(K62-(K56+(K65-J65)-(K66-J66)),6)</x:f>
        <x:v>0</x:v>
      </x:c>
      <x:c r="L67" s="58" t="n">
        <x:f>ROUND(L62-(L56+(L65-K65)-(L66-K66)),6)</x:f>
        <x:v>0</x:v>
      </x:c>
      <x:c r="M67" s="58" t="n">
        <x:f>ROUND(M62-(M56+(M65-L65)-(M66-L66)),6)</x:f>
        <x:v>0</x:v>
      </x:c>
      <x:c r="N67" s="58" t="n">
        <x:f>ROUND(N62-(N56+(N65-M65)-(N66-M66)),6)</x:f>
        <x:v>0</x:v>
      </x:c>
      <x:c r="O67" s="58" t="n">
        <x:f>ROUND(O62-(O56+(O65-N65)-(O66-N66)),6)</x:f>
        <x:v>0</x:v>
      </x:c>
      <x:c r="P67" s="58" t="n">
        <x:f>ROUND(P62-(P56+(P65-O65)-(P66-O66)),6)</x:f>
        <x:v>0</x:v>
      </x:c>
      <x:c r="Q67" s="58" t="n">
        <x:f>ROUND(Q62-(Q56+(Q65-P65)-(Q66-P66)),6)</x:f>
        <x:v>0</x:v>
      </x:c>
      <x:c r="R67" s="58" t="n">
        <x:f>ROUND(R62-(R56+(R65-Q65)-(R66-Q66)),6)</x:f>
        <x:v>0</x:v>
      </x:c>
      <x:c r="S67" s="58" t="n">
        <x:f>ROUND(S62-(S56+(S65-R65)-(S66-R66)),6)</x:f>
        <x:v>0</x:v>
      </x:c>
      <x:c r="T67" s="58" t="n">
        <x:f>ROUND(T62-(T56+(T65-S65)-(T66-S66)),6)</x:f>
        <x:v>0</x:v>
      </x:c>
      <x:c r="U67" s="58" t="n">
        <x:f>ROUND(U62-(U56+(U65-T65)-(U66-T66)),6)</x:f>
        <x:v>0</x:v>
      </x:c>
      <x:c r="V67" s="58" t="n">
        <x:f>ROUND(V62-(V56+(V65-U65)-(V66-U66)),6)</x:f>
        <x:v>0</x:v>
      </x:c>
      <x:c r="W67" s="58" t="n">
        <x:f>ROUND(W62-(W56+(W65-V65)-(W66-V66)),6)</x:f>
        <x:v>0</x:v>
      </x:c>
      <x:c r="X67" s="58" t="n">
        <x:f>ROUND(X62-(X56+(X65-W65)-(X66-W66)),6)</x:f>
        <x:v>0</x:v>
      </x:c>
      <x:c r="Y67" s="58" t="n">
        <x:f>ROUND(Y62-(Y56+(Y65-X65)-(Y66-X66)),6)</x:f>
        <x:v>0</x:v>
      </x:c>
      <x:c r="Z67" s="58" t="n">
        <x:f>ROUND(Z62-(Z56+(Z65-Y65)-(Z66-Y66)),6)</x:f>
        <x:v>0</x:v>
      </x:c>
      <x:c r="AA67" s="58" t="n">
        <x:f>ROUND(AA62-(AA56+(AA65-Z65)-(AA66-Z66)),6)</x:f>
        <x:v>0</x:v>
      </x:c>
      <x:c r="AB67" s="58" t="n">
        <x:f>ROUND(AB62-(AB56+(AB65-AA65)-(AB66-AA66)),6)</x:f>
        <x:v>0</x:v>
      </x:c>
      <x:c r="AC67" s="58" t="n">
        <x:f>ROUND(AC62-(AC56+(AC65-AB65)-(AC66-AB66)),6)</x:f>
        <x:v>0</x:v>
      </x:c>
      <x:c r="AD67" s="58" t="n">
        <x:f>ROUND(AD62-(AD56+(AD65-AC65)-(AD66-AC66)),6)</x:f>
        <x:v>0</x:v>
      </x:c>
      <x:c r="AE67" s="58" t="n">
        <x:f>ROUND(AE62-(AE56+(AE65-AD65)-(AE66-AD66)),6)</x:f>
        <x:v>0</x:v>
      </x:c>
      <x:c r="AF67" s="58" t="n">
        <x:f>ROUND(AF62-(AF56+(AF65-AE65)-(AF66-AE66)),6)</x:f>
        <x:v>0</x:v>
      </x:c>
      <x:c r="AG67" s="58" t="n">
        <x:f>ROUND(AG62-(AG56+(AG65-AF65)-(AG66-AF66)),6)</x:f>
        <x:v>0</x:v>
      </x:c>
      <x:c r="AH67" s="58" t="n">
        <x:f>ROUND(AH62-(AH56+(AH65-AG65)-(AH66-AG66)),6)</x:f>
        <x:v>0</x:v>
      </x:c>
      <x:c r="AI67" s="58" t="n">
        <x:f>ROUND(AI62-(AI56+(AI65-AH65)-(AI66-AH66)),6)</x:f>
        <x:v>0</x:v>
      </x:c>
      <x:c r="AJ67" s="58" t="n">
        <x:f>ROUND(AJ62-(AJ56+(AJ65-AI65)-(AJ66-AI66)),6)</x:f>
        <x:v>0</x:v>
      </x:c>
      <x:c r="AK67" s="58" t="n">
        <x:f>ROUND(AK62-(AK56+(AK65-AJ65)-(AK66-AJ66)),6)</x:f>
        <x:v>0</x:v>
      </x:c>
    </x:row>
    <x:row r="68" ht="18" customHeight="1">
      <x:c r="A68" s="4" t="str">
        <x:v>Remaining paid-service cost reserve (INR)</x:v>
      </x:c>
      <x:c r="B68" s="58" t="n">
        <x:f>B65/$B$84*'Commercial Inputs'!$B$46*('Commercial Inputs'!$B$24*$B$90+'Commercial Inputs'!$B$28)</x:f>
        <x:v>2104.6975125000004</x:v>
      </x:c>
      <x:c r="C68" s="58" t="n">
        <x:f>C65/$B$84*'Commercial Inputs'!$B$46*('Commercial Inputs'!$B$24*$B$90+'Commercial Inputs'!$B$28)</x:f>
        <x:v>4182.774345000001</x:v>
      </x:c>
      <x:c r="D68" s="58" t="n">
        <x:f>D65/$B$84*'Commercial Inputs'!$B$46*('Commercial Inputs'!$B$24*$B$90+'Commercial Inputs'!$B$28)</x:f>
        <x:v>6239.0222199</x:v>
      </x:c>
      <x:c r="E68" s="58" t="n">
        <x:f>E65/$B$84*'Commercial Inputs'!$B$46*('Commercial Inputs'!$B$24*$B$90+'Commercial Inputs'!$B$28)</x:f>
        <x:v>9010.876566288001</x:v>
      </x:c>
      <x:c r="F68" s="58" t="n">
        <x:f>F65/$B$84*'Commercial Inputs'!$B$46*('Commercial Inputs'!$B$24*$B$90+'Commercial Inputs'!$B$28)</x:f>
        <x:v>11705.727720742561</x:v>
      </x:c>
      <x:c r="G68" s="58" t="n">
        <x:f>G65/$B$84*'Commercial Inputs'!$B$46*('Commercial Inputs'!$B$24*$B$90+'Commercial Inputs'!$B$28)</x:f>
        <x:v>14330.307708231667</x:v>
      </x:c>
      <x:c r="H68" s="58" t="n">
        <x:f>H65/$B$84*'Commercial Inputs'!$B$46*('Commercial Inputs'!$B$24*$B$90+'Commercial Inputs'!$B$28)</x:f>
        <x:v>18478.30524671947</x:v>
      </x:c>
      <x:c r="I68" s="58" t="n">
        <x:f>I65/$B$84*'Commercial Inputs'!$B$46*('Commercial Inputs'!$B$24*$B$90+'Commercial Inputs'!$B$28)</x:f>
        <x:v>22427.82078832581</x:v>
      </x:c>
      <x:c r="J68" s="58" t="n">
        <x:f>J65/$B$84*'Commercial Inputs'!$B$46*('Commercial Inputs'!$B$24*$B$90+'Commercial Inputs'!$B$28)</x:f>
        <x:v>26188.312343424906</x:v>
      </x:c>
      <x:c r="K68" s="58" t="n">
        <x:f>K65/$B$84*'Commercial Inputs'!$B$46*('Commercial Inputs'!$B$24*$B$90+'Commercial Inputs'!$B$28)</x:f>
        <x:v>29770.372883635897</x:v>
      </x:c>
      <x:c r="L68" s="58" t="n">
        <x:f>L65/$B$84*'Commercial Inputs'!$B$46*('Commercial Inputs'!$B$24*$B$90+'Commercial Inputs'!$B$28)</x:f>
        <x:v>33185.8665371722</x:v>
      </x:c>
      <x:c r="M68" s="58" t="n">
        <x:f>M65/$B$84*'Commercial Inputs'!$B$46*('Commercial Inputs'!$B$24*$B$90+'Commercial Inputs'!$B$28)</x:f>
        <x:v>36448.081127632875</x:v>
      </x:c>
      <x:c r="N68" s="58" t="n">
        <x:f>N65/$B$84*'Commercial Inputs'!$B$46*('Commercial Inputs'!$B$24*$B$90+'Commercial Inputs'!$B$28)</x:f>
        <x:v>42298.41992749578</x:v>
      </x:c>
      <x:c r="O68" s="58" t="n">
        <x:f>O65/$B$84*'Commercial Inputs'!$B$46*('Commercial Inputs'!$B$24*$B$90+'Commercial Inputs'!$B$28)</x:f>
        <x:v>47409.07392978891</x:v>
      </x:c>
      <x:c r="P68" s="58" t="n">
        <x:f>P65/$B$84*'Commercial Inputs'!$B$46*('Commercial Inputs'!$B$24*$B$90+'Commercial Inputs'!$B$28)</x:f>
        <x:v>51798.208554130644</x:v>
      </x:c>
      <x:c r="Q68" s="58" t="n">
        <x:f>Q65/$B$84*'Commercial Inputs'!$B$46*('Commercial Inputs'!$B$24*$B$90+'Commercial Inputs'!$B$28)</x:f>
        <x:v>55765.75276219357</x:v>
      </x:c>
      <x:c r="R68" s="58" t="n">
        <x:f>R65/$B$84*'Commercial Inputs'!$B$46*('Commercial Inputs'!$B$24*$B$90+'Commercial Inputs'!$B$28)</x:f>
        <x:v>59102.09471994705</x:v>
      </x:c>
      <x:c r="S68" s="58" t="n">
        <x:f>S65/$B$84*'Commercial Inputs'!$B$46*('Commercial Inputs'!$B$24*$B$90+'Commercial Inputs'!$B$28)</x:f>
        <x:v>61832.75553404471</x:v>
      </x:c>
      <x:c r="T68" s="58" t="n">
        <x:f>T65/$B$84*'Commercial Inputs'!$B$46*('Commercial Inputs'!$B$24*$B$90+'Commercial Inputs'!$B$28)</x:f>
        <x:v>67365.0710092886</x:v>
      </x:c>
      <x:c r="U68" s="58" t="n">
        <x:f>U65/$B$84*'Commercial Inputs'!$B$46*('Commercial Inputs'!$B$24*$B$90+'Commercial Inputs'!$B$28)</x:f>
        <x:v>72202.4473869378</x:v>
      </x:c>
      <x:c r="V68" s="58" t="n">
        <x:f>V65/$B$84*'Commercial Inputs'!$B$46*('Commercial Inputs'!$B$24*$B$90+'Commercial Inputs'!$B$28)</x:f>
        <x:v>76380.739984321</x:v>
      </x:c>
      <x:c r="W68" s="58" t="n">
        <x:f>W65/$B$84*'Commercial Inputs'!$B$46*('Commercial Inputs'!$B$24*$B$90+'Commercial Inputs'!$B$28)</x:f>
        <x:v>79940.1067568463</x:v>
      </x:c>
      <x:c r="X68" s="58" t="n">
        <x:f>X65/$B$84*'Commercial Inputs'!$B$46*('Commercial Inputs'!$B$24*$B$90+'Commercial Inputs'!$B$28)</x:f>
        <x:v>82925.52461457082</x:v>
      </x:c>
      <x:c r="Y68" s="58" t="n">
        <x:f>Y65/$B$84*'Commercial Inputs'!$B$46*('Commercial Inputs'!$B$24*$B$90+'Commercial Inputs'!$B$28)</x:f>
        <x:v>85387.36769675853</x:v>
      </x:c>
      <x:c r="Z68" s="58" t="n">
        <x:f>Z65/$B$84*'Commercial Inputs'!$B$46*('Commercial Inputs'!$B$24*$B$90+'Commercial Inputs'!$B$28)</x:f>
        <x:v>90263.41680195926</x:v>
      </x:c>
      <x:c r="AA68" s="58" t="n">
        <x:f>AA65/$B$84*'Commercial Inputs'!$B$46*('Commercial Inputs'!$B$24*$B$90+'Commercial Inputs'!$B$28)</x:f>
        <x:v>94509.8285390412</x:v>
      </x:c>
      <x:c r="AB68" s="58" t="n">
        <x:f>AB65/$B$84*'Commercial Inputs'!$B$46*('Commercial Inputs'!$B$24*$B$90+'Commercial Inputs'!$B$28)</x:f>
        <x:v>98132.22718498377</x:v>
      </x:c>
      <x:c r="AC68" s="58" t="n">
        <x:f>AC65/$B$84*'Commercial Inputs'!$B$46*('Commercial Inputs'!$B$24*$B$90+'Commercial Inputs'!$B$28)</x:f>
        <x:v>101269.93104227586</x:v>
      </x:c>
      <x:c r="AD68" s="58" t="n">
        <x:f>AD65/$B$84*'Commercial Inputs'!$B$46*('Commercial Inputs'!$B$24*$B$90+'Commercial Inputs'!$B$28)</x:f>
        <x:v>103806.01058479105</x:v>
      </x:c>
      <x:c r="AE68" s="58" t="n">
        <x:f>AE65/$B$84*'Commercial Inputs'!$B$46*('Commercial Inputs'!$B$24*$B$90+'Commercial Inputs'!$B$28)</x:f>
        <x:v>105748.36751673745</x:v>
      </x:c>
      <x:c r="AF68" s="58" t="n">
        <x:f>AF65/$B$84*'Commercial Inputs'!$B$46*('Commercial Inputs'!$B$24*$B$90+'Commercial Inputs'!$B$28)</x:f>
        <x:v>110973.9866859174</x:v>
      </x:c>
      <x:c r="AG68" s="58" t="n">
        <x:f>AG65/$B$84*'Commercial Inputs'!$B$46*('Commercial Inputs'!$B$24*$B$90+'Commercial Inputs'!$B$28)</x:f>
        <x:v>115593.77891425845</x:v>
      </x:c>
      <x:c r="AH68" s="58" t="n">
        <x:f>AH65/$B$84*'Commercial Inputs'!$B$46*('Commercial Inputs'!$B$24*$B$90+'Commercial Inputs'!$B$28)</x:f>
        <x:v>119618.84552725026</x:v>
      </x:c>
      <x:c r="AI68" s="58" t="n">
        <x:f>AI65/$B$84*'Commercial Inputs'!$B$46*('Commercial Inputs'!$B$24*$B$90+'Commercial Inputs'!$B$28)</x:f>
        <x:v>123061.62000944135</x:v>
      </x:c>
      <x:c r="AJ68" s="58" t="n">
        <x:f>AJ65/$B$84*'Commercial Inputs'!$B$46*('Commercial Inputs'!$B$24*$B$90+'Commercial Inputs'!$B$28)</x:f>
        <x:v>125936.02786352602</x:v>
      </x:c>
      <x:c r="AK68" s="58" t="n">
        <x:f>AK65/$B$84*'Commercial Inputs'!$B$46*('Commercial Inputs'!$B$24*$B$90+'Commercial Inputs'!$B$28)</x:f>
        <x:v>128257.6656525219</x:v>
      </x:c>
    </x:row>
    <x:row r="69" ht="18" customHeight="1">
      <x:c r="A69" s="4" t="str">
        <x:v>Forward liquidity buffer (INR)</x:v>
      </x:c>
      <x:c r="B69" s="58" t="n">
        <x:f>'Commercial Inputs'!$B$34*(SUM(B52:B54)+B47+B16)</x:f>
        <x:v>68079.15</x:v>
      </x:c>
      <x:c r="C69" s="58" t="n">
        <x:f>'Commercial Inputs'!$B$34*(SUM(C52:C54)+C47+C16)</x:f>
        <x:v>68520.10565943</x:v>
      </x:c>
      <x:c r="D69" s="58" t="n">
        <x:f>'Commercial Inputs'!$B$34*(SUM(D52:D54)+D47+D16)</x:f>
        <x:v>69043.96083567082</x:v>
      </x:c>
      <x:c r="E69" s="58" t="n">
        <x:f>'Commercial Inputs'!$B$34*(SUM(E52:E54)+E47+E16)</x:f>
        <x:v>92283.97504324361</x:v>
      </x:c>
      <x:c r="F69" s="58" t="n">
        <x:f>'Commercial Inputs'!$B$34*(SUM(F52:F54)+F47+F16)</x:f>
        <x:v>93047.46809288519</x:v>
      </x:c>
      <x:c r="G69" s="58" t="n">
        <x:f>'Commercial Inputs'!$B$34*(SUM(G52:G54)+G47+G16)</x:f>
        <x:v>93852.456165939</x:v>
      </x:c>
      <x:c r="H69" s="58" t="n">
        <x:f>'Commercial Inputs'!$B$34*(SUM(H52:H54)+H47+H16)</x:f>
        <x:v>143849.71137107117</x:v>
      </x:c>
      <x:c r="I69" s="58" t="n">
        <x:f>'Commercial Inputs'!$B$34*(SUM(I52:I54)+I47+I16)</x:f>
        <x:v>145117.045187102</x:v>
      </x:c>
      <x:c r="J69" s="58" t="n">
        <x:f>'Commercial Inputs'!$B$34*(SUM(J52:J54)+J47+J16)</x:f>
        <x:v>146438.44423757336</x:v>
      </x:c>
      <x:c r="K69" s="58" t="n">
        <x:f>'Commercial Inputs'!$B$34*(SUM(K52:K54)+K47+K16)</x:f>
        <x:v>147832.8803363299</x:v>
      </x:c>
      <x:c r="L69" s="58" t="n">
        <x:f>'Commercial Inputs'!$B$34*(SUM(L52:L54)+L47+L16)</x:f>
        <x:v>149311.77037183152</x:v>
      </x:c>
      <x:c r="M69" s="58" t="n">
        <x:f>'Commercial Inputs'!$B$34*(SUM(M52:M54)+M47+M16)</x:f>
        <x:v>180887.5129415471</x:v>
      </x:c>
      <x:c r="N69" s="58" t="n">
        <x:f>'Commercial Inputs'!$B$34*(SUM(N52:N54)+N47+N16)</x:f>
        <x:v>306520.9829947294</x:v>
      </x:c>
      <x:c r="O69" s="58" t="n">
        <x:f>'Commercial Inputs'!$B$34*(SUM(O52:O54)+O47+O16)</x:f>
        <x:v>308301.3279483363</x:v>
      </x:c>
      <x:c r="P69" s="58" t="n">
        <x:f>'Commercial Inputs'!$B$34*(SUM(P52:P54)+P47+P16)</x:f>
        <x:v>310020.58847809094</x:v>
      </x:c>
      <x:c r="Q69" s="58" t="n">
        <x:f>'Commercial Inputs'!$B$34*(SUM(Q52:Q54)+Q47+Q16)</x:f>
        <x:v>311596.94250743394</x:v>
      </x:c>
      <x:c r="R69" s="58" t="n">
        <x:f>'Commercial Inputs'!$B$34*(SUM(R52:R54)+R47+R16)</x:f>
        <x:v>313125.7212189025</x:v>
      </x:c>
      <x:c r="S69" s="58" t="n">
        <x:f>'Commercial Inputs'!$B$34*(SUM(S52:S54)+S47+S16)</x:f>
        <x:v>314605.8397280403</x:v>
      </x:c>
      <x:c r="T69" s="58" t="n">
        <x:f>'Commercial Inputs'!$B$34*(SUM(T52:T54)+T47+T16)</x:f>
        <x:v>410259.23059681593</x:v>
      </x:c>
      <x:c r="U69" s="58" t="n">
        <x:f>'Commercial Inputs'!$B$34*(SUM(U52:U54)+U47+U16)</x:f>
        <x:v>412038.21402747656</x:v>
      </x:c>
      <x:c r="V69" s="58" t="n">
        <x:f>'Commercial Inputs'!$B$34*(SUM(V52:V54)+V47+V16)</x:f>
        <x:v>413733.43596891296</x:v>
      </x:c>
      <x:c r="W69" s="58" t="n">
        <x:f>'Commercial Inputs'!$B$34*(SUM(W52:W54)+W47+W16)</x:f>
        <x:v>415356.98599305074</x:v>
      </x:c>
      <x:c r="X69" s="58" t="n">
        <x:f>'Commercial Inputs'!$B$34*(SUM(X52:X54)+X47+X16)</x:f>
        <x:v>416905.17017489276</x:v>
      </x:c>
      <x:c r="Y69" s="58" t="n">
        <x:f>'Commercial Inputs'!$B$34*(SUM(Y52:Y54)+Y47+Y16)</x:f>
        <x:v>418373.13297681895</x:v>
      </x:c>
      <x:c r="Z69" s="58" t="n">
        <x:f>'Commercial Inputs'!$B$34*(SUM(Z52:Z54)+Z47+Z16)</x:f>
        <x:v>558634.4640553446</x:v>
      </x:c>
      <x:c r="AA69" s="58" t="n">
        <x:f>'Commercial Inputs'!$B$34*(SUM(AA52:AA54)+AA47+AA16)</x:f>
        <x:v>605086.6159578402</x:v>
      </x:c>
      <x:c r="AB69" s="58" t="n">
        <x:f>'Commercial Inputs'!$B$34*(SUM(AB52:AB54)+AB47+AB16)</x:f>
        <x:v>606508.6277808859</x:v>
      </x:c>
      <x:c r="AC69" s="58" t="n">
        <x:f>'Commercial Inputs'!$B$34*(SUM(AC52:AC54)+AC47+AC16)</x:f>
        <x:v>607893.3309230913</x:v>
      </x:c>
      <x:c r="AD69" s="58" t="n">
        <x:f>'Commercial Inputs'!$B$34*(SUM(AD52:AD54)+AD47+AD16)</x:f>
        <x:v>609260.4345184006</x:v>
      </x:c>
      <x:c r="AE69" s="58" t="n">
        <x:f>'Commercial Inputs'!$B$34*(SUM(AE52:AE54)+AE47+AE16)</x:f>
        <x:v>610610.9738323098</x:v>
      </x:c>
      <x:c r="AF69" s="58" t="n">
        <x:f>'Commercial Inputs'!$B$34*(SUM(AF52:AF54)+AF47+AF16)</x:f>
        <x:v>705912.9379583725</x:v>
      </x:c>
      <x:c r="AG69" s="58" t="n">
        <x:f>'Commercial Inputs'!$B$34*(SUM(AG52:AG54)+AG47+AG16)</x:f>
        <x:v>707384.7365461485</x:v>
      </x:c>
      <x:c r="AH69" s="58" t="n">
        <x:f>'Commercial Inputs'!$B$34*(SUM(AH52:AH54)+AH47+AH16)</x:f>
        <x:v>708816.6151718965</x:v>
      </x:c>
      <x:c r="AI69" s="58" t="n">
        <x:f>'Commercial Inputs'!$B$34*(SUM(AI52:AI54)+AI47+AI16)</x:f>
        <x:v>710223.3506404464</x:v>
      </x:c>
      <x:c r="AJ69" s="58" t="n">
        <x:f>'Commercial Inputs'!$B$34*(SUM(AJ52:AJ54)+AJ47+AJ16)</x:f>
        <x:v>711605.9075983781</x:v>
      </x:c>
      <x:c r="AK69" s="58" t="n">
        <x:f>'Commercial Inputs'!$B$34*(SUM(AK52:AK54)+AK47+AK16)</x:f>
        <x:v>712964.7835106163</x:v>
      </x:c>
    </x:row>
    <x:row r="70" ht="18" customHeight="1">
      <x:c r="A70" s="4" t="str">
        <x:v>Cash after service / liquidity reserves</x:v>
      </x:c>
      <x:c r="B70" s="58" t="n">
        <x:f>B64-B68-B69</x:f>
        <x:v>8554.364951398311</x:v>
      </x:c>
      <x:c r="C70" s="58" t="n">
        <x:f>C64-C68-C69</x:f>
        <x:v>28855.03531901569</x:v>
      </x:c>
      <x:c r="D70" s="58" t="n">
        <x:f>D64-D68-D69</x:f>
        <x:v>53324.12443075115</x:v>
      </x:c>
      <x:c r="E70" s="58" t="n">
        <x:f>E64-E68-E69</x:f>
        <x:v>58758.374796055374</x:v>
      </x:c>
      <x:c r="F70" s="58" t="n">
        <x:f>F64-F68-F69</x:f>
        <x:v>99456.19497534446</x:v>
      </x:c>
      <x:c r="G70" s="58" t="n">
        <x:f>G64-G68-G69</x:f>
        <x:v>145803.24196696182</x:v>
      </x:c>
      <x:c r="H70" s="58" t="n">
        <x:f>H64-H68-H69</x:f>
        <x:v>147316.5095355797</x:v>
      </x:c>
      <x:c r="I70" s="58" t="n">
        <x:f>I64-I68-I69</x:f>
        <x:v>221355.7407020615</x:v>
      </x:c>
      <x:c r="J70" s="58" t="n">
        <x:f>J64-J68-J69</x:f>
        <x:v>303414.05919819995</x:v>
      </x:c>
      <x:c r="K70" s="58" t="n">
        <x:f>K64-K68-K69</x:f>
        <x:v>394111.0874842701</x:v>
      </x:c>
      <x:c r="L70" s="58" t="n">
        <x:f>L64-L68-L69</x:f>
        <x:v>494263.2206393811</x:v>
      </x:c>
      <x:c r="M70" s="58" t="n">
        <x:f>M64-M68-M69</x:f>
        <x:v>564820.3555234706</x:v>
      </x:c>
      <x:c r="N70" s="58" t="n">
        <x:f>N64-N68-N69</x:f>
        <x:v>534632.4457824352</x:v>
      </x:c>
      <x:c r="O70" s="58" t="n">
        <x:f>O64-O68-O69</x:f>
        <x:v>662667.1600013599</x:v>
      </x:c>
      <x:c r="P70" s="58" t="n">
        <x:f>P64-P68-P69</x:f>
        <x:v>793446.4013856032</x:v>
      </x:c>
      <x:c r="Q70" s="58" t="n">
        <x:f>Q64-Q68-Q69</x:f>
        <x:v>928656.8154684026</x:v>
      </x:c>
      <x:c r="R70" s="58" t="n">
        <x:f>R64-R68-R69</x:f>
        <x:v>1068355.9447198082</x:v>
      </x:c>
      <x:c r="S70" s="58" t="n">
        <x:f>S64-S68-S69</x:f>
        <x:v>1210320.1592146708</x:v>
      </x:c>
      <x:c r="T70" s="58" t="n">
        <x:f>T64-T68-T69</x:f>
        <x:v>1258401.7961416387</x:v>
      </x:c>
      <x:c r="U70" s="58" t="n">
        <x:f>U64-U68-U69</x:f>
        <x:v>1437065.0639036638</x:v>
      </x:c>
      <x:c r="V70" s="58" t="n">
        <x:f>V64-V68-V69</x:f>
        <x:v>1619235.9228475073</x:v>
      </x:c>
      <x:c r="W70" s="58" t="n">
        <x:f>W64-W68-W69</x:f>
        <x:v>1804748.5580888002</x:v>
      </x:c>
      <x:c r="X70" s="58" t="n">
        <x:f>X64-X68-X69</x:f>
        <x:v>1993635.5050411515</x:v>
      </x:c>
      <x:c r="Y70" s="58" t="n">
        <x:f>Y64-Y68-Y69</x:f>
        <x:v>2185998.9377501374</x:v>
      </x:c>
      <x:c r="Z70" s="58" t="n">
        <x:f>Z64-Z68-Z69</x:f>
        <x:v>2220801.303000218</x:v>
      </x:c>
      <x:c r="AA70" s="58" t="n">
        <x:f>AA64-AA68-AA69</x:f>
        <x:v>2364749.774084197</x:v>
      </x:c>
      <x:c r="AB70" s="58" t="n">
        <x:f>AB64-AB68-AB69</x:f>
        <x:v>2555333.1390393805</x:v>
      </x:c>
      <x:c r="AC70" s="58" t="n">
        <x:f>AC64-AC68-AC69</x:f>
        <x:v>2748336.917707295</x:v>
      </x:c>
      <x:c r="AD70" s="58" t="n">
        <x:f>AD64-AD68-AD69</x:f>
        <x:v>2943779.8775162427</x:v>
      </x:c>
      <x:c r="AE70" s="58" t="n">
        <x:f>AE64-AE68-AE69</x:f>
        <x:v>3140436.4056814774</x:v>
      </x:c>
      <x:c r="AF70" s="58" t="n">
        <x:f>AF64-AF68-AF69</x:f>
        <x:v>3245341.6694951532</x:v>
      </x:c>
      <x:c r="AG70" s="58" t="n">
        <x:f>AG64-AG68-AG69</x:f>
        <x:v>3483029.4328445676</x:v>
      </x:c>
      <x:c r="AH70" s="58" t="n">
        <x:f>AH64-AH68-AH69</x:f>
        <x:v>3723004.3627262153</x:v>
      </x:c>
      <x:c r="AI70" s="58" t="n">
        <x:f>AI64-AI68-AI69</x:f>
        <x:v>3965042.245695689</x:v>
      </x:c>
      <x:c r="AJ70" s="58" t="n">
        <x:f>AJ64-AJ68-AJ69</x:f>
        <x:v>4209082.855261176</x:v>
      </x:c>
      <x:c r="AK70" s="58" t="n">
        <x:f>AK64-AK68-AK69</x:f>
        <x:v>4455112.08166225</x:v>
      </x:c>
    </x:row>
    <x:row r="71" ht="18" customHeight="1">
      <x:c r="A71" s="4" t="str">
        <x:v>Cumulative earned operating profit (INR)</x:v>
      </x:c>
      <x:c r="B71" s="58" t="n">
        <x:f>0+B56</x:f>
        <x:v>-42556.24328385593</x:v>
      </x:c>
      <x:c r="C71" s="58" t="n">
        <x:f>B71+C56</x:f>
        <x:v>-60389.97824230838</x:v>
      </x:c>
      <x:c r="D71" s="58" t="n">
        <x:f>C71+D56</x:f>
        <x:v>-73445.45888718957</x:v>
      </x:c>
      <x:c r="E71" s="58" t="n">
        <x:f>D71+E56</x:f>
        <x:v>-88959.69979859648</x:v>
      </x:c>
      <x:c r="F71" s="58" t="n">
        <x:f>E71+F56</x:f>
        <x:v>-97454.2267383397</x:v>
      </x:c>
      <x:c r="G71" s="58" t="n">
        <x:f>F71+G56</x:f>
        <x:v>-98642.72642626826</x:v>
      </x:c>
      <x:c r="H71" s="58" t="n">
        <x:f>G71+H56</x:f>
        <x:v>-108391.76468319837</x:v>
      </x:c>
      <x:c r="I71" s="58" t="n">
        <x:f>H71+I56</x:f>
        <x:v>-106395.9195350648</x:v>
      </x:c>
      <x:c r="J71" s="58" t="n">
        <x:f>I71+J56</x:f>
        <x:v>-92313.11101770036</x:v>
      </x:c>
      <x:c r="K71" s="58" t="n">
        <x:f>J71+K56</x:f>
        <x:v>-65582.72718724953</x:v>
      </x:c>
      <x:c r="L71" s="58" t="n">
        <x:f>K71+L56</x:f>
        <x:v>-25539.17340782199</x:v>
      </x:c>
      <x:c r="M71" s="58" t="n">
        <x:f>L71+M56</x:f>
        <x:v>18595.204936067268</x:v>
      </x:c>
      <x:c r="N71" s="58" t="n">
        <x:f>M71+N56</x:f>
        <x:v>32256.16549002922</x:v>
      </x:c>
      <x:c r="O71" s="58" t="n">
        <x:f>N71+O56</x:f>
        <x:v>63340.010409789524</x:v>
      </x:c>
      <x:c r="P71" s="58" t="n">
        <x:f>O71+P56</x:f>
        <x:v>111079.80791667175</x:v>
      </x:c>
      <x:c r="Q71" s="58" t="n">
        <x:f>P71+Q56</x:f>
        <x:v>173462.55269724736</x:v>
      </x:c>
      <x:c r="R71" s="58" t="n">
        <x:f>Q71+R56</x:f>
        <x:v>250496.67641942317</x:v>
      </x:c>
      <x:c r="S71" s="58" t="n">
        <x:f>R71+S56</x:f>
        <x:v>341632.9776056211</x:v>
      </x:c>
      <x:c r="T71" s="58" t="n">
        <x:f>S71+T56</x:f>
        <x:v>411865.3711953392</x:v>
      </x:c>
      <x:c r="U71" s="58" t="n">
        <x:f>T71+U56</x:f>
        <x:v>499318.61598467326</x:v>
      </x:c>
      <x:c r="V71" s="58" t="n">
        <x:f>U71+V56</x:f>
        <x:v>603002.2214942266</x:v>
      </x:c>
      <x:c r="W71" s="58" t="n">
        <x:f>V71+W56</x:f>
        <x:v>722121.6119532036</x:v>
      </x:c>
      <x:c r="X71" s="58" t="n">
        <x:f>W71+X56</x:f>
        <x:v>855856.6201650591</x:v>
      </x:c>
      <x:c r="Y71" s="58" t="n">
        <x:f>X71+Y56</x:f>
        <x:v>1003348.2040139975</x:v>
      </x:c>
      <x:c r="Z71" s="58" t="n">
        <x:f>Y71+Z56</x:f>
        <x:v>1112237.8850023395</x:v>
      </x:c>
      <x:c r="AA71" s="58" t="n">
        <x:f>Z71+AA56</x:f>
        <x:v>1220260.8214264913</x:v>
      </x:c>
      <x:c r="AB71" s="58" t="n">
        <x:f>AA71+AB56</x:f>
        <x:v>1342002.8022283572</x:v>
      </x:c>
      <x:c r="AC71" s="58" t="n">
        <x:f>AB71+AC56</x:f>
        <x:v>1476740.5476061285</x:v>
      </x:c>
      <x:c r="AD71" s="58" t="n">
        <x:f>AC71+AD56</x:f>
        <x:v>1624539.1861999172</x:v>
      </x:c>
      <x:c r="AE71" s="58" t="n">
        <x:f>AD71+AE56</x:f>
        <x:v>1785183.2956358402</x:v>
      </x:c>
      <x:c r="AF71" s="58" t="n">
        <x:f>AE71+AF56</x:f>
        <x:v>1920653.353011416</x:v>
      </x:c>
      <x:c r="AG71" s="58" t="n">
        <x:f>AF71+AG56</x:f>
        <x:v>2070437.91906285</x:v>
      </x:c>
      <x:c r="AH71" s="58" t="n">
        <x:f>AG71+AH56</x:f>
        <x:v>2233997.6546806605</x:v>
      </x:c>
      <x:c r="AI71" s="58" t="n">
        <x:f>AH71+AI56</x:f>
        <x:v>2411006.6831227276</x:v>
      </x:c>
      <x:c r="AJ71" s="58" t="n">
        <x:f>AI71+AJ56</x:f>
        <x:v>2601156.631271683</x:v>
      </x:c>
      <x:c r="AK71" s="58" t="n">
        <x:f>AJ71+AK56</x:f>
        <x:v>2804150.4425366116</x:v>
      </x:c>
    </x:row>
    <x:row r="72" ht="18" customHeight="1">
      <x:c r="A72" s="4" t="str">
        <x:v>Pre-tax retained-profit / liquidity cap</x:v>
      </x:c>
      <x:c r="B72" s="58" t="n">
        <x:f>MAX(0,MIN(B71,B70))</x:f>
        <x:v>0</x:v>
      </x:c>
      <x:c r="C72" s="58" t="n">
        <x:f>MAX(0,MIN(C71,C70))</x:f>
        <x:v>0</x:v>
      </x:c>
      <x:c r="D72" s="58" t="n">
        <x:f>MAX(0,MIN(D71,D70))</x:f>
        <x:v>0</x:v>
      </x:c>
      <x:c r="E72" s="58" t="n">
        <x:f>MAX(0,MIN(E71,E70))</x:f>
        <x:v>0</x:v>
      </x:c>
      <x:c r="F72" s="58" t="n">
        <x:f>MAX(0,MIN(F71,F70))</x:f>
        <x:v>0</x:v>
      </x:c>
      <x:c r="G72" s="58" t="n">
        <x:f>MAX(0,MIN(G71,G70))</x:f>
        <x:v>0</x:v>
      </x:c>
      <x:c r="H72" s="58" t="n">
        <x:f>MAX(0,MIN(H71,H70))</x:f>
        <x:v>0</x:v>
      </x:c>
      <x:c r="I72" s="58" t="n">
        <x:f>MAX(0,MIN(I71,I70))</x:f>
        <x:v>0</x:v>
      </x:c>
      <x:c r="J72" s="58" t="n">
        <x:f>MAX(0,MIN(J71,J70))</x:f>
        <x:v>0</x:v>
      </x:c>
      <x:c r="K72" s="58" t="n">
        <x:f>MAX(0,MIN(K71,K70))</x:f>
        <x:v>0</x:v>
      </x:c>
      <x:c r="L72" s="58" t="n">
        <x:f>MAX(0,MIN(L71,L70))</x:f>
        <x:v>0</x:v>
      </x:c>
      <x:c r="M72" s="58" t="n">
        <x:f>MAX(0,MIN(M71,M70))</x:f>
        <x:v>18595.204936067268</x:v>
      </x:c>
      <x:c r="N72" s="58" t="n">
        <x:f>MAX(0,MIN(N71,N70))</x:f>
        <x:v>32256.16549002922</x:v>
      </x:c>
      <x:c r="O72" s="58" t="n">
        <x:f>MAX(0,MIN(O71,O70))</x:f>
        <x:v>63340.010409789524</x:v>
      </x:c>
      <x:c r="P72" s="58" t="n">
        <x:f>MAX(0,MIN(P71,P70))</x:f>
        <x:v>111079.80791667175</x:v>
      </x:c>
      <x:c r="Q72" s="58" t="n">
        <x:f>MAX(0,MIN(Q71,Q70))</x:f>
        <x:v>173462.55269724736</x:v>
      </x:c>
      <x:c r="R72" s="58" t="n">
        <x:f>MAX(0,MIN(R71,R70))</x:f>
        <x:v>250496.67641942317</x:v>
      </x:c>
      <x:c r="S72" s="58" t="n">
        <x:f>MAX(0,MIN(S71,S70))</x:f>
        <x:v>341632.9776056211</x:v>
      </x:c>
      <x:c r="T72" s="58" t="n">
        <x:f>MAX(0,MIN(T71,T70))</x:f>
        <x:v>411865.3711953392</x:v>
      </x:c>
      <x:c r="U72" s="58" t="n">
        <x:f>MAX(0,MIN(U71,U70))</x:f>
        <x:v>499318.61598467326</x:v>
      </x:c>
      <x:c r="V72" s="58" t="n">
        <x:f>MAX(0,MIN(V71,V70))</x:f>
        <x:v>603002.2214942266</x:v>
      </x:c>
      <x:c r="W72" s="58" t="n">
        <x:f>MAX(0,MIN(W71,W70))</x:f>
        <x:v>722121.6119532036</x:v>
      </x:c>
      <x:c r="X72" s="58" t="n">
        <x:f>MAX(0,MIN(X71,X70))</x:f>
        <x:v>855856.6201650591</x:v>
      </x:c>
      <x:c r="Y72" s="58" t="n">
        <x:f>MAX(0,MIN(Y71,Y70))</x:f>
        <x:v>1003348.2040139975</x:v>
      </x:c>
      <x:c r="Z72" s="58" t="n">
        <x:f>MAX(0,MIN(Z71,Z70))</x:f>
        <x:v>1112237.8850023395</x:v>
      </x:c>
      <x:c r="AA72" s="58" t="n">
        <x:f>MAX(0,MIN(AA71,AA70))</x:f>
        <x:v>1220260.8214264913</x:v>
      </x:c>
      <x:c r="AB72" s="58" t="n">
        <x:f>MAX(0,MIN(AB71,AB70))</x:f>
        <x:v>1342002.8022283572</x:v>
      </x:c>
      <x:c r="AC72" s="58" t="n">
        <x:f>MAX(0,MIN(AC71,AC70))</x:f>
        <x:v>1476740.5476061285</x:v>
      </x:c>
      <x:c r="AD72" s="58" t="n">
        <x:f>MAX(0,MIN(AD71,AD70))</x:f>
        <x:v>1624539.1861999172</x:v>
      </x:c>
      <x:c r="AE72" s="58" t="n">
        <x:f>MAX(0,MIN(AE71,AE70))</x:f>
        <x:v>1785183.2956358402</x:v>
      </x:c>
      <x:c r="AF72" s="58" t="n">
        <x:f>MAX(0,MIN(AF71,AF70))</x:f>
        <x:v>1920653.353011416</x:v>
      </x:c>
      <x:c r="AG72" s="58" t="n">
        <x:f>MAX(0,MIN(AG71,AG70))</x:f>
        <x:v>2070437.91906285</x:v>
      </x:c>
      <x:c r="AH72" s="58" t="n">
        <x:f>MAX(0,MIN(AH71,AH70))</x:f>
        <x:v>2233997.6546806605</x:v>
      </x:c>
      <x:c r="AI72" s="58" t="n">
        <x:f>MAX(0,MIN(AI71,AI70))</x:f>
        <x:v>2411006.6831227276</x:v>
      </x:c>
      <x:c r="AJ72" s="58" t="n">
        <x:f>MAX(0,MIN(AJ71,AJ70))</x:f>
        <x:v>2601156.631271683</x:v>
      </x:c>
      <x:c r="AK72" s="58" t="n">
        <x:f>MAX(0,MIN(AK71,AK70))</x:f>
        <x:v>2804150.4425366116</x:v>
      </x:c>
    </x:row>
    <x:row r="73" ht="18" customHeight="1">
      <x:c r="A73" s="74" t="str">
        <x:v>Revenue run rate: current month x 12</x:v>
      </x:c>
      <x:c r="B73" s="75" t="n">
        <x:f>B38*'Commercial Inputs'!$B$46</x:f>
        <x:v>74770.08377542373</x:v>
      </x:c>
      <x:c r="C73" s="75" t="n">
        <x:f>C38*'Commercial Inputs'!$B$46</x:f>
        <x:v>143980.95647536276</x:v>
      </x:c>
      <x:c r="D73" s="75" t="n">
        <x:f>D38*'Commercial Inputs'!$B$46</x:f>
        <x:v>214523.16242925037</x:v>
      </x:c>
      <x:c r="E73" s="75" t="n">
        <x:f>E38*'Commercial Inputs'!$B$46</x:f>
        <x:v>315381.42270190653</x:v>
      </x:c>
      <x:c r="F73" s="75" t="n">
        <x:f>F38*'Commercial Inputs'!$B$46</x:f>
        <x:v>417415.22961776314</x:v>
      </x:c>
      <x:c r="G73" s="75" t="n">
        <x:f>G38*'Commercial Inputs'!$B$46</x:f>
        <x:v>523976.7614918165</x:v>
      </x:c>
      <x:c r="H73" s="75" t="n">
        <x:f>H38*'Commercial Inputs'!$B$46</x:f>
        <x:v>693287.7971179027</x:v>
      </x:c>
      <x:c r="I73" s="75" t="n">
        <x:f>I38*'Commercial Inputs'!$B$46</x:f>
        <x:v>861523.362426244</x:v>
      </x:c>
      <x:c r="J73" s="75" t="n">
        <x:f>J38*'Commercial Inputs'!$B$46</x:f>
        <x:v>1035225.8782600112</x:v>
      </x:c>
      <x:c r="K73" s="75" t="n">
        <x:f>K38*'Commercial Inputs'!$B$46</x:f>
        <x:v>1217688.9352994768</x:v>
      </x:c>
      <x:c r="L73" s="75" t="n">
        <x:f>L38*'Commercial Inputs'!$B$46</x:f>
        <x:v>1410524.1938523445</x:v>
      </x:c>
      <x:c r="M73" s="75" t="n">
        <x:f>M38*'Commercial Inputs'!$B$46</x:f>
        <x:v>1615454.6715820972</x:v>
      </x:c>
      <x:c r="N73" s="75" t="n">
        <x:f>N38*'Commercial Inputs'!$B$46</x:f>
        <x:v>1868987.9745665407</x:v>
      </x:c>
      <x:c r="O73" s="75" t="n">
        <x:f>O38*'Commercial Inputs'!$B$46</x:f>
        <x:v>2102643.5847619446</x:v>
      </x:c>
      <x:c r="P73" s="75" t="n">
        <x:f>P38*'Commercial Inputs'!$B$46</x:f>
        <x:v>2325532.864500553</x:v>
      </x:c>
      <x:c r="Q73" s="75" t="n">
        <x:f>Q38*'Commercial Inputs'!$B$46</x:f>
        <x:v>2529114.8134905915</x:v>
      </x:c>
      <x:c r="R73" s="75" t="n">
        <x:f>R38*'Commercial Inputs'!$B$46</x:f>
        <x:v>2725328.8074257076</x:v>
      </x:c>
      <x:c r="S73" s="75" t="n">
        <x:f>S38*'Commercial Inputs'!$B$46</x:f>
        <x:v>2914267.660709193</x:v>
      </x:c>
      <x:c r="T73" s="75" t="n">
        <x:f>T38*'Commercial Inputs'!$B$46</x:f>
        <x:v>3169038.6575183566</x:v>
      </x:c>
      <x:c r="U73" s="75" t="n">
        <x:f>U38*'Commercial Inputs'!$B$46</x:f>
        <x:v>3401295.6138537647</x:v>
      </x:c>
      <x:c r="V73" s="75" t="n">
        <x:f>V38*'Commercial Inputs'!$B$46</x:f>
        <x:v>3620078.4307785253</x:v>
      </x:c>
      <x:c r="W73" s="75" t="n">
        <x:f>W38*'Commercial Inputs'!$B$46</x:f>
        <x:v>3828448.0454058656</x:v>
      </x:c>
      <x:c r="X73" s="75" t="n">
        <x:f>X38*'Commercial Inputs'!$B$46</x:f>
        <x:v>4026191.538572395</x:v>
      </x:c>
      <x:c r="Y73" s="75" t="n">
        <x:f>Y38*'Commercial Inputs'!$B$46</x:f>
        <x:v>4212918.673042672</x:v>
      </x:c>
      <x:c r="Z73" s="75" t="n">
        <x:f>Z38*'Commercial Inputs'!$B$46</x:f>
        <x:v>4413560.311798047</x:v>
      </x:c>
      <x:c r="AA73" s="75" t="n">
        <x:f>AA38*'Commercial Inputs'!$B$46</x:f>
        <x:v>4602064.579851024</x:v>
      </x:c>
      <x:c r="AB73" s="75" t="n">
        <x:f>AB38*'Commercial Inputs'!$B$46</x:f>
        <x:v>4784610.604838737</x:v>
      </x:c>
      <x:c r="AC73" s="75" t="n">
        <x:f>AC38*'Commercial Inputs'!$B$46</x:f>
        <x:v>4961358.4219806325</x:v>
      </x:c>
      <x:c r="AD73" s="75" t="n">
        <x:f>AD38*'Commercial Inputs'!$B$46</x:f>
        <x:v>5134901.703982567</x:v>
      </x:c>
      <x:c r="AE73" s="75" t="n">
        <x:f>AE38*'Commercial Inputs'!$B$46</x:f>
        <x:v>5305520.834297206</x:v>
      </x:c>
      <x:c r="AF73" s="75" t="n">
        <x:f>AF38*'Commercial Inputs'!$B$46</x:f>
        <x:v>5513787.315599741</x:v>
      </x:c>
      <x:c r="AG73" s="75" t="n">
        <x:f>AG38*'Commercial Inputs'!$B$46</x:f>
        <x:v>5705838.676372945</x:v>
      </x:c>
      <x:c r="AH73" s="75" t="n">
        <x:f>AH38*'Commercial Inputs'!$B$46</x:f>
        <x:v>5890264.433299122</x:v>
      </x:c>
      <x:c r="AI73" s="75" t="n">
        <x:f>AI38*'Commercial Inputs'!$B$46</x:f>
        <x:v>6070283.578129273</x:v>
      </x:c>
      <x:c r="AJ73" s="75" t="n">
        <x:f>AJ38*'Commercial Inputs'!$B$46</x:f>
        <x:v>6246208.578391372</x:v>
      </x:c>
      <x:c r="AK73" s="75" t="n">
        <x:f>AK38*'Commercial Inputs'!$B$46</x:f>
        <x:v>6418266.237109347</x:v>
      </x:c>
    </x:row>
    <x:row r="74" ht="18" customHeight="1">
      <x:c r="A74" s="4" t="str"/>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c r="AA74" s="58"/>
      <x:c r="AB74" s="58"/>
      <x:c r="AC74" s="58"/>
      <x:c r="AD74" s="58"/>
      <x:c r="AE74" s="58"/>
      <x:c r="AF74" s="58"/>
      <x:c r="AG74" s="58"/>
      <x:c r="AH74" s="58"/>
      <x:c r="AI74" s="58"/>
      <x:c r="AJ74" s="58"/>
      <x:c r="AK74" s="58"/>
    </x:row>
    <x:row r="75" ht="18" customHeight="1">
      <x:c r="A75" s="4" t="str">
        <x:v>Annual entitlement balance check</x:v>
      </x:c>
      <x:c r="B75" s="58" t="n">
        <x:f>ROUND(B24-(0+SUM(B20:B22)-B23),6)</x:f>
        <x:v>0</x:v>
      </x:c>
      <x:c r="C75" s="58" t="n">
        <x:f>ROUND(C24-(B24+SUM(C20:C22)-C23),6)</x:f>
        <x:v>0</x:v>
      </x:c>
      <x:c r="D75" s="58" t="n">
        <x:f>ROUND(D24-(C24+SUM(D20:D22)-D23),6)</x:f>
        <x:v>0</x:v>
      </x:c>
      <x:c r="E75" s="58" t="n">
        <x:f>ROUND(E24-(D24+SUM(E20:E22)-E23),6)</x:f>
        <x:v>0</x:v>
      </x:c>
      <x:c r="F75" s="58" t="n">
        <x:f>ROUND(F24-(E24+SUM(F20:F22)-F23),6)</x:f>
        <x:v>0</x:v>
      </x:c>
      <x:c r="G75" s="58" t="n">
        <x:f>ROUND(G24-(F24+SUM(G20:G22)-G23),6)</x:f>
        <x:v>0</x:v>
      </x:c>
      <x:c r="H75" s="58" t="n">
        <x:f>ROUND(H24-(G24+SUM(H20:H22)-H23),6)</x:f>
        <x:v>0</x:v>
      </x:c>
      <x:c r="I75" s="58" t="n">
        <x:f>ROUND(I24-(H24+SUM(I20:I22)-I23),6)</x:f>
        <x:v>0</x:v>
      </x:c>
      <x:c r="J75" s="58" t="n">
        <x:f>ROUND(J24-(I24+SUM(J20:J22)-J23),6)</x:f>
        <x:v>0</x:v>
      </x:c>
      <x:c r="K75" s="58" t="n">
        <x:f>ROUND(K24-(J24+SUM(K20:K22)-K23),6)</x:f>
        <x:v>0</x:v>
      </x:c>
      <x:c r="L75" s="58" t="n">
        <x:f>ROUND(L24-(K24+SUM(L20:L22)-L23),6)</x:f>
        <x:v>0</x:v>
      </x:c>
      <x:c r="M75" s="58" t="n">
        <x:f>ROUND(M24-(L24+SUM(M20:M22)-M23),6)</x:f>
        <x:v>0</x:v>
      </x:c>
      <x:c r="N75" s="58" t="n">
        <x:f>ROUND(N24-(M24+SUM(N20:N22)-N23),6)</x:f>
        <x:v>0</x:v>
      </x:c>
      <x:c r="O75" s="58" t="n">
        <x:f>ROUND(O24-(N24+SUM(O20:O22)-O23),6)</x:f>
        <x:v>0</x:v>
      </x:c>
      <x:c r="P75" s="58" t="n">
        <x:f>ROUND(P24-(O24+SUM(P20:P22)-P23),6)</x:f>
        <x:v>0</x:v>
      </x:c>
      <x:c r="Q75" s="58" t="n">
        <x:f>ROUND(Q24-(P24+SUM(Q20:Q22)-Q23),6)</x:f>
        <x:v>0</x:v>
      </x:c>
      <x:c r="R75" s="58" t="n">
        <x:f>ROUND(R24-(Q24+SUM(R20:R22)-R23),6)</x:f>
        <x:v>0</x:v>
      </x:c>
      <x:c r="S75" s="58" t="n">
        <x:f>ROUND(S24-(R24+SUM(S20:S22)-S23),6)</x:f>
        <x:v>0</x:v>
      </x:c>
      <x:c r="T75" s="58" t="n">
        <x:f>ROUND(T24-(S24+SUM(T20:T22)-T23),6)</x:f>
        <x:v>0</x:v>
      </x:c>
      <x:c r="U75" s="58" t="n">
        <x:f>ROUND(U24-(T24+SUM(U20:U22)-U23),6)</x:f>
        <x:v>0</x:v>
      </x:c>
      <x:c r="V75" s="58" t="n">
        <x:f>ROUND(V24-(U24+SUM(V20:V22)-V23),6)</x:f>
        <x:v>0</x:v>
      </x:c>
      <x:c r="W75" s="58" t="n">
        <x:f>ROUND(W24-(V24+SUM(W20:W22)-W23),6)</x:f>
        <x:v>0</x:v>
      </x:c>
      <x:c r="X75" s="58" t="n">
        <x:f>ROUND(X24-(W24+SUM(X20:X22)-X23),6)</x:f>
        <x:v>0</x:v>
      </x:c>
      <x:c r="Y75" s="58" t="n">
        <x:f>ROUND(Y24-(X24+SUM(Y20:Y22)-Y23),6)</x:f>
        <x:v>0</x:v>
      </x:c>
      <x:c r="Z75" s="58" t="n">
        <x:f>ROUND(Z24-(Y24+SUM(Z20:Z22)-Z23),6)</x:f>
        <x:v>0</x:v>
      </x:c>
      <x:c r="AA75" s="58" t="n">
        <x:f>ROUND(AA24-(Z24+SUM(AA20:AA22)-AA23),6)</x:f>
        <x:v>0</x:v>
      </x:c>
      <x:c r="AB75" s="58" t="n">
        <x:f>ROUND(AB24-(AA24+SUM(AB20:AB22)-AB23),6)</x:f>
        <x:v>0</x:v>
      </x:c>
      <x:c r="AC75" s="58" t="n">
        <x:f>ROUND(AC24-(AB24+SUM(AC20:AC22)-AC23),6)</x:f>
        <x:v>0</x:v>
      </x:c>
      <x:c r="AD75" s="58" t="n">
        <x:f>ROUND(AD24-(AC24+SUM(AD20:AD22)-AD23),6)</x:f>
        <x:v>0</x:v>
      </x:c>
      <x:c r="AE75" s="58" t="n">
        <x:f>ROUND(AE24-(AD24+SUM(AE20:AE22)-AE23),6)</x:f>
        <x:v>0</x:v>
      </x:c>
      <x:c r="AF75" s="58" t="n">
        <x:f>ROUND(AF24-(AE24+SUM(AF20:AF22)-AF23),6)</x:f>
        <x:v>0</x:v>
      </x:c>
      <x:c r="AG75" s="58" t="n">
        <x:f>ROUND(AG24-(AF24+SUM(AG20:AG22)-AG23),6)</x:f>
        <x:v>0</x:v>
      </x:c>
      <x:c r="AH75" s="58" t="n">
        <x:f>ROUND(AH24-(AG24+SUM(AH20:AH22)-AH23),6)</x:f>
        <x:v>0</x:v>
      </x:c>
      <x:c r="AI75" s="58" t="n">
        <x:f>ROUND(AI24-(AH24+SUM(AI20:AI22)-AI23),6)</x:f>
        <x:v>0</x:v>
      </x:c>
      <x:c r="AJ75" s="58" t="n">
        <x:f>ROUND(AJ24-(AI24+SUM(AJ20:AJ22)-AJ23),6)</x:f>
        <x:v>0</x:v>
      </x:c>
      <x:c r="AK75" s="58" t="n">
        <x:f>ROUND(AK24-(AJ24+SUM(AK20:AK22)-AK23),6)</x:f>
        <x:v>0</x:v>
      </x:c>
    </x:row>
    <x:row r="76" ht="18" customHeight="1">
      <x:c r="A76" s="4" t="str">
        <x:v>Monthly charge / refund check</x:v>
      </x:c>
      <x:c r="B76" s="58" t="n">
        <x:f>ROUND(B31-B32*(1-'Scenario Inputs'!$C$29),6)</x:f>
        <x:v>0</x:v>
      </x:c>
      <x:c r="C76" s="58" t="n">
        <x:f>ROUND(C31-C32*(1-'Scenario Inputs'!$C$29),6)</x:f>
        <x:v>0</x:v>
      </x:c>
      <x:c r="D76" s="58" t="n">
        <x:f>ROUND(D31-D32*(1-'Scenario Inputs'!$C$29),6)</x:f>
        <x:v>0</x:v>
      </x:c>
      <x:c r="E76" s="58" t="n">
        <x:f>ROUND(E31-E32*(1-'Scenario Inputs'!$C$29),6)</x:f>
        <x:v>0</x:v>
      </x:c>
      <x:c r="F76" s="58" t="n">
        <x:f>ROUND(F31-F32*(1-'Scenario Inputs'!$C$29),6)</x:f>
        <x:v>0</x:v>
      </x:c>
      <x:c r="G76" s="58" t="n">
        <x:f>ROUND(G31-G32*(1-'Scenario Inputs'!$C$29),6)</x:f>
        <x:v>0</x:v>
      </x:c>
      <x:c r="H76" s="58" t="n">
        <x:f>ROUND(H31-H32*(1-'Scenario Inputs'!$C$29),6)</x:f>
        <x:v>0</x:v>
      </x:c>
      <x:c r="I76" s="58" t="n">
        <x:f>ROUND(I31-I32*(1-'Scenario Inputs'!$C$29),6)</x:f>
        <x:v>0</x:v>
      </x:c>
      <x:c r="J76" s="58" t="n">
        <x:f>ROUND(J31-J32*(1-'Scenario Inputs'!$C$29),6)</x:f>
        <x:v>0</x:v>
      </x:c>
      <x:c r="K76" s="58" t="n">
        <x:f>ROUND(K31-K32*(1-'Scenario Inputs'!$C$29),6)</x:f>
        <x:v>0</x:v>
      </x:c>
      <x:c r="L76" s="58" t="n">
        <x:f>ROUND(L31-L32*(1-'Scenario Inputs'!$C$29),6)</x:f>
        <x:v>0</x:v>
      </x:c>
      <x:c r="M76" s="58" t="n">
        <x:f>ROUND(M31-M32*(1-'Scenario Inputs'!$C$29),6)</x:f>
        <x:v>0</x:v>
      </x:c>
      <x:c r="N76" s="58" t="n">
        <x:f>ROUND(N31-N32*(1-'Scenario Inputs'!$C$29),6)</x:f>
        <x:v>0</x:v>
      </x:c>
      <x:c r="O76" s="58" t="n">
        <x:f>ROUND(O31-O32*(1-'Scenario Inputs'!$C$29),6)</x:f>
        <x:v>0</x:v>
      </x:c>
      <x:c r="P76" s="58" t="n">
        <x:f>ROUND(P31-P32*(1-'Scenario Inputs'!$C$29),6)</x:f>
        <x:v>0</x:v>
      </x:c>
      <x:c r="Q76" s="58" t="n">
        <x:f>ROUND(Q31-Q32*(1-'Scenario Inputs'!$C$29),6)</x:f>
        <x:v>0</x:v>
      </x:c>
      <x:c r="R76" s="58" t="n">
        <x:f>ROUND(R31-R32*(1-'Scenario Inputs'!$C$29),6)</x:f>
        <x:v>0</x:v>
      </x:c>
      <x:c r="S76" s="58" t="n">
        <x:f>ROUND(S31-S32*(1-'Scenario Inputs'!$C$29),6)</x:f>
        <x:v>0</x:v>
      </x:c>
      <x:c r="T76" s="58" t="n">
        <x:f>ROUND(T31-T32*(1-'Scenario Inputs'!$C$29),6)</x:f>
        <x:v>0</x:v>
      </x:c>
      <x:c r="U76" s="58" t="n">
        <x:f>ROUND(U31-U32*(1-'Scenario Inputs'!$C$29),6)</x:f>
        <x:v>0</x:v>
      </x:c>
      <x:c r="V76" s="58" t="n">
        <x:f>ROUND(V31-V32*(1-'Scenario Inputs'!$C$29),6)</x:f>
        <x:v>0</x:v>
      </x:c>
      <x:c r="W76" s="58" t="n">
        <x:f>ROUND(W31-W32*(1-'Scenario Inputs'!$C$29),6)</x:f>
        <x:v>0</x:v>
      </x:c>
      <x:c r="X76" s="58" t="n">
        <x:f>ROUND(X31-X32*(1-'Scenario Inputs'!$C$29),6)</x:f>
        <x:v>0</x:v>
      </x:c>
      <x:c r="Y76" s="58" t="n">
        <x:f>ROUND(Y31-Y32*(1-'Scenario Inputs'!$C$29),6)</x:f>
        <x:v>0</x:v>
      </x:c>
      <x:c r="Z76" s="58" t="n">
        <x:f>ROUND(Z31-Z32*(1-'Scenario Inputs'!$C$29),6)</x:f>
        <x:v>0</x:v>
      </x:c>
      <x:c r="AA76" s="58" t="n">
        <x:f>ROUND(AA31-AA32*(1-'Scenario Inputs'!$C$29),6)</x:f>
        <x:v>0</x:v>
      </x:c>
      <x:c r="AB76" s="58" t="n">
        <x:f>ROUND(AB31-AB32*(1-'Scenario Inputs'!$C$29),6)</x:f>
        <x:v>0</x:v>
      </x:c>
      <x:c r="AC76" s="58" t="n">
        <x:f>ROUND(AC31-AC32*(1-'Scenario Inputs'!$C$29),6)</x:f>
        <x:v>0</x:v>
      </x:c>
      <x:c r="AD76" s="58" t="n">
        <x:f>ROUND(AD31-AD32*(1-'Scenario Inputs'!$C$29),6)</x:f>
        <x:v>0</x:v>
      </x:c>
      <x:c r="AE76" s="58" t="n">
        <x:f>ROUND(AE31-AE32*(1-'Scenario Inputs'!$C$29),6)</x:f>
        <x:v>0</x:v>
      </x:c>
      <x:c r="AF76" s="58" t="n">
        <x:f>ROUND(AF31-AF32*(1-'Scenario Inputs'!$C$29),6)</x:f>
        <x:v>0</x:v>
      </x:c>
      <x:c r="AG76" s="58" t="n">
        <x:f>ROUND(AG31-AG32*(1-'Scenario Inputs'!$C$29),6)</x:f>
        <x:v>0</x:v>
      </x:c>
      <x:c r="AH76" s="58" t="n">
        <x:f>ROUND(AH31-AH32*(1-'Scenario Inputs'!$C$29),6)</x:f>
        <x:v>0</x:v>
      </x:c>
      <x:c r="AI76" s="58" t="n">
        <x:f>ROUND(AI31-AI32*(1-'Scenario Inputs'!$C$29),6)</x:f>
        <x:v>0</x:v>
      </x:c>
      <x:c r="AJ76" s="58" t="n">
        <x:f>ROUND(AJ31-AJ32*(1-'Scenario Inputs'!$C$29),6)</x:f>
        <x:v>0</x:v>
      </x:c>
      <x:c r="AK76" s="58" t="n">
        <x:f>ROUND(AK31-AK32*(1-'Scenario Inputs'!$C$29),6)</x:f>
        <x:v>0</x:v>
      </x:c>
    </x:row>
    <x:row r="77" ht="18"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row>
    <x:row r="78" ht="18"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row>
    <x:row r="79" ht="18"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row>
    <x:row r="80" ht="18"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row>
    <x:row r="81" ht="18"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row>
    <x:row r="82" ht="18"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row>
    <x:row r="83" ht="18"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row>
    <x:row r="84" ht="18" customHeight="1">
      <x:c r="A84" s="4" t="str">
        <x:v>Blended annual price, ex-tax (INR)</x:v>
      </x:c>
      <x:c r="B84" s="56" t="n">
        <x:f>'Scenario Inputs'!$C$28*'Commercial Inputs'!$B$6/(1+'Commercial Inputs'!$B$10)+(1-'Scenario Inputs'!$C$28)*('Commercial Inputs'!$B$8*'Commercial Inputs'!$B$5)/(1+'Commercial Inputs'!$B$11)</x:f>
        <x:v>2837.087118644068</x:v>
      </x:c>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row>
    <x:row r="85" ht="18" customHeight="1">
      <x:c r="A85" s="4" t="str">
        <x:v>Blended monthly price, ex-tax (INR)</x:v>
      </x:c>
      <x:c r="B85" s="56" t="n">
        <x:f>'Scenario Inputs'!$C$28*'Commercial Inputs'!$B$7/(1+'Commercial Inputs'!$B$10)+(1-'Scenario Inputs'!$C$28)*('Commercial Inputs'!$B$9*'Commercial Inputs'!$B$5)/(1+'Commercial Inputs'!$B$11)</x:f>
        <x:v>407.86677966101695</x:v>
      </x:c>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row>
    <x:row r="86" ht="18" customHeight="1">
      <x:c r="A86" s="4" t="str">
        <x:v>Fee per annual charge (INR)</x:v>
      </x:c>
      <x:c r="B86" s="56" t="n">
        <x:f>'Scenario Inputs'!$C$28*('Commercial Inputs'!$B$12*'Commercial Inputs'!$B$6*'Commercial Inputs'!$B$14+(1-'Commercial Inputs'!$B$12)*'Commercial Inputs'!$B$6/(1+'Commercial Inputs'!$B$10)*'Commercial Inputs'!$B$13)+(1-'Scenario Inputs'!$C$28)*('Commercial Inputs'!$B$12*(('Commercial Inputs'!$B$8*'Commercial Inputs'!$B$5)*'Commercial Inputs'!$B$15+'Commercial Inputs'!$B$16*'Commercial Inputs'!$B$5)+(1-'Commercial Inputs'!$B$12)*('Commercial Inputs'!$B$8*'Commercial Inputs'!$B$5)/(1+'Commercial Inputs'!$B$11)*'Commercial Inputs'!$B$13)</x:f>
        <x:v>289.70331389830505</x:v>
      </x:c>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row>
    <x:row r="87" ht="18" customHeight="1">
      <x:c r="A87" s="4" t="str">
        <x:v>Fee per monthly charge (INR)</x:v>
      </x:c>
      <x:c r="B87" s="56" t="n">
        <x:f>'Scenario Inputs'!$C$28*('Commercial Inputs'!$B$12*'Commercial Inputs'!$B$7*'Commercial Inputs'!$B$14+(1-'Commercial Inputs'!$B$12)*'Commercial Inputs'!$B$7/(1+'Commercial Inputs'!$B$10)*'Commercial Inputs'!$B$13)+(1-'Scenario Inputs'!$C$28)*('Commercial Inputs'!$B$12*(('Commercial Inputs'!$B$9*'Commercial Inputs'!$B$5)*'Commercial Inputs'!$B$15+'Commercial Inputs'!$B$16*'Commercial Inputs'!$B$5)+(1-'Commercial Inputs'!$B$12)*('Commercial Inputs'!$B$9*'Commercial Inputs'!$B$5)/(1+'Commercial Inputs'!$B$11)*'Commercial Inputs'!$B$13)</x:f>
        <x:v>53.35178847457627</x:v>
      </x:c>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row>
    <x:row r="88" ht="18" customHeight="1">
      <x:c r="A88" s="4" t="str">
        <x:v>Billing reserve per annual charge (INR)</x:v>
      </x:c>
      <x:c r="B88" s="56" t="n">
        <x:f>('Scenario Inputs'!$C$28*'Commercial Inputs'!$B$6+(1-'Scenario Inputs'!$C$28)*('Commercial Inputs'!$B$8*'Commercial Inputs'!$B$5))*'Commercial Inputs'!$B$17</x:f>
        <x:v>29.5906</x:v>
      </x:c>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row>
    <x:row r="89" ht="18" customHeight="1">
      <x:c r="A89" s="4" t="str">
        <x:v>Billing reserve per monthly charge (INR)</x:v>
      </x:c>
      <x:c r="B89" s="56" t="n">
        <x:f>('Scenario Inputs'!$C$28*'Commercial Inputs'!$B$7+(1-'Scenario Inputs'!$C$28)*('Commercial Inputs'!$B$9*'Commercial Inputs'!$B$5))*'Commercial Inputs'!$B$17</x:f>
        <x:v>4.2306</x:v>
      </x:c>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row>
    <x:row r="90" ht="18" customHeight="1">
      <x:c r="A90" s="4" t="str">
        <x:v>Budgeted AI cost per job (INR)</x:v>
      </x:c>
      <x:c r="B90" s="56" t="n">
        <x:f>('Commercial Inputs'!$B$20*'Commercial Inputs'!$B$18+'Commercial Inputs'!$B$21*'Commercial Inputs'!$B$19)/'Commercial Inputs'!$B$47*'Commercial Inputs'!$B$22*'Commercial Inputs'!$B$5*(1+'Commercial Inputs'!$B$23)</x:f>
        <x:v>0.1287</x:v>
      </x:c>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row>
    <x:row r="91" ht="18"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row>
    <x:row r="92" ht="18"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row>
    <x:row r="93" ht="18"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row>
    <x:row r="94" ht="18"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row>
    <x:row r="95" ht="18"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row>
    <x:row r="96" ht="18"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row>
    <x:row r="97" ht="18"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row>
    <x:row r="98" ht="18"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row>
    <x:row r="99" ht="18"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row>
    <x:row r="100" ht="18"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row>
    <x:row r="101" ht="18"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row>
    <x:row r="102" ht="18"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row>
    <x:row r="103" ht="18"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row>
    <x:row r="104" ht="18"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row>
    <x:row r="105" ht="18"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row>
    <x:row r="106" ht="29" customHeight="1">
      <x:c r="A106" s="50" t="str">
        <x:v>PAID CAC DOUBLES | MONTHLY COHORT MODEL</x:v>
      </x:c>
      <x:c r="B106" s="50"/>
      <x:c r="C106" s="50"/>
      <x:c r="D106" s="50"/>
      <x:c r="E106" s="50"/>
      <x:c r="F106" s="50"/>
      <x:c r="G106" s="50"/>
      <x:c r="H106" s="50"/>
      <x:c r="I106" s="50"/>
      <x:c r="J106" s="50"/>
      <x:c r="K106" s="50"/>
      <x:c r="L106" s="50"/>
      <x:c r="M106" s="50"/>
      <x:c r="N106" s="50"/>
      <x:c r="O106" s="50"/>
      <x:c r="P106" s="50"/>
      <x:c r="Q106" s="50"/>
      <x:c r="R106" s="50"/>
      <x:c r="S106" s="50"/>
      <x:c r="T106" s="50"/>
      <x:c r="U106" s="50"/>
      <x:c r="V106" s="50"/>
      <x:c r="W106" s="50"/>
      <x:c r="X106" s="50"/>
      <x:c r="Y106" s="50"/>
      <x:c r="Z106" s="50"/>
      <x:c r="AA106" s="50"/>
      <x:c r="AB106" s="50"/>
      <x:c r="AC106" s="50"/>
      <x:c r="AD106" s="50"/>
      <x:c r="AE106" s="50"/>
      <x:c r="AF106" s="50"/>
      <x:c r="AG106" s="50"/>
      <x:c r="AH106" s="50"/>
      <x:c r="AI106" s="50"/>
      <x:c r="AJ106" s="50"/>
      <x:c r="AK106" s="50"/>
    </x:row>
    <x:row r="107" ht="24" customHeight="1">
      <x:c r="A107" s="11" t="str">
        <x:v>INR unless stated. Purchases occur at month start; annual revenue is earned over 12 months. No founder salary or income tax in the base case.</x:v>
      </x:c>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c r="AA107" s="11"/>
      <x:c r="AB107" s="11"/>
      <x:c r="AC107" s="11"/>
      <x:c r="AD107" s="11"/>
      <x:c r="AE107" s="11"/>
      <x:c r="AF107" s="11"/>
      <x:c r="AG107" s="11"/>
      <x:c r="AH107" s="11"/>
      <x:c r="AI107" s="11"/>
      <x:c r="AJ107" s="11"/>
      <x:c r="AK107" s="11"/>
    </x:row>
    <x:row r="108" ht="18"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row>
    <x:row r="109" ht="18"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row>
    <x:row r="110" ht="30" customHeight="1">
      <x:c r="A110" s="16" t="str">
        <x:v>Month after paid launch</x:v>
      </x:c>
      <x:c r="B110" s="16" t="n">
        <x:v>1</x:v>
      </x:c>
      <x:c r="C110" s="16" t="n">
        <x:v>2</x:v>
      </x:c>
      <x:c r="D110" s="16" t="n">
        <x:v>3</x:v>
      </x:c>
      <x:c r="E110" s="16" t="n">
        <x:v>4</x:v>
      </x:c>
      <x:c r="F110" s="16" t="n">
        <x:v>5</x:v>
      </x:c>
      <x:c r="G110" s="16" t="n">
        <x:v>6</x:v>
      </x:c>
      <x:c r="H110" s="16" t="n">
        <x:v>7</x:v>
      </x:c>
      <x:c r="I110" s="16" t="n">
        <x:v>8</x:v>
      </x:c>
      <x:c r="J110" s="16" t="n">
        <x:v>9</x:v>
      </x:c>
      <x:c r="K110" s="16" t="n">
        <x:v>10</x:v>
      </x:c>
      <x:c r="L110" s="16" t="n">
        <x:v>11</x:v>
      </x:c>
      <x:c r="M110" s="16" t="n">
        <x:v>12</x:v>
      </x:c>
      <x:c r="N110" s="16" t="n">
        <x:v>13</x:v>
      </x:c>
      <x:c r="O110" s="16" t="n">
        <x:v>14</x:v>
      </x:c>
      <x:c r="P110" s="16" t="n">
        <x:v>15</x:v>
      </x:c>
      <x:c r="Q110" s="16" t="n">
        <x:v>16</x:v>
      </x:c>
      <x:c r="R110" s="16" t="n">
        <x:v>17</x:v>
      </x:c>
      <x:c r="S110" s="16" t="n">
        <x:v>18</x:v>
      </x:c>
      <x:c r="T110" s="16" t="n">
        <x:v>19</x:v>
      </x:c>
      <x:c r="U110" s="16" t="n">
        <x:v>20</x:v>
      </x:c>
      <x:c r="V110" s="16" t="n">
        <x:v>21</x:v>
      </x:c>
      <x:c r="W110" s="16" t="n">
        <x:v>22</x:v>
      </x:c>
      <x:c r="X110" s="16" t="n">
        <x:v>23</x:v>
      </x:c>
      <x:c r="Y110" s="16" t="n">
        <x:v>24</x:v>
      </x:c>
      <x:c r="Z110" s="16" t="n">
        <x:v>25</x:v>
      </x:c>
      <x:c r="AA110" s="16" t="n">
        <x:v>26</x:v>
      </x:c>
      <x:c r="AB110" s="16" t="n">
        <x:v>27</x:v>
      </x:c>
      <x:c r="AC110" s="16" t="n">
        <x:v>28</x:v>
      </x:c>
      <x:c r="AD110" s="16" t="n">
        <x:v>29</x:v>
      </x:c>
      <x:c r="AE110" s="16" t="n">
        <x:v>30</x:v>
      </x:c>
      <x:c r="AF110" s="16" t="n">
        <x:v>31</x:v>
      </x:c>
      <x:c r="AG110" s="16" t="n">
        <x:v>32</x:v>
      </x:c>
      <x:c r="AH110" s="16" t="n">
        <x:v>33</x:v>
      </x:c>
      <x:c r="AI110" s="16" t="n">
        <x:v>34</x:v>
      </x:c>
      <x:c r="AJ110" s="16" t="n">
        <x:v>35</x:v>
      </x:c>
      <x:c r="AK110" s="16" t="n">
        <x:v>36</x:v>
      </x:c>
    </x:row>
    <x:row r="111" ht="18" customHeight="1">
      <x:c r="A111" s="4" t="str">
        <x:v>Qualified organic prospects</x:v>
      </x:c>
      <x:c r="B111" s="58" t="n">
        <x:f>'Scenario Inputs'!$C$5</x:f>
        <x:v>1000</x:v>
      </x:c>
      <x:c r="C111" s="58" t="n">
        <x:f>B111*(1+'Scenario Inputs'!$C$6)</x:f>
        <x:v>1120</x:v>
      </x:c>
      <x:c r="D111" s="58" t="n">
        <x:f>C111*(1+'Scenario Inputs'!$C$6)</x:f>
        <x:v>1254.4</x:v>
      </x:c>
      <x:c r="E111" s="58" t="n">
        <x:f>D111*(1+'Scenario Inputs'!$C$6)</x:f>
        <x:v>1404.9280000000003</x:v>
      </x:c>
      <x:c r="F111" s="58" t="n">
        <x:f>E111*(1+'Scenario Inputs'!$C$6)</x:f>
        <x:v>1573.5193600000005</x:v>
      </x:c>
      <x:c r="G111" s="58" t="n">
        <x:f>F111*(1+'Scenario Inputs'!$C$6)</x:f>
        <x:v>1762.3416832000007</x:v>
      </x:c>
      <x:c r="H111" s="58" t="n">
        <x:f>G111*(1+'Scenario Inputs'!$C$6)</x:f>
        <x:v>1973.822685184001</x:v>
      </x:c>
      <x:c r="I111" s="58" t="n">
        <x:f>H111*(1+'Scenario Inputs'!$C$6)</x:f>
        <x:v>2210.6814074060812</x:v>
      </x:c>
      <x:c r="J111" s="58" t="n">
        <x:f>I111*(1+'Scenario Inputs'!$C$6)</x:f>
        <x:v>2475.963176294811</x:v>
      </x:c>
      <x:c r="K111" s="58" t="n">
        <x:f>J111*(1+'Scenario Inputs'!$C$6)</x:f>
        <x:v>2773.0787574501887</x:v>
      </x:c>
      <x:c r="L111" s="58" t="n">
        <x:f>K111*(1+'Scenario Inputs'!$C$6)</x:f>
        <x:v>3105.848208344212</x:v>
      </x:c>
      <x:c r="M111" s="58" t="n">
        <x:f>L111*(1+'Scenario Inputs'!$C$6)</x:f>
        <x:v>3478.5499933455176</x:v>
      </x:c>
      <x:c r="N111" s="58" t="n">
        <x:f>M111*(1+'Scenario Inputs'!$C$7)</x:f>
        <x:v>3756.833992813159</x:v>
      </x:c>
      <x:c r="O111" s="58" t="n">
        <x:f>N111*(1+'Scenario Inputs'!$C$7)</x:f>
        <x:v>4057.3807122382123</x:v>
      </x:c>
      <x:c r="P111" s="58" t="n">
        <x:f>O111*(1+'Scenario Inputs'!$C$7)</x:f>
        <x:v>4381.97116921727</x:v>
      </x:c>
      <x:c r="Q111" s="58" t="n">
        <x:f>P111*(1+'Scenario Inputs'!$C$7)</x:f>
        <x:v>4732.5288627546515</x:v>
      </x:c>
      <x:c r="R111" s="58" t="n">
        <x:f>Q111*(1+'Scenario Inputs'!$C$7)</x:f>
        <x:v>5111.131171775024</x:v>
      </x:c>
      <x:c r="S111" s="58" t="n">
        <x:f>R111*(1+'Scenario Inputs'!$C$7)</x:f>
        <x:v>5520.021665517026</x:v>
      </x:c>
      <x:c r="T111" s="58" t="n">
        <x:f>S111*(1+'Scenario Inputs'!$C$7)</x:f>
        <x:v>5961.623398758388</x:v>
      </x:c>
      <x:c r="U111" s="58" t="n">
        <x:f>T111*(1+'Scenario Inputs'!$C$7)</x:f>
        <x:v>6438.553270659059</x:v>
      </x:c>
      <x:c r="V111" s="58" t="n">
        <x:f>U111*(1+'Scenario Inputs'!$C$7)</x:f>
        <x:v>6953.6375323117845</x:v>
      </x:c>
      <x:c r="W111" s="58" t="n">
        <x:f>V111*(1+'Scenario Inputs'!$C$7)</x:f>
        <x:v>7509.928534896728</x:v>
      </x:c>
      <x:c r="X111" s="58" t="n">
        <x:f>W111*(1+'Scenario Inputs'!$C$7)</x:f>
        <x:v>8110.722817688466</x:v>
      </x:c>
      <x:c r="Y111" s="58" t="n">
        <x:f>X111*(1+'Scenario Inputs'!$C$7)</x:f>
        <x:v>8759.580643103543</x:v>
      </x:c>
      <x:c r="Z111" s="58" t="n">
        <x:f>Y111*(1+'Scenario Inputs'!$C$8)</x:f>
        <x:v>9285.155481689757</x:v>
      </x:c>
      <x:c r="AA111" s="58" t="n">
        <x:f>Z111*(1+'Scenario Inputs'!$C$8)</x:f>
        <x:v>9842.264810591143</x:v>
      </x:c>
      <x:c r="AB111" s="58" t="n">
        <x:f>AA111*(1+'Scenario Inputs'!$C$8)</x:f>
        <x:v>10432.800699226613</x:v>
      </x:c>
      <x:c r="AC111" s="58" t="n">
        <x:f>AB111*(1+'Scenario Inputs'!$C$8)</x:f>
        <x:v>11058.76874118021</x:v>
      </x:c>
      <x:c r="AD111" s="58" t="n">
        <x:f>AC111*(1+'Scenario Inputs'!$C$8)</x:f>
        <x:v>11722.294865651023</x:v>
      </x:c>
      <x:c r="AE111" s="58" t="n">
        <x:f>AD111*(1+'Scenario Inputs'!$C$8)</x:f>
        <x:v>12425.632557590085</x:v>
      </x:c>
      <x:c r="AF111" s="58" t="n">
        <x:f>AE111*(1+'Scenario Inputs'!$C$8)</x:f>
        <x:v>13171.17051104549</x:v>
      </x:c>
      <x:c r="AG111" s="58" t="n">
        <x:f>AF111*(1+'Scenario Inputs'!$C$8)</x:f>
        <x:v>13961.44074170822</x:v>
      </x:c>
      <x:c r="AH111" s="58" t="n">
        <x:f>AG111*(1+'Scenario Inputs'!$C$8)</x:f>
        <x:v>14799.127186210715</x:v>
      </x:c>
      <x:c r="AI111" s="58" t="n">
        <x:f>AH111*(1+'Scenario Inputs'!$C$8)</x:f>
        <x:v>15687.074817383358</x:v>
      </x:c>
      <x:c r="AJ111" s="58" t="n">
        <x:f>AI111*(1+'Scenario Inputs'!$C$8)</x:f>
        <x:v>16628.29930642636</x:v>
      </x:c>
      <x:c r="AK111" s="58" t="n">
        <x:f>AJ111*(1+'Scenario Inputs'!$C$8)</x:f>
        <x:v>17625.997264811944</x:v>
      </x:c>
    </x:row>
    <x:row r="112" ht="18" customHeight="1">
      <x:c r="A112" s="4" t="str">
        <x:v>Paid media spend (INR)</x:v>
      </x:c>
      <x:c r="B112" s="60" t="n">
        <x:f>'Scenario Inputs'!$C$14</x:f>
        <x:v>6000</x:v>
      </x:c>
      <x:c r="C112" s="60" t="n">
        <x:f>'Scenario Inputs'!$C$14</x:f>
        <x:v>6000</x:v>
      </x:c>
      <x:c r="D112" s="60" t="n">
        <x:f>'Scenario Inputs'!$C$14</x:f>
        <x:v>6000</x:v>
      </x:c>
      <x:c r="E112" s="60" t="n">
        <x:f>'Scenario Inputs'!$C$15</x:f>
        <x:v>12000</x:v>
      </x:c>
      <x:c r="F112" s="60" t="n">
        <x:f>'Scenario Inputs'!$C$15</x:f>
        <x:v>12000</x:v>
      </x:c>
      <x:c r="G112" s="60" t="n">
        <x:f>'Scenario Inputs'!$C$15</x:f>
        <x:v>12000</x:v>
      </x:c>
      <x:c r="H112" s="60" t="n">
        <x:f>'Scenario Inputs'!$C$16</x:f>
        <x:v>25000</x:v>
      </x:c>
      <x:c r="I112" s="60" t="n">
        <x:f>'Scenario Inputs'!$C$16</x:f>
        <x:v>25000</x:v>
      </x:c>
      <x:c r="J112" s="60" t="n">
        <x:f>'Scenario Inputs'!$C$16</x:f>
        <x:v>25000</x:v>
      </x:c>
      <x:c r="K112" s="60" t="n">
        <x:f>'Scenario Inputs'!$C$16</x:f>
        <x:v>25000</x:v>
      </x:c>
      <x:c r="L112" s="60" t="n">
        <x:f>'Scenario Inputs'!$C$16</x:f>
        <x:v>25000</x:v>
      </x:c>
      <x:c r="M112" s="60" t="n">
        <x:f>'Scenario Inputs'!$C$16</x:f>
        <x:v>25000</x:v>
      </x:c>
      <x:c r="N112" s="60" t="n">
        <x:f>'Scenario Inputs'!$C$17</x:f>
        <x:v>50000</x:v>
      </x:c>
      <x:c r="O112" s="60" t="n">
        <x:f>'Scenario Inputs'!$C$17</x:f>
        <x:v>50000</x:v>
      </x:c>
      <x:c r="P112" s="60" t="n">
        <x:f>'Scenario Inputs'!$C$17</x:f>
        <x:v>50000</x:v>
      </x:c>
      <x:c r="Q112" s="60" t="n">
        <x:f>'Scenario Inputs'!$C$17</x:f>
        <x:v>50000</x:v>
      </x:c>
      <x:c r="R112" s="60" t="n">
        <x:f>'Scenario Inputs'!$C$17</x:f>
        <x:v>50000</x:v>
      </x:c>
      <x:c r="S112" s="60" t="n">
        <x:f>'Scenario Inputs'!$C$17</x:f>
        <x:v>50000</x:v>
      </x:c>
      <x:c r="T112" s="60" t="n">
        <x:f>'Scenario Inputs'!$C$18</x:f>
        <x:v>75000</x:v>
      </x:c>
      <x:c r="U112" s="60" t="n">
        <x:f>'Scenario Inputs'!$C$18</x:f>
        <x:v>75000</x:v>
      </x:c>
      <x:c r="V112" s="60" t="n">
        <x:f>'Scenario Inputs'!$C$18</x:f>
        <x:v>75000</x:v>
      </x:c>
      <x:c r="W112" s="60" t="n">
        <x:f>'Scenario Inputs'!$C$18</x:f>
        <x:v>75000</x:v>
      </x:c>
      <x:c r="X112" s="60" t="n">
        <x:f>'Scenario Inputs'!$C$18</x:f>
        <x:v>75000</x:v>
      </x:c>
      <x:c r="Y112" s="60" t="n">
        <x:f>'Scenario Inputs'!$C$18</x:f>
        <x:v>75000</x:v>
      </x:c>
      <x:c r="Z112" s="60" t="n">
        <x:f>'Scenario Inputs'!$C$19</x:f>
        <x:v>100000</x:v>
      </x:c>
      <x:c r="AA112" s="60" t="n">
        <x:f>'Scenario Inputs'!$C$19</x:f>
        <x:v>100000</x:v>
      </x:c>
      <x:c r="AB112" s="60" t="n">
        <x:f>'Scenario Inputs'!$C$19</x:f>
        <x:v>100000</x:v>
      </x:c>
      <x:c r="AC112" s="60" t="n">
        <x:f>'Scenario Inputs'!$C$19</x:f>
        <x:v>100000</x:v>
      </x:c>
      <x:c r="AD112" s="60" t="n">
        <x:f>'Scenario Inputs'!$C$19</x:f>
        <x:v>100000</x:v>
      </x:c>
      <x:c r="AE112" s="60" t="n">
        <x:f>'Scenario Inputs'!$C$19</x:f>
        <x:v>100000</x:v>
      </x:c>
      <x:c r="AF112" s="60" t="n">
        <x:f>'Scenario Inputs'!$C$20</x:f>
        <x:v>125000</x:v>
      </x:c>
      <x:c r="AG112" s="60" t="n">
        <x:f>'Scenario Inputs'!$C$20</x:f>
        <x:v>125000</x:v>
      </x:c>
      <x:c r="AH112" s="60" t="n">
        <x:f>'Scenario Inputs'!$C$20</x:f>
        <x:v>125000</x:v>
      </x:c>
      <x:c r="AI112" s="60" t="n">
        <x:f>'Scenario Inputs'!$C$20</x:f>
        <x:v>125000</x:v>
      </x:c>
      <x:c r="AJ112" s="60" t="n">
        <x:f>'Scenario Inputs'!$C$20</x:f>
        <x:v>125000</x:v>
      </x:c>
      <x:c r="AK112" s="60" t="n">
        <x:f>'Scenario Inputs'!$C$20</x:f>
        <x:v>125000</x:v>
      </x:c>
    </x:row>
    <x:row r="113" ht="18" customHeight="1">
      <x:c r="A113" s="4" t="str">
        <x:v>Paid CPC (INR)</x:v>
      </x:c>
      <x:c r="B113" s="64" t="n">
        <x:f>('Scenario Inputs'!$C$10*'Stress Inputs'!$C$6)*(1+'Scenario Inputs'!$C$11)^0</x:f>
        <x:v>30</x:v>
      </x:c>
      <x:c r="C113" s="64" t="n">
        <x:f>('Scenario Inputs'!$C$10*'Stress Inputs'!$C$6)*(1+'Scenario Inputs'!$C$11)^0</x:f>
        <x:v>30</x:v>
      </x:c>
      <x:c r="D113" s="64" t="n">
        <x:f>('Scenario Inputs'!$C$10*'Stress Inputs'!$C$6)*(1+'Scenario Inputs'!$C$11)^0</x:f>
        <x:v>30</x:v>
      </x:c>
      <x:c r="E113" s="64" t="n">
        <x:f>('Scenario Inputs'!$C$10*'Stress Inputs'!$C$6)*(1+'Scenario Inputs'!$C$11)^0</x:f>
        <x:v>30</x:v>
      </x:c>
      <x:c r="F113" s="64" t="n">
        <x:f>('Scenario Inputs'!$C$10*'Stress Inputs'!$C$6)*(1+'Scenario Inputs'!$C$11)^0</x:f>
        <x:v>30</x:v>
      </x:c>
      <x:c r="G113" s="64" t="n">
        <x:f>('Scenario Inputs'!$C$10*'Stress Inputs'!$C$6)*(1+'Scenario Inputs'!$C$11)^0</x:f>
        <x:v>30</x:v>
      </x:c>
      <x:c r="H113" s="64" t="n">
        <x:f>('Scenario Inputs'!$C$10*'Stress Inputs'!$C$6)*(1+'Scenario Inputs'!$C$11)^0</x:f>
        <x:v>30</x:v>
      </x:c>
      <x:c r="I113" s="64" t="n">
        <x:f>('Scenario Inputs'!$C$10*'Stress Inputs'!$C$6)*(1+'Scenario Inputs'!$C$11)^0</x:f>
        <x:v>30</x:v>
      </x:c>
      <x:c r="J113" s="64" t="n">
        <x:f>('Scenario Inputs'!$C$10*'Stress Inputs'!$C$6)*(1+'Scenario Inputs'!$C$11)^0</x:f>
        <x:v>30</x:v>
      </x:c>
      <x:c r="K113" s="64" t="n">
        <x:f>('Scenario Inputs'!$C$10*'Stress Inputs'!$C$6)*(1+'Scenario Inputs'!$C$11)^0</x:f>
        <x:v>30</x:v>
      </x:c>
      <x:c r="L113" s="64" t="n">
        <x:f>('Scenario Inputs'!$C$10*'Stress Inputs'!$C$6)*(1+'Scenario Inputs'!$C$11)^0</x:f>
        <x:v>30</x:v>
      </x:c>
      <x:c r="M113" s="64" t="n">
        <x:f>('Scenario Inputs'!$C$10*'Stress Inputs'!$C$6)*(1+'Scenario Inputs'!$C$11)^0</x:f>
        <x:v>30</x:v>
      </x:c>
      <x:c r="N113" s="64" t="n">
        <x:f>('Scenario Inputs'!$C$10*'Stress Inputs'!$C$6)*(1+'Scenario Inputs'!$C$11)^1</x:f>
        <x:v>33</x:v>
      </x:c>
      <x:c r="O113" s="64" t="n">
        <x:f>('Scenario Inputs'!$C$10*'Stress Inputs'!$C$6)*(1+'Scenario Inputs'!$C$11)^1</x:f>
        <x:v>33</x:v>
      </x:c>
      <x:c r="P113" s="64" t="n">
        <x:f>('Scenario Inputs'!$C$10*'Stress Inputs'!$C$6)*(1+'Scenario Inputs'!$C$11)^1</x:f>
        <x:v>33</x:v>
      </x:c>
      <x:c r="Q113" s="64" t="n">
        <x:f>('Scenario Inputs'!$C$10*'Stress Inputs'!$C$6)*(1+'Scenario Inputs'!$C$11)^1</x:f>
        <x:v>33</x:v>
      </x:c>
      <x:c r="R113" s="64" t="n">
        <x:f>('Scenario Inputs'!$C$10*'Stress Inputs'!$C$6)*(1+'Scenario Inputs'!$C$11)^1</x:f>
        <x:v>33</x:v>
      </x:c>
      <x:c r="S113" s="64" t="n">
        <x:f>('Scenario Inputs'!$C$10*'Stress Inputs'!$C$6)*(1+'Scenario Inputs'!$C$11)^1</x:f>
        <x:v>33</x:v>
      </x:c>
      <x:c r="T113" s="64" t="n">
        <x:f>('Scenario Inputs'!$C$10*'Stress Inputs'!$C$6)*(1+'Scenario Inputs'!$C$11)^1</x:f>
        <x:v>33</x:v>
      </x:c>
      <x:c r="U113" s="64" t="n">
        <x:f>('Scenario Inputs'!$C$10*'Stress Inputs'!$C$6)*(1+'Scenario Inputs'!$C$11)^1</x:f>
        <x:v>33</x:v>
      </x:c>
      <x:c r="V113" s="64" t="n">
        <x:f>('Scenario Inputs'!$C$10*'Stress Inputs'!$C$6)*(1+'Scenario Inputs'!$C$11)^1</x:f>
        <x:v>33</x:v>
      </x:c>
      <x:c r="W113" s="64" t="n">
        <x:f>('Scenario Inputs'!$C$10*'Stress Inputs'!$C$6)*(1+'Scenario Inputs'!$C$11)^1</x:f>
        <x:v>33</x:v>
      </x:c>
      <x:c r="X113" s="64" t="n">
        <x:f>('Scenario Inputs'!$C$10*'Stress Inputs'!$C$6)*(1+'Scenario Inputs'!$C$11)^1</x:f>
        <x:v>33</x:v>
      </x:c>
      <x:c r="Y113" s="64" t="n">
        <x:f>('Scenario Inputs'!$C$10*'Stress Inputs'!$C$6)*(1+'Scenario Inputs'!$C$11)^1</x:f>
        <x:v>33</x:v>
      </x:c>
      <x:c r="Z113" s="64" t="n">
        <x:f>('Scenario Inputs'!$C$10*'Stress Inputs'!$C$6)*(1+'Scenario Inputs'!$C$11)^2</x:f>
        <x:v>36.300000000000004</x:v>
      </x:c>
      <x:c r="AA113" s="64" t="n">
        <x:f>('Scenario Inputs'!$C$10*'Stress Inputs'!$C$6)*(1+'Scenario Inputs'!$C$11)^2</x:f>
        <x:v>36.300000000000004</x:v>
      </x:c>
      <x:c r="AB113" s="64" t="n">
        <x:f>('Scenario Inputs'!$C$10*'Stress Inputs'!$C$6)*(1+'Scenario Inputs'!$C$11)^2</x:f>
        <x:v>36.300000000000004</x:v>
      </x:c>
      <x:c r="AC113" s="64" t="n">
        <x:f>('Scenario Inputs'!$C$10*'Stress Inputs'!$C$6)*(1+'Scenario Inputs'!$C$11)^2</x:f>
        <x:v>36.300000000000004</x:v>
      </x:c>
      <x:c r="AD113" s="64" t="n">
        <x:f>('Scenario Inputs'!$C$10*'Stress Inputs'!$C$6)*(1+'Scenario Inputs'!$C$11)^2</x:f>
        <x:v>36.300000000000004</x:v>
      </x:c>
      <x:c r="AE113" s="64" t="n">
        <x:f>('Scenario Inputs'!$C$10*'Stress Inputs'!$C$6)*(1+'Scenario Inputs'!$C$11)^2</x:f>
        <x:v>36.300000000000004</x:v>
      </x:c>
      <x:c r="AF113" s="64" t="n">
        <x:f>('Scenario Inputs'!$C$10*'Stress Inputs'!$C$6)*(1+'Scenario Inputs'!$C$11)^2</x:f>
        <x:v>36.300000000000004</x:v>
      </x:c>
      <x:c r="AG113" s="64" t="n">
        <x:f>('Scenario Inputs'!$C$10*'Stress Inputs'!$C$6)*(1+'Scenario Inputs'!$C$11)^2</x:f>
        <x:v>36.300000000000004</x:v>
      </x:c>
      <x:c r="AH113" s="64" t="n">
        <x:f>('Scenario Inputs'!$C$10*'Stress Inputs'!$C$6)*(1+'Scenario Inputs'!$C$11)^2</x:f>
        <x:v>36.300000000000004</x:v>
      </x:c>
      <x:c r="AI113" s="64" t="n">
        <x:f>('Scenario Inputs'!$C$10*'Stress Inputs'!$C$6)*(1+'Scenario Inputs'!$C$11)^2</x:f>
        <x:v>36.300000000000004</x:v>
      </x:c>
      <x:c r="AJ113" s="64" t="n">
        <x:f>('Scenario Inputs'!$C$10*'Stress Inputs'!$C$6)*(1+'Scenario Inputs'!$C$11)^2</x:f>
        <x:v>36.300000000000004</x:v>
      </x:c>
      <x:c r="AK113" s="64" t="n">
        <x:f>('Scenario Inputs'!$C$10*'Stress Inputs'!$C$6)*(1+'Scenario Inputs'!$C$11)^2</x:f>
        <x:v>36.300000000000004</x:v>
      </x:c>
    </x:row>
    <x:row r="114" ht="18" customHeight="1">
      <x:c r="A114" s="4" t="str">
        <x:v>Paid clicks / prospect equivalents</x:v>
      </x:c>
      <x:c r="B114" s="58" t="n">
        <x:f>B112/B113</x:f>
        <x:v>200</x:v>
      </x:c>
      <x:c r="C114" s="58" t="n">
        <x:f>C112/C113</x:f>
        <x:v>200</x:v>
      </x:c>
      <x:c r="D114" s="58" t="n">
        <x:f>D112/D113</x:f>
        <x:v>200</x:v>
      </x:c>
      <x:c r="E114" s="58" t="n">
        <x:f>E112/E113</x:f>
        <x:v>400</x:v>
      </x:c>
      <x:c r="F114" s="58" t="n">
        <x:f>F112/F113</x:f>
        <x:v>400</x:v>
      </x:c>
      <x:c r="G114" s="58" t="n">
        <x:f>G112/G113</x:f>
        <x:v>400</x:v>
      </x:c>
      <x:c r="H114" s="58" t="n">
        <x:f>H112/H113</x:f>
        <x:v>833.3333333333334</x:v>
      </x:c>
      <x:c r="I114" s="58" t="n">
        <x:f>I112/I113</x:f>
        <x:v>833.3333333333334</x:v>
      </x:c>
      <x:c r="J114" s="58" t="n">
        <x:f>J112/J113</x:f>
        <x:v>833.3333333333334</x:v>
      </x:c>
      <x:c r="K114" s="58" t="n">
        <x:f>K112/K113</x:f>
        <x:v>833.3333333333334</x:v>
      </x:c>
      <x:c r="L114" s="58" t="n">
        <x:f>L112/L113</x:f>
        <x:v>833.3333333333334</x:v>
      </x:c>
      <x:c r="M114" s="58" t="n">
        <x:f>M112/M113</x:f>
        <x:v>833.3333333333334</x:v>
      </x:c>
      <x:c r="N114" s="58" t="n">
        <x:f>N112/N113</x:f>
        <x:v>1515.1515151515152</x:v>
      </x:c>
      <x:c r="O114" s="58" t="n">
        <x:f>O112/O113</x:f>
        <x:v>1515.1515151515152</x:v>
      </x:c>
      <x:c r="P114" s="58" t="n">
        <x:f>P112/P113</x:f>
        <x:v>1515.1515151515152</x:v>
      </x:c>
      <x:c r="Q114" s="58" t="n">
        <x:f>Q112/Q113</x:f>
        <x:v>1515.1515151515152</x:v>
      </x:c>
      <x:c r="R114" s="58" t="n">
        <x:f>R112/R113</x:f>
        <x:v>1515.1515151515152</x:v>
      </x:c>
      <x:c r="S114" s="58" t="n">
        <x:f>S112/S113</x:f>
        <x:v>1515.1515151515152</x:v>
      </x:c>
      <x:c r="T114" s="58" t="n">
        <x:f>T112/T113</x:f>
        <x:v>2272.7272727272725</x:v>
      </x:c>
      <x:c r="U114" s="58" t="n">
        <x:f>U112/U113</x:f>
        <x:v>2272.7272727272725</x:v>
      </x:c>
      <x:c r="V114" s="58" t="n">
        <x:f>V112/V113</x:f>
        <x:v>2272.7272727272725</x:v>
      </x:c>
      <x:c r="W114" s="58" t="n">
        <x:f>W112/W113</x:f>
        <x:v>2272.7272727272725</x:v>
      </x:c>
      <x:c r="X114" s="58" t="n">
        <x:f>X112/X113</x:f>
        <x:v>2272.7272727272725</x:v>
      </x:c>
      <x:c r="Y114" s="58" t="n">
        <x:f>Y112/Y113</x:f>
        <x:v>2272.7272727272725</x:v>
      </x:c>
      <x:c r="Z114" s="58" t="n">
        <x:f>Z112/Z113</x:f>
        <x:v>2754.820936639118</x:v>
      </x:c>
      <x:c r="AA114" s="58" t="n">
        <x:f>AA112/AA113</x:f>
        <x:v>2754.820936639118</x:v>
      </x:c>
      <x:c r="AB114" s="58" t="n">
        <x:f>AB112/AB113</x:f>
        <x:v>2754.820936639118</x:v>
      </x:c>
      <x:c r="AC114" s="58" t="n">
        <x:f>AC112/AC113</x:f>
        <x:v>2754.820936639118</x:v>
      </x:c>
      <x:c r="AD114" s="58" t="n">
        <x:f>AD112/AD113</x:f>
        <x:v>2754.820936639118</x:v>
      </x:c>
      <x:c r="AE114" s="58" t="n">
        <x:f>AE112/AE113</x:f>
        <x:v>2754.820936639118</x:v>
      </x:c>
      <x:c r="AF114" s="58" t="n">
        <x:f>AF112/AF113</x:f>
        <x:v>3443.5261707988975</x:v>
      </x:c>
      <x:c r="AG114" s="58" t="n">
        <x:f>AG112/AG113</x:f>
        <x:v>3443.5261707988975</x:v>
      </x:c>
      <x:c r="AH114" s="58" t="n">
        <x:f>AH112/AH113</x:f>
        <x:v>3443.5261707988975</x:v>
      </x:c>
      <x:c r="AI114" s="58" t="n">
        <x:f>AI112/AI113</x:f>
        <x:v>3443.5261707988975</x:v>
      </x:c>
      <x:c r="AJ114" s="58" t="n">
        <x:f>AJ112/AJ113</x:f>
        <x:v>3443.5261707988975</x:v>
      </x:c>
      <x:c r="AK114" s="58" t="n">
        <x:f>AK112/AK113</x:f>
        <x:v>3443.5261707988975</x:v>
      </x:c>
    </x:row>
    <x:row r="115" ht="18" customHeight="1">
      <x:c r="A115" s="4" t="str">
        <x:v>New gross buyers: organic</x:v>
      </x:c>
      <x:c r="B115" s="58" t="n">
        <x:f>B111*'Scenario Inputs'!$C$9</x:f>
        <x:v>15</x:v>
      </x:c>
      <x:c r="C115" s="58" t="n">
        <x:f>C111*'Scenario Inputs'!$C$9</x:f>
        <x:v>16.8</x:v>
      </x:c>
      <x:c r="D115" s="58" t="n">
        <x:f>D111*'Scenario Inputs'!$C$9</x:f>
        <x:v>18.816</x:v>
      </x:c>
      <x:c r="E115" s="58" t="n">
        <x:f>E111*'Scenario Inputs'!$C$9</x:f>
        <x:v>21.073920000000005</x:v>
      </x:c>
      <x:c r="F115" s="58" t="n">
        <x:f>F111*'Scenario Inputs'!$C$9</x:f>
        <x:v>23.602790400000007</x:v>
      </x:c>
      <x:c r="G115" s="58" t="n">
        <x:f>G111*'Scenario Inputs'!$C$9</x:f>
        <x:v>26.43512524800001</x:v>
      </x:c>
      <x:c r="H115" s="58" t="n">
        <x:f>H111*'Scenario Inputs'!$C$9</x:f>
        <x:v>29.607340277760017</x:v>
      </x:c>
      <x:c r="I115" s="58" t="n">
        <x:f>I111*'Scenario Inputs'!$C$9</x:f>
        <x:v>33.16022111109122</x:v>
      </x:c>
      <x:c r="J115" s="58" t="n">
        <x:f>J111*'Scenario Inputs'!$C$9</x:f>
        <x:v>37.13944764442216</x:v>
      </x:c>
      <x:c r="K115" s="58" t="n">
        <x:f>K111*'Scenario Inputs'!$C$9</x:f>
        <x:v>41.596181361752826</x:v>
      </x:c>
      <x:c r="L115" s="58" t="n">
        <x:f>L111*'Scenario Inputs'!$C$9</x:f>
        <x:v>46.58772312516317</x:v>
      </x:c>
      <x:c r="M115" s="58" t="n">
        <x:f>M111*'Scenario Inputs'!$C$9</x:f>
        <x:v>52.17824990018276</x:v>
      </x:c>
      <x:c r="N115" s="58" t="n">
        <x:f>N111*'Scenario Inputs'!$C$9</x:f>
        <x:v>56.35250989219738</x:v>
      </x:c>
      <x:c r="O115" s="58" t="n">
        <x:f>O111*'Scenario Inputs'!$C$9</x:f>
        <x:v>60.86071068357318</x:v>
      </x:c>
      <x:c r="P115" s="58" t="n">
        <x:f>P111*'Scenario Inputs'!$C$9</x:f>
        <x:v>65.72956753825905</x:v>
      </x:c>
      <x:c r="Q115" s="58" t="n">
        <x:f>Q111*'Scenario Inputs'!$C$9</x:f>
        <x:v>70.98793294131977</x:v>
      </x:c>
      <x:c r="R115" s="58" t="n">
        <x:f>R111*'Scenario Inputs'!$C$9</x:f>
        <x:v>76.66696757662535</x:v>
      </x:c>
      <x:c r="S115" s="58" t="n">
        <x:f>S111*'Scenario Inputs'!$C$9</x:f>
        <x:v>82.80032498275538</x:v>
      </x:c>
      <x:c r="T115" s="58" t="n">
        <x:f>T111*'Scenario Inputs'!$C$9</x:f>
        <x:v>89.42435098137582</x:v>
      </x:c>
      <x:c r="U115" s="58" t="n">
        <x:f>U111*'Scenario Inputs'!$C$9</x:f>
        <x:v>96.5782990598859</x:v>
      </x:c>
      <x:c r="V115" s="58" t="n">
        <x:f>V111*'Scenario Inputs'!$C$9</x:f>
        <x:v>104.30456298467676</x:v>
      </x:c>
      <x:c r="W115" s="58" t="n">
        <x:f>W111*'Scenario Inputs'!$C$9</x:f>
        <x:v>112.6489280234509</x:v>
      </x:c>
      <x:c r="X115" s="58" t="n">
        <x:f>X111*'Scenario Inputs'!$C$9</x:f>
        <x:v>121.66084226532699</x:v>
      </x:c>
      <x:c r="Y115" s="58" t="n">
        <x:f>Y111*'Scenario Inputs'!$C$9</x:f>
        <x:v>131.39370964655313</x:v>
      </x:c>
      <x:c r="Z115" s="58" t="n">
        <x:f>Z111*'Scenario Inputs'!$C$9</x:f>
        <x:v>139.27733222534636</x:v>
      </x:c>
      <x:c r="AA115" s="58" t="n">
        <x:f>AA111*'Scenario Inputs'!$C$9</x:f>
        <x:v>147.63397215886715</x:v>
      </x:c>
      <x:c r="AB115" s="58" t="n">
        <x:f>AB111*'Scenario Inputs'!$C$9</x:f>
        <x:v>156.4920104883992</x:v>
      </x:c>
      <x:c r="AC115" s="58" t="n">
        <x:f>AC111*'Scenario Inputs'!$C$9</x:f>
        <x:v>165.88153111770316</x:v>
      </x:c>
      <x:c r="AD115" s="58" t="n">
        <x:f>AD111*'Scenario Inputs'!$C$9</x:f>
        <x:v>175.83442298476535</x:v>
      </x:c>
      <x:c r="AE115" s="58" t="n">
        <x:f>AE111*'Scenario Inputs'!$C$9</x:f>
        <x:v>186.38448836385126</x:v>
      </x:c>
      <x:c r="AF115" s="58" t="n">
        <x:f>AF111*'Scenario Inputs'!$C$9</x:f>
        <x:v>197.56755766568233</x:v>
      </x:c>
      <x:c r="AG115" s="58" t="n">
        <x:f>AG111*'Scenario Inputs'!$C$9</x:f>
        <x:v>209.4216111256233</x:v>
      </x:c>
      <x:c r="AH115" s="58" t="n">
        <x:f>AH111*'Scenario Inputs'!$C$9</x:f>
        <x:v>221.98690779316073</x:v>
      </x:c>
      <x:c r="AI115" s="58" t="n">
        <x:f>AI111*'Scenario Inputs'!$C$9</x:f>
        <x:v>235.30612226075036</x:v>
      </x:c>
      <x:c r="AJ115" s="58" t="n">
        <x:f>AJ111*'Scenario Inputs'!$C$9</x:f>
        <x:v>249.4244895963954</x:v>
      </x:c>
      <x:c r="AK115" s="58" t="n">
        <x:f>AK111*'Scenario Inputs'!$C$9</x:f>
        <x:v>264.38995897217916</x:v>
      </x:c>
    </x:row>
    <x:row r="116" ht="18" customHeight="1">
      <x:c r="A116" s="4" t="str">
        <x:v>New gross buyers: paid</x:v>
      </x:c>
      <x:c r="B116" s="58" t="n">
        <x:f>B114*'Scenario Inputs'!$C$12</x:f>
        <x:v>4</x:v>
      </x:c>
      <x:c r="C116" s="58" t="n">
        <x:f>C114*'Scenario Inputs'!$C$12</x:f>
        <x:v>4</x:v>
      </x:c>
      <x:c r="D116" s="58" t="n">
        <x:f>D114*'Scenario Inputs'!$C$12</x:f>
        <x:v>4</x:v>
      </x:c>
      <x:c r="E116" s="58" t="n">
        <x:f>E114*'Scenario Inputs'!$C$12</x:f>
        <x:v>8</x:v>
      </x:c>
      <x:c r="F116" s="58" t="n">
        <x:f>F114*'Scenario Inputs'!$C$12</x:f>
        <x:v>8</x:v>
      </x:c>
      <x:c r="G116" s="58" t="n">
        <x:f>G114*'Scenario Inputs'!$C$12</x:f>
        <x:v>8</x:v>
      </x:c>
      <x:c r="H116" s="58" t="n">
        <x:f>H114*'Scenario Inputs'!$C$12</x:f>
        <x:v>16.666666666666668</x:v>
      </x:c>
      <x:c r="I116" s="58" t="n">
        <x:f>I114*'Scenario Inputs'!$C$12</x:f>
        <x:v>16.666666666666668</x:v>
      </x:c>
      <x:c r="J116" s="58" t="n">
        <x:f>J114*'Scenario Inputs'!$C$12</x:f>
        <x:v>16.666666666666668</x:v>
      </x:c>
      <x:c r="K116" s="58" t="n">
        <x:f>K114*'Scenario Inputs'!$C$12</x:f>
        <x:v>16.666666666666668</x:v>
      </x:c>
      <x:c r="L116" s="58" t="n">
        <x:f>L114*'Scenario Inputs'!$C$12</x:f>
        <x:v>16.666666666666668</x:v>
      </x:c>
      <x:c r="M116" s="58" t="n">
        <x:f>M114*'Scenario Inputs'!$C$12</x:f>
        <x:v>16.666666666666668</x:v>
      </x:c>
      <x:c r="N116" s="58" t="n">
        <x:f>N114*'Scenario Inputs'!$C$12</x:f>
        <x:v>30.303030303030305</x:v>
      </x:c>
      <x:c r="O116" s="58" t="n">
        <x:f>O114*'Scenario Inputs'!$C$12</x:f>
        <x:v>30.303030303030305</x:v>
      </x:c>
      <x:c r="P116" s="58" t="n">
        <x:f>P114*'Scenario Inputs'!$C$12</x:f>
        <x:v>30.303030303030305</x:v>
      </x:c>
      <x:c r="Q116" s="58" t="n">
        <x:f>Q114*'Scenario Inputs'!$C$12</x:f>
        <x:v>30.303030303030305</x:v>
      </x:c>
      <x:c r="R116" s="58" t="n">
        <x:f>R114*'Scenario Inputs'!$C$12</x:f>
        <x:v>30.303030303030305</x:v>
      </x:c>
      <x:c r="S116" s="58" t="n">
        <x:f>S114*'Scenario Inputs'!$C$12</x:f>
        <x:v>30.303030303030305</x:v>
      </x:c>
      <x:c r="T116" s="58" t="n">
        <x:f>T114*'Scenario Inputs'!$C$12</x:f>
        <x:v>45.45454545454545</x:v>
      </x:c>
      <x:c r="U116" s="58" t="n">
        <x:f>U114*'Scenario Inputs'!$C$12</x:f>
        <x:v>45.45454545454545</x:v>
      </x:c>
      <x:c r="V116" s="58" t="n">
        <x:f>V114*'Scenario Inputs'!$C$12</x:f>
        <x:v>45.45454545454545</x:v>
      </x:c>
      <x:c r="W116" s="58" t="n">
        <x:f>W114*'Scenario Inputs'!$C$12</x:f>
        <x:v>45.45454545454545</x:v>
      </x:c>
      <x:c r="X116" s="58" t="n">
        <x:f>X114*'Scenario Inputs'!$C$12</x:f>
        <x:v>45.45454545454545</x:v>
      </x:c>
      <x:c r="Y116" s="58" t="n">
        <x:f>Y114*'Scenario Inputs'!$C$12</x:f>
        <x:v>45.45454545454545</x:v>
      </x:c>
      <x:c r="Z116" s="58" t="n">
        <x:f>Z114*'Scenario Inputs'!$C$12</x:f>
        <x:v>55.09641873278236</x:v>
      </x:c>
      <x:c r="AA116" s="58" t="n">
        <x:f>AA114*'Scenario Inputs'!$C$12</x:f>
        <x:v>55.09641873278236</x:v>
      </x:c>
      <x:c r="AB116" s="58" t="n">
        <x:f>AB114*'Scenario Inputs'!$C$12</x:f>
        <x:v>55.09641873278236</x:v>
      </x:c>
      <x:c r="AC116" s="58" t="n">
        <x:f>AC114*'Scenario Inputs'!$C$12</x:f>
        <x:v>55.09641873278236</x:v>
      </x:c>
      <x:c r="AD116" s="58" t="n">
        <x:f>AD114*'Scenario Inputs'!$C$12</x:f>
        <x:v>55.09641873278236</x:v>
      </x:c>
      <x:c r="AE116" s="58" t="n">
        <x:f>AE114*'Scenario Inputs'!$C$12</x:f>
        <x:v>55.09641873278236</x:v>
      </x:c>
      <x:c r="AF116" s="58" t="n">
        <x:f>AF114*'Scenario Inputs'!$C$12</x:f>
        <x:v>68.87052341597796</x:v>
      </x:c>
      <x:c r="AG116" s="58" t="n">
        <x:f>AG114*'Scenario Inputs'!$C$12</x:f>
        <x:v>68.87052341597796</x:v>
      </x:c>
      <x:c r="AH116" s="58" t="n">
        <x:f>AH114*'Scenario Inputs'!$C$12</x:f>
        <x:v>68.87052341597796</x:v>
      </x:c>
      <x:c r="AI116" s="58" t="n">
        <x:f>AI114*'Scenario Inputs'!$C$12</x:f>
        <x:v>68.87052341597796</x:v>
      </x:c>
      <x:c r="AJ116" s="58" t="n">
        <x:f>AJ114*'Scenario Inputs'!$C$12</x:f>
        <x:v>68.87052341597796</x:v>
      </x:c>
      <x:c r="AK116" s="58" t="n">
        <x:f>AK114*'Scenario Inputs'!$C$12</x:f>
        <x:v>68.87052341597796</x:v>
      </x:c>
    </x:row>
    <x:row r="117" ht="18" customHeight="1">
      <x:c r="A117" s="4" t="str">
        <x:v>Total new gross buyers</x:v>
      </x:c>
      <x:c r="B117" s="58" t="n">
        <x:f>SUM(B115:B116)</x:f>
        <x:v>19</x:v>
      </x:c>
      <x:c r="C117" s="58" t="n">
        <x:f>SUM(C115:C116)</x:f>
        <x:v>20.8</x:v>
      </x:c>
      <x:c r="D117" s="58" t="n">
        <x:f>SUM(D115:D116)</x:f>
        <x:v>22.816</x:v>
      </x:c>
      <x:c r="E117" s="58" t="n">
        <x:f>SUM(E115:E116)</x:f>
        <x:v>29.073920000000005</x:v>
      </x:c>
      <x:c r="F117" s="58" t="n">
        <x:f>SUM(F115:F116)</x:f>
        <x:v>31.602790400000007</x:v>
      </x:c>
      <x:c r="G117" s="58" t="n">
        <x:f>SUM(G115:G116)</x:f>
        <x:v>34.435125248000006</x:v>
      </x:c>
      <x:c r="H117" s="58" t="n">
        <x:f>SUM(H115:H116)</x:f>
        <x:v>46.27400694442669</x:v>
      </x:c>
      <x:c r="I117" s="58" t="n">
        <x:f>SUM(I115:I116)</x:f>
        <x:v>49.82688777775789</x:v>
      </x:c>
      <x:c r="J117" s="58" t="n">
        <x:f>SUM(J115:J116)</x:f>
        <x:v>53.806114311088834</x:v>
      </x:c>
      <x:c r="K117" s="58" t="n">
        <x:f>SUM(K115:K116)</x:f>
        <x:v>58.2628480284195</x:v>
      </x:c>
      <x:c r="L117" s="58" t="n">
        <x:f>SUM(L115:L116)</x:f>
        <x:v>63.25438979182984</x:v>
      </x:c>
      <x:c r="M117" s="58" t="n">
        <x:f>SUM(M115:M116)</x:f>
        <x:v>68.84491656684943</x:v>
      </x:c>
      <x:c r="N117" s="58" t="n">
        <x:f>SUM(N115:N116)</x:f>
        <x:v>86.65554019522769</x:v>
      </x:c>
      <x:c r="O117" s="58" t="n">
        <x:f>SUM(O115:O116)</x:f>
        <x:v>91.16374098660349</x:v>
      </x:c>
      <x:c r="P117" s="58" t="n">
        <x:f>SUM(P115:P116)</x:f>
        <x:v>96.03259784128934</x:v>
      </x:c>
      <x:c r="Q117" s="58" t="n">
        <x:f>SUM(Q115:Q116)</x:f>
        <x:v>101.29096324435008</x:v>
      </x:c>
      <x:c r="R117" s="58" t="n">
        <x:f>SUM(R115:R116)</x:f>
        <x:v>106.96999787965566</x:v>
      </x:c>
      <x:c r="S117" s="58" t="n">
        <x:f>SUM(S115:S116)</x:f>
        <x:v>113.10335528578568</x:v>
      </x:c>
      <x:c r="T117" s="58" t="n">
        <x:f>SUM(T115:T116)</x:f>
        <x:v>134.87889643592126</x:v>
      </x:c>
      <x:c r="U117" s="58" t="n">
        <x:f>SUM(U115:U116)</x:f>
        <x:v>142.03284451443136</x:v>
      </x:c>
      <x:c r="V117" s="58" t="n">
        <x:f>SUM(V115:V116)</x:f>
        <x:v>149.75910843922222</x:v>
      </x:c>
      <x:c r="W117" s="58" t="n">
        <x:f>SUM(W115:W116)</x:f>
        <x:v>158.10347347799637</x:v>
      </x:c>
      <x:c r="X117" s="58" t="n">
        <x:f>SUM(X115:X116)</x:f>
        <x:v>167.11538771987244</x:v>
      </x:c>
      <x:c r="Y117" s="58" t="n">
        <x:f>SUM(Y115:Y116)</x:f>
        <x:v>176.84825510109857</x:v>
      </x:c>
      <x:c r="Z117" s="58" t="n">
        <x:f>SUM(Z115:Z116)</x:f>
        <x:v>194.3737509581287</x:v>
      </x:c>
      <x:c r="AA117" s="58" t="n">
        <x:f>SUM(AA115:AA116)</x:f>
        <x:v>202.7303908916495</x:v>
      </x:c>
      <x:c r="AB117" s="58" t="n">
        <x:f>SUM(AB115:AB116)</x:f>
        <x:v>211.58842922118154</x:v>
      </x:c>
      <x:c r="AC117" s="58" t="n">
        <x:f>SUM(AC115:AC116)</x:f>
        <x:v>220.97794985048552</x:v>
      </x:c>
      <x:c r="AD117" s="58" t="n">
        <x:f>SUM(AD115:AD116)</x:f>
        <x:v>230.9308417175477</x:v>
      </x:c>
      <x:c r="AE117" s="58" t="n">
        <x:f>SUM(AE115:AE116)</x:f>
        <x:v>241.48090709663362</x:v>
      </x:c>
      <x:c r="AF117" s="58" t="n">
        <x:f>SUM(AF115:AF116)</x:f>
        <x:v>266.4380810816603</x:v>
      </x:c>
      <x:c r="AG117" s="58" t="n">
        <x:f>SUM(AG115:AG116)</x:f>
        <x:v>278.29213454160123</x:v>
      </x:c>
      <x:c r="AH117" s="58" t="n">
        <x:f>SUM(AH115:AH116)</x:f>
        <x:v>290.85743120913867</x:v>
      </x:c>
      <x:c r="AI117" s="58" t="n">
        <x:f>SUM(AI115:AI116)</x:f>
        <x:v>304.1766456767283</x:v>
      </x:c>
      <x:c r="AJ117" s="58" t="n">
        <x:f>SUM(AJ115:AJ116)</x:f>
        <x:v>318.2950130123734</x:v>
      </x:c>
      <x:c r="AK117" s="58" t="n">
        <x:f>SUM(AK115:AK116)</x:f>
        <x:v>333.26048238815713</x:v>
      </x:c>
    </x:row>
    <x:row r="118" ht="18" customHeight="1">
      <x:c r="A118" s="4" t="str">
        <x:v>New buyers after refunds</x:v>
      </x:c>
      <x:c r="B118" s="58" t="n">
        <x:f>B117*(1-'Scenario Inputs'!$C$29)</x:f>
        <x:v>18.43</x:v>
      </x:c>
      <x:c r="C118" s="58" t="n">
        <x:f>C117*(1-'Scenario Inputs'!$C$29)</x:f>
        <x:v>20.176</x:v>
      </x:c>
      <x:c r="D118" s="58" t="n">
        <x:f>D117*(1-'Scenario Inputs'!$C$29)</x:f>
        <x:v>22.13152</x:v>
      </x:c>
      <x:c r="E118" s="58" t="n">
        <x:f>E117*(1-'Scenario Inputs'!$C$29)</x:f>
        <x:v>28.201702400000002</x:v>
      </x:c>
      <x:c r="F118" s="58" t="n">
        <x:f>F117*(1-'Scenario Inputs'!$C$29)</x:f>
        <x:v>30.654706688000005</x:v>
      </x:c>
      <x:c r="G118" s="58" t="n">
        <x:f>G117*(1-'Scenario Inputs'!$C$29)</x:f>
        <x:v>33.402071490560004</x:v>
      </x:c>
      <x:c r="H118" s="58" t="n">
        <x:f>H117*(1-'Scenario Inputs'!$C$29)</x:f>
        <x:v>44.885786736093884</x:v>
      </x:c>
      <x:c r="I118" s="58" t="n">
        <x:f>I117*(1-'Scenario Inputs'!$C$29)</x:f>
        <x:v>48.33208114442515</x:v>
      </x:c>
      <x:c r="J118" s="58" t="n">
        <x:f>J117*(1-'Scenario Inputs'!$C$29)</x:f>
        <x:v>52.191930881756164</x:v>
      </x:c>
      <x:c r="K118" s="58" t="n">
        <x:f>K117*(1-'Scenario Inputs'!$C$29)</x:f>
        <x:v>56.51496258756691</x:v>
      </x:c>
      <x:c r="L118" s="58" t="n">
        <x:f>L117*(1-'Scenario Inputs'!$C$29)</x:f>
        <x:v>61.35675809807494</x:v>
      </x:c>
      <x:c r="M118" s="58" t="n">
        <x:f>M117*(1-'Scenario Inputs'!$C$29)</x:f>
        <x:v>66.77956906984394</x:v>
      </x:c>
      <x:c r="N118" s="58" t="n">
        <x:f>N117*(1-'Scenario Inputs'!$C$29)</x:f>
        <x:v>84.05587398937085</x:v>
      </x:c>
      <x:c r="O118" s="58" t="n">
        <x:f>O117*(1-'Scenario Inputs'!$C$29)</x:f>
        <x:v>88.42882875700538</x:v>
      </x:c>
      <x:c r="P118" s="58" t="n">
        <x:f>P117*(1-'Scenario Inputs'!$C$29)</x:f>
        <x:v>93.15161990605066</x:v>
      </x:c>
      <x:c r="Q118" s="58" t="n">
        <x:f>Q117*(1-'Scenario Inputs'!$C$29)</x:f>
        <x:v>98.25223434701958</x:v>
      </x:c>
      <x:c r="R118" s="58" t="n">
        <x:f>R117*(1-'Scenario Inputs'!$C$29)</x:f>
        <x:v>103.76089794326599</x:v>
      </x:c>
      <x:c r="S118" s="58" t="n">
        <x:f>S117*(1-'Scenario Inputs'!$C$29)</x:f>
        <x:v>109.71025462721211</x:v>
      </x:c>
      <x:c r="T118" s="58" t="n">
        <x:f>T117*(1-'Scenario Inputs'!$C$29)</x:f>
        <x:v>130.83252954284362</x:v>
      </x:c>
      <x:c r="U118" s="58" t="n">
        <x:f>U117*(1-'Scenario Inputs'!$C$29)</x:f>
        <x:v>137.77185917899843</x:v>
      </x:c>
      <x:c r="V118" s="58" t="n">
        <x:f>V117*(1-'Scenario Inputs'!$C$29)</x:f>
        <x:v>145.26633518604555</x:v>
      </x:c>
      <x:c r="W118" s="58" t="n">
        <x:f>W117*(1-'Scenario Inputs'!$C$29)</x:f>
        <x:v>153.3603692736565</x:v>
      </x:c>
      <x:c r="X118" s="58" t="n">
        <x:f>X117*(1-'Scenario Inputs'!$C$29)</x:f>
        <x:v>162.10192608827626</x:v>
      </x:c>
      <x:c r="Y118" s="58" t="n">
        <x:f>Y117*(1-'Scenario Inputs'!$C$29)</x:f>
        <x:v>171.54280744806562</x:v>
      </x:c>
      <x:c r="Z118" s="58" t="n">
        <x:f>Z117*(1-'Scenario Inputs'!$C$29)</x:f>
        <x:v>188.54253842938485</x:v>
      </x:c>
      <x:c r="AA118" s="58" t="n">
        <x:f>AA117*(1-'Scenario Inputs'!$C$29)</x:f>
        <x:v>196.6484791649</x:v>
      </x:c>
      <x:c r="AB118" s="58" t="n">
        <x:f>AB117*(1-'Scenario Inputs'!$C$29)</x:f>
        <x:v>205.24077634454608</x:v>
      </x:c>
      <x:c r="AC118" s="58" t="n">
        <x:f>AC117*(1-'Scenario Inputs'!$C$29)</x:f>
        <x:v>214.34861135497096</x:v>
      </x:c>
      <x:c r="AD118" s="58" t="n">
        <x:f>AD117*(1-'Scenario Inputs'!$C$29)</x:f>
        <x:v>224.00291646602128</x:v>
      </x:c>
      <x:c r="AE118" s="58" t="n">
        <x:f>AE117*(1-'Scenario Inputs'!$C$29)</x:f>
        <x:v>234.2364798837346</x:v>
      </x:c>
      <x:c r="AF118" s="58" t="n">
        <x:f>AF117*(1-'Scenario Inputs'!$C$29)</x:f>
        <x:v>258.4449386492105</x:v>
      </x:c>
      <x:c r="AG118" s="58" t="n">
        <x:f>AG117*(1-'Scenario Inputs'!$C$29)</x:f>
        <x:v>269.9433705053532</x:v>
      </x:c>
      <x:c r="AH118" s="58" t="n">
        <x:f>AH117*(1-'Scenario Inputs'!$C$29)</x:f>
        <x:v>282.1317082728645</x:v>
      </x:c>
      <x:c r="AI118" s="58" t="n">
        <x:f>AI117*(1-'Scenario Inputs'!$C$29)</x:f>
        <x:v>295.05134630642647</x:v>
      </x:c>
      <x:c r="AJ118" s="58" t="n">
        <x:f>AJ117*(1-'Scenario Inputs'!$C$29)</x:f>
        <x:v>308.74616262200215</x:v>
      </x:c>
      <x:c r="AK118" s="58" t="n">
        <x:f>AK117*(1-'Scenario Inputs'!$C$29)</x:f>
        <x:v>323.2626679165124</x:v>
      </x:c>
    </x:row>
    <x:row r="119" ht="18" customHeight="1">
      <x:c r="A119" s="4" t="str">
        <x:v>Paid creative allowance (INR)</x:v>
      </x:c>
      <x:c r="B119" s="58" t="n">
        <x:f>B112*'Scenario Inputs'!$C$13</x:f>
        <x:v>1500</x:v>
      </x:c>
      <x:c r="C119" s="58" t="n">
        <x:f>C112*'Scenario Inputs'!$C$13</x:f>
        <x:v>1500</x:v>
      </x:c>
      <x:c r="D119" s="58" t="n">
        <x:f>D112*'Scenario Inputs'!$C$13</x:f>
        <x:v>1500</x:v>
      </x:c>
      <x:c r="E119" s="58" t="n">
        <x:f>E112*'Scenario Inputs'!$C$13</x:f>
        <x:v>3000</x:v>
      </x:c>
      <x:c r="F119" s="58" t="n">
        <x:f>F112*'Scenario Inputs'!$C$13</x:f>
        <x:v>3000</x:v>
      </x:c>
      <x:c r="G119" s="58" t="n">
        <x:f>G112*'Scenario Inputs'!$C$13</x:f>
        <x:v>3000</x:v>
      </x:c>
      <x:c r="H119" s="58" t="n">
        <x:f>H112*'Scenario Inputs'!$C$13</x:f>
        <x:v>6250</x:v>
      </x:c>
      <x:c r="I119" s="58" t="n">
        <x:f>I112*'Scenario Inputs'!$C$13</x:f>
        <x:v>6250</x:v>
      </x:c>
      <x:c r="J119" s="58" t="n">
        <x:f>J112*'Scenario Inputs'!$C$13</x:f>
        <x:v>6250</x:v>
      </x:c>
      <x:c r="K119" s="58" t="n">
        <x:f>K112*'Scenario Inputs'!$C$13</x:f>
        <x:v>6250</x:v>
      </x:c>
      <x:c r="L119" s="58" t="n">
        <x:f>L112*'Scenario Inputs'!$C$13</x:f>
        <x:v>6250</x:v>
      </x:c>
      <x:c r="M119" s="58" t="n">
        <x:f>M112*'Scenario Inputs'!$C$13</x:f>
        <x:v>6250</x:v>
      </x:c>
      <x:c r="N119" s="58" t="n">
        <x:f>N112*'Scenario Inputs'!$C$13</x:f>
        <x:v>12500</x:v>
      </x:c>
      <x:c r="O119" s="58" t="n">
        <x:f>O112*'Scenario Inputs'!$C$13</x:f>
        <x:v>12500</x:v>
      </x:c>
      <x:c r="P119" s="58" t="n">
        <x:f>P112*'Scenario Inputs'!$C$13</x:f>
        <x:v>12500</x:v>
      </x:c>
      <x:c r="Q119" s="58" t="n">
        <x:f>Q112*'Scenario Inputs'!$C$13</x:f>
        <x:v>12500</x:v>
      </x:c>
      <x:c r="R119" s="58" t="n">
        <x:f>R112*'Scenario Inputs'!$C$13</x:f>
        <x:v>12500</x:v>
      </x:c>
      <x:c r="S119" s="58" t="n">
        <x:f>S112*'Scenario Inputs'!$C$13</x:f>
        <x:v>12500</x:v>
      </x:c>
      <x:c r="T119" s="58" t="n">
        <x:f>T112*'Scenario Inputs'!$C$13</x:f>
        <x:v>18750</x:v>
      </x:c>
      <x:c r="U119" s="58" t="n">
        <x:f>U112*'Scenario Inputs'!$C$13</x:f>
        <x:v>18750</x:v>
      </x:c>
      <x:c r="V119" s="58" t="n">
        <x:f>V112*'Scenario Inputs'!$C$13</x:f>
        <x:v>18750</x:v>
      </x:c>
      <x:c r="W119" s="58" t="n">
        <x:f>W112*'Scenario Inputs'!$C$13</x:f>
        <x:v>18750</x:v>
      </x:c>
      <x:c r="X119" s="58" t="n">
        <x:f>X112*'Scenario Inputs'!$C$13</x:f>
        <x:v>18750</x:v>
      </x:c>
      <x:c r="Y119" s="58" t="n">
        <x:f>Y112*'Scenario Inputs'!$C$13</x:f>
        <x:v>18750</x:v>
      </x:c>
      <x:c r="Z119" s="58" t="n">
        <x:f>Z112*'Scenario Inputs'!$C$13</x:f>
        <x:v>25000</x:v>
      </x:c>
      <x:c r="AA119" s="58" t="n">
        <x:f>AA112*'Scenario Inputs'!$C$13</x:f>
        <x:v>25000</x:v>
      </x:c>
      <x:c r="AB119" s="58" t="n">
        <x:f>AB112*'Scenario Inputs'!$C$13</x:f>
        <x:v>25000</x:v>
      </x:c>
      <x:c r="AC119" s="58" t="n">
        <x:f>AC112*'Scenario Inputs'!$C$13</x:f>
        <x:v>25000</x:v>
      </x:c>
      <x:c r="AD119" s="58" t="n">
        <x:f>AD112*'Scenario Inputs'!$C$13</x:f>
        <x:v>25000</x:v>
      </x:c>
      <x:c r="AE119" s="58" t="n">
        <x:f>AE112*'Scenario Inputs'!$C$13</x:f>
        <x:v>25000</x:v>
      </x:c>
      <x:c r="AF119" s="58" t="n">
        <x:f>AF112*'Scenario Inputs'!$C$13</x:f>
        <x:v>31250</x:v>
      </x:c>
      <x:c r="AG119" s="58" t="n">
        <x:f>AG112*'Scenario Inputs'!$C$13</x:f>
        <x:v>31250</x:v>
      </x:c>
      <x:c r="AH119" s="58" t="n">
        <x:f>AH112*'Scenario Inputs'!$C$13</x:f>
        <x:v>31250</x:v>
      </x:c>
      <x:c r="AI119" s="58" t="n">
        <x:f>AI112*'Scenario Inputs'!$C$13</x:f>
        <x:v>31250</x:v>
      </x:c>
      <x:c r="AJ119" s="58" t="n">
        <x:f>AJ112*'Scenario Inputs'!$C$13</x:f>
        <x:v>31250</x:v>
      </x:c>
      <x:c r="AK119" s="58" t="n">
        <x:f>AK112*'Scenario Inputs'!$C$13</x:f>
        <x:v>31250</x:v>
      </x:c>
    </x:row>
    <x:row r="120" ht="18" customHeight="1">
      <x:c r="A120" s="4" t="str">
        <x:v>Organic / partner content cash (INR)</x:v>
      </x:c>
      <x:c r="B120" s="60" t="n">
        <x:f>'Scenario Inputs'!$C$21</x:f>
        <x:v>5000</x:v>
      </x:c>
      <x:c r="C120" s="60" t="n">
        <x:f>'Scenario Inputs'!$C$21</x:f>
        <x:v>5000</x:v>
      </x:c>
      <x:c r="D120" s="60" t="n">
        <x:f>'Scenario Inputs'!$C$21</x:f>
        <x:v>5000</x:v>
      </x:c>
      <x:c r="E120" s="60" t="n">
        <x:f>'Scenario Inputs'!$C$21</x:f>
        <x:v>5000</x:v>
      </x:c>
      <x:c r="F120" s="60" t="n">
        <x:f>'Scenario Inputs'!$C$21</x:f>
        <x:v>5000</x:v>
      </x:c>
      <x:c r="G120" s="60" t="n">
        <x:f>'Scenario Inputs'!$C$21</x:f>
        <x:v>5000</x:v>
      </x:c>
      <x:c r="H120" s="60" t="n">
        <x:f>'Scenario Inputs'!$C$21</x:f>
        <x:v>5000</x:v>
      </x:c>
      <x:c r="I120" s="60" t="n">
        <x:f>'Scenario Inputs'!$C$21</x:f>
        <x:v>5000</x:v>
      </x:c>
      <x:c r="J120" s="60" t="n">
        <x:f>'Scenario Inputs'!$C$21</x:f>
        <x:v>5000</x:v>
      </x:c>
      <x:c r="K120" s="60" t="n">
        <x:f>'Scenario Inputs'!$C$21</x:f>
        <x:v>5000</x:v>
      </x:c>
      <x:c r="L120" s="60" t="n">
        <x:f>'Scenario Inputs'!$C$21</x:f>
        <x:v>5000</x:v>
      </x:c>
      <x:c r="M120" s="60" t="n">
        <x:f>'Scenario Inputs'!$C$21</x:f>
        <x:v>5000</x:v>
      </x:c>
      <x:c r="N120" s="60" t="n">
        <x:f>'Scenario Inputs'!$C$22</x:f>
        <x:v>10000</x:v>
      </x:c>
      <x:c r="O120" s="60" t="n">
        <x:f>'Scenario Inputs'!$C$22</x:f>
        <x:v>10000</x:v>
      </x:c>
      <x:c r="P120" s="60" t="n">
        <x:f>'Scenario Inputs'!$C$22</x:f>
        <x:v>10000</x:v>
      </x:c>
      <x:c r="Q120" s="60" t="n">
        <x:f>'Scenario Inputs'!$C$22</x:f>
        <x:v>10000</x:v>
      </x:c>
      <x:c r="R120" s="60" t="n">
        <x:f>'Scenario Inputs'!$C$22</x:f>
        <x:v>10000</x:v>
      </x:c>
      <x:c r="S120" s="60" t="n">
        <x:f>'Scenario Inputs'!$C$22</x:f>
        <x:v>10000</x:v>
      </x:c>
      <x:c r="T120" s="60" t="n">
        <x:f>'Scenario Inputs'!$C$22</x:f>
        <x:v>10000</x:v>
      </x:c>
      <x:c r="U120" s="60" t="n">
        <x:f>'Scenario Inputs'!$C$22</x:f>
        <x:v>10000</x:v>
      </x:c>
      <x:c r="V120" s="60" t="n">
        <x:f>'Scenario Inputs'!$C$22</x:f>
        <x:v>10000</x:v>
      </x:c>
      <x:c r="W120" s="60" t="n">
        <x:f>'Scenario Inputs'!$C$22</x:f>
        <x:v>10000</x:v>
      </x:c>
      <x:c r="X120" s="60" t="n">
        <x:f>'Scenario Inputs'!$C$22</x:f>
        <x:v>10000</x:v>
      </x:c>
      <x:c r="Y120" s="60" t="n">
        <x:f>'Scenario Inputs'!$C$22</x:f>
        <x:v>10000</x:v>
      </x:c>
      <x:c r="Z120" s="60" t="n">
        <x:f>'Scenario Inputs'!$C$23</x:f>
        <x:v>15000</x:v>
      </x:c>
      <x:c r="AA120" s="60" t="n">
        <x:f>'Scenario Inputs'!$C$23</x:f>
        <x:v>15000</x:v>
      </x:c>
      <x:c r="AB120" s="60" t="n">
        <x:f>'Scenario Inputs'!$C$23</x:f>
        <x:v>15000</x:v>
      </x:c>
      <x:c r="AC120" s="60" t="n">
        <x:f>'Scenario Inputs'!$C$23</x:f>
        <x:v>15000</x:v>
      </x:c>
      <x:c r="AD120" s="60" t="n">
        <x:f>'Scenario Inputs'!$C$23</x:f>
        <x:v>15000</x:v>
      </x:c>
      <x:c r="AE120" s="60" t="n">
        <x:f>'Scenario Inputs'!$C$23</x:f>
        <x:v>15000</x:v>
      </x:c>
      <x:c r="AF120" s="60" t="n">
        <x:f>'Scenario Inputs'!$C$23</x:f>
        <x:v>15000</x:v>
      </x:c>
      <x:c r="AG120" s="60" t="n">
        <x:f>'Scenario Inputs'!$C$23</x:f>
        <x:v>15000</x:v>
      </x:c>
      <x:c r="AH120" s="60" t="n">
        <x:f>'Scenario Inputs'!$C$23</x:f>
        <x:v>15000</x:v>
      </x:c>
      <x:c r="AI120" s="60" t="n">
        <x:f>'Scenario Inputs'!$C$23</x:f>
        <x:v>15000</x:v>
      </x:c>
      <x:c r="AJ120" s="60" t="n">
        <x:f>'Scenario Inputs'!$C$23</x:f>
        <x:v>15000</x:v>
      </x:c>
      <x:c r="AK120" s="60" t="n">
        <x:f>'Scenario Inputs'!$C$23</x:f>
        <x:v>15000</x:v>
      </x:c>
    </x:row>
    <x:row r="121" ht="18" customHeight="1">
      <x:c r="A121" s="74" t="str">
        <x:v>TOTAL ACQUISITION SPEND (INR)</x:v>
      </x:c>
      <x:c r="B121" s="75" t="n">
        <x:f>B112+SUM(B119:B120)</x:f>
        <x:v>12500</x:v>
      </x:c>
      <x:c r="C121" s="75" t="n">
        <x:f>C112+SUM(C119:C120)</x:f>
        <x:v>12500</x:v>
      </x:c>
      <x:c r="D121" s="75" t="n">
        <x:f>D112+SUM(D119:D120)</x:f>
        <x:v>12500</x:v>
      </x:c>
      <x:c r="E121" s="75" t="n">
        <x:f>E112+SUM(E119:E120)</x:f>
        <x:v>20000</x:v>
      </x:c>
      <x:c r="F121" s="75" t="n">
        <x:f>F112+SUM(F119:F120)</x:f>
        <x:v>20000</x:v>
      </x:c>
      <x:c r="G121" s="75" t="n">
        <x:f>G112+SUM(G119:G120)</x:f>
        <x:v>20000</x:v>
      </x:c>
      <x:c r="H121" s="75" t="n">
        <x:f>H112+SUM(H119:H120)</x:f>
        <x:v>36250</x:v>
      </x:c>
      <x:c r="I121" s="75" t="n">
        <x:f>I112+SUM(I119:I120)</x:f>
        <x:v>36250</x:v>
      </x:c>
      <x:c r="J121" s="75" t="n">
        <x:f>J112+SUM(J119:J120)</x:f>
        <x:v>36250</x:v>
      </x:c>
      <x:c r="K121" s="75" t="n">
        <x:f>K112+SUM(K119:K120)</x:f>
        <x:v>36250</x:v>
      </x:c>
      <x:c r="L121" s="75" t="n">
        <x:f>L112+SUM(L119:L120)</x:f>
        <x:v>36250</x:v>
      </x:c>
      <x:c r="M121" s="75" t="n">
        <x:f>M112+SUM(M119:M120)</x:f>
        <x:v>36250</x:v>
      </x:c>
      <x:c r="N121" s="75" t="n">
        <x:f>N112+SUM(N119:N120)</x:f>
        <x:v>72500</x:v>
      </x:c>
      <x:c r="O121" s="75" t="n">
        <x:f>O112+SUM(O119:O120)</x:f>
        <x:v>72500</x:v>
      </x:c>
      <x:c r="P121" s="75" t="n">
        <x:f>P112+SUM(P119:P120)</x:f>
        <x:v>72500</x:v>
      </x:c>
      <x:c r="Q121" s="75" t="n">
        <x:f>Q112+SUM(Q119:Q120)</x:f>
        <x:v>72500</x:v>
      </x:c>
      <x:c r="R121" s="75" t="n">
        <x:f>R112+SUM(R119:R120)</x:f>
        <x:v>72500</x:v>
      </x:c>
      <x:c r="S121" s="75" t="n">
        <x:f>S112+SUM(S119:S120)</x:f>
        <x:v>72500</x:v>
      </x:c>
      <x:c r="T121" s="75" t="n">
        <x:f>T112+SUM(T119:T120)</x:f>
        <x:v>103750</x:v>
      </x:c>
      <x:c r="U121" s="75" t="n">
        <x:f>U112+SUM(U119:U120)</x:f>
        <x:v>103750</x:v>
      </x:c>
      <x:c r="V121" s="75" t="n">
        <x:f>V112+SUM(V119:V120)</x:f>
        <x:v>103750</x:v>
      </x:c>
      <x:c r="W121" s="75" t="n">
        <x:f>W112+SUM(W119:W120)</x:f>
        <x:v>103750</x:v>
      </x:c>
      <x:c r="X121" s="75" t="n">
        <x:f>X112+SUM(X119:X120)</x:f>
        <x:v>103750</x:v>
      </x:c>
      <x:c r="Y121" s="75" t="n">
        <x:f>Y112+SUM(Y119:Y120)</x:f>
        <x:v>103750</x:v>
      </x:c>
      <x:c r="Z121" s="75" t="n">
        <x:f>Z112+SUM(Z119:Z120)</x:f>
        <x:v>140000</x:v>
      </x:c>
      <x:c r="AA121" s="75" t="n">
        <x:f>AA112+SUM(AA119:AA120)</x:f>
        <x:v>140000</x:v>
      </x:c>
      <x:c r="AB121" s="75" t="n">
        <x:f>AB112+SUM(AB119:AB120)</x:f>
        <x:v>140000</x:v>
      </x:c>
      <x:c r="AC121" s="75" t="n">
        <x:f>AC112+SUM(AC119:AC120)</x:f>
        <x:v>140000</x:v>
      </x:c>
      <x:c r="AD121" s="75" t="n">
        <x:f>AD112+SUM(AD119:AD120)</x:f>
        <x:v>140000</x:v>
      </x:c>
      <x:c r="AE121" s="75" t="n">
        <x:f>AE112+SUM(AE119:AE120)</x:f>
        <x:v>140000</x:v>
      </x:c>
      <x:c r="AF121" s="75" t="n">
        <x:f>AF112+SUM(AF119:AF120)</x:f>
        <x:v>171250</x:v>
      </x:c>
      <x:c r="AG121" s="75" t="n">
        <x:f>AG112+SUM(AG119:AG120)</x:f>
        <x:v>171250</x:v>
      </x:c>
      <x:c r="AH121" s="75" t="n">
        <x:f>AH112+SUM(AH119:AH120)</x:f>
        <x:v>171250</x:v>
      </x:c>
      <x:c r="AI121" s="75" t="n">
        <x:f>AI112+SUM(AI119:AI120)</x:f>
        <x:v>171250</x:v>
      </x:c>
      <x:c r="AJ121" s="75" t="n">
        <x:f>AJ112+SUM(AJ119:AJ120)</x:f>
        <x:v>171250</x:v>
      </x:c>
      <x:c r="AK121" s="75" t="n">
        <x:f>AK112+SUM(AK119:AK120)</x:f>
        <x:v>171250</x:v>
      </x:c>
    </x:row>
    <x:row r="122" ht="18" customHeight="1">
      <x:c r="A122" s="4" t="str">
        <x:v>Blended cash CAC (INR / gross buyer)</x:v>
      </x:c>
      <x:c r="B122" s="64" t="n">
        <x:f>IFERROR(B121/B117,0)</x:f>
        <x:v>657.8947368421053</x:v>
      </x:c>
      <x:c r="C122" s="64" t="n">
        <x:f>IFERROR(C121/C117,0)</x:f>
        <x:v>600.9615384615385</x:v>
      </x:c>
      <x:c r="D122" s="64" t="n">
        <x:f>IFERROR(D121/D117,0)</x:f>
        <x:v>547.8611500701262</x:v>
      </x:c>
      <x:c r="E122" s="64" t="n">
        <x:f>IFERROR(E121/E117,0)</x:f>
        <x:v>687.9017346130139</x:v>
      </x:c>
      <x:c r="F122" s="64" t="n">
        <x:f>IFERROR(F121/F117,0)</x:f>
        <x:v>632.855508860382</x:v>
      </x:c>
      <x:c r="G122" s="64" t="n">
        <x:f>IFERROR(G121/G117,0)</x:f>
        <x:v>580.8023016022455</x:v>
      </x:c>
      <x:c r="H122" s="64" t="n">
        <x:f>IFERROR(H121/H117,0)</x:f>
        <x:v>783.3771569325056</x:v>
      </x:c>
      <x:c r="I122" s="64" t="n">
        <x:f>IFERROR(I121/I117,0)</x:f>
        <x:v>727.5188480903187</x:v>
      </x:c>
      <x:c r="J122" s="64" t="n">
        <x:f>IFERROR(J121/J117,0)</x:f>
        <x:v>673.7152545603778</x:v>
      </x:c>
      <x:c r="K122" s="64" t="n">
        <x:f>IFERROR(K121/K117,0)</x:f>
        <x:v>622.1803641030034</x:v>
      </x:c>
      <x:c r="L122" s="64" t="n">
        <x:f>IFERROR(L121/L117,0)</x:f>
        <x:v>573.0827555099137</x:v>
      </x:c>
      <x:c r="M122" s="64" t="n">
        <x:f>IFERROR(M121/M117,0)</x:f>
        <x:v>526.545775748028</x:v>
      </x:c>
      <x:c r="N122" s="64" t="n">
        <x:f>IFERROR(N121/N117,0)</x:f>
        <x:v>836.6458721123146</x:v>
      </x:c>
      <x:c r="O122" s="64" t="n">
        <x:f>IFERROR(O121/O117,0)</x:f>
        <x:v>795.2723222564317</x:v>
      </x:c>
      <x:c r="P122" s="64" t="n">
        <x:f>IFERROR(P121/P117,0)</x:f>
        <x:v>754.9519811993312</x:v>
      </x:c>
      <x:c r="Q122" s="64" t="n">
        <x:f>IFERROR(Q121/Q117,0)</x:f>
        <x:v>715.7598040123681</x:v>
      </x:c>
      <x:c r="R122" s="64" t="n">
        <x:f>IFERROR(R121/R117,0)</x:f>
        <x:v>677.760133094184</x:v>
      </x:c>
      <x:c r="S122" s="64" t="n">
        <x:f>IFERROR(S121/S117,0)</x:f>
        <x:v>641.0066245763398</x:v>
      </x:c>
      <x:c r="T122" s="64" t="n">
        <x:f>IFERROR(T121/T117,0)</x:f>
        <x:v>769.2085473822801</x:v>
      </x:c>
      <x:c r="U122" s="64" t="n">
        <x:f>IFERROR(U121/U117,0)</x:f>
        <x:v>730.4648467380262</x:v>
      </x:c>
      <x:c r="V122" s="64" t="n">
        <x:f>IFERROR(V121/V117,0)</x:f>
        <x:v>692.7792311350837</x:v>
      </x:c>
      <x:c r="W122" s="64" t="n">
        <x:f>IFERROR(W121/W117,0)</x:f>
        <x:v>656.2158168804503</x:v>
      </x:c>
      <x:c r="X122" s="64" t="n">
        <x:f>IFERROR(X121/X117,0)</x:f>
        <x:v>620.8285270169805</x:v>
      </x:c>
      <x:c r="Y122" s="64" t="n">
        <x:f>IFERROR(Y121/Y117,0)</x:f>
        <x:v>586.6611459677077</x:v>
      </x:c>
      <x:c r="Z122" s="64" t="n">
        <x:f>IFERROR(Z121/Z117,0)</x:f>
        <x:v>720.2618630854034</x:v>
      </x:c>
      <x:c r="AA122" s="64" t="n">
        <x:f>IFERROR(AA121/AA117,0)</x:f>
        <x:v>690.5723378929598</x:v>
      </x:c>
      <x:c r="AB122" s="64" t="n">
        <x:f>IFERROR(AB121/AB117,0)</x:f>
        <x:v>661.6618900916014</x:v>
      </x:c>
      <x:c r="AC122" s="64" t="n">
        <x:f>IFERROR(AC121/AC117,0)</x:f>
        <x:v>633.5473747255077</x:v>
      </x:c>
      <x:c r="AD122" s="64" t="n">
        <x:f>IFERROR(AD121/AD117,0)</x:f>
        <x:v>606.2421067656024</x:v>
      </x:c>
      <x:c r="AE122" s="64" t="n">
        <x:f>IFERROR(AE121/AE117,0)</x:f>
        <x:v>579.7559802273564</x:v>
      </x:c>
      <x:c r="AF122" s="64" t="n">
        <x:f>IFERROR(AF121/AF117,0)</x:f>
        <x:v>642.7384527946431</x:v>
      </x:c>
      <x:c r="AG122" s="64" t="n">
        <x:f>IFERROR(AG121/AG117,0)</x:f>
        <x:v>615.3605465065713</x:v>
      </x:c>
      <x:c r="AH122" s="64" t="n">
        <x:f>IFERROR(AH121/AH117,0)</x:f>
        <x:v>588.7764300471459</x:v>
      </x:c>
      <x:c r="AI122" s="64" t="n">
        <x:f>IFERROR(AI121/AI117,0)</x:f>
        <x:v>562.9952280491659</x:v>
      </x:c>
      <x:c r="AJ122" s="64" t="n">
        <x:f>IFERROR(AJ121/AJ117,0)</x:f>
        <x:v>538.0228812863708</x:v>
      </x:c>
      <x:c r="AK122" s="64" t="n">
        <x:f>IFERROR(AK121/AK117,0)</x:f>
        <x:v>513.8623060640616</x:v>
      </x:c>
    </x:row>
    <x:row r="123" ht="18" customHeight="1">
      <x:c r="A123" s="4" t="str">
        <x:v>Loaded paid-channel CAC (INR)</x:v>
      </x:c>
      <x:c r="B123" s="64" t="n">
        <x:f>IFERROR((B112+B119)/B116,0)</x:f>
        <x:v>1875</x:v>
      </x:c>
      <x:c r="C123" s="64" t="n">
        <x:f>IFERROR((C112+C119)/C116,0)</x:f>
        <x:v>1875</x:v>
      </x:c>
      <x:c r="D123" s="64" t="n">
        <x:f>IFERROR((D112+D119)/D116,0)</x:f>
        <x:v>1875</x:v>
      </x:c>
      <x:c r="E123" s="64" t="n">
        <x:f>IFERROR((E112+E119)/E116,0)</x:f>
        <x:v>1875</x:v>
      </x:c>
      <x:c r="F123" s="64" t="n">
        <x:f>IFERROR((F112+F119)/F116,0)</x:f>
        <x:v>1875</x:v>
      </x:c>
      <x:c r="G123" s="64" t="n">
        <x:f>IFERROR((G112+G119)/G116,0)</x:f>
        <x:v>1875</x:v>
      </x:c>
      <x:c r="H123" s="64" t="n">
        <x:f>IFERROR((H112+H119)/H116,0)</x:f>
        <x:v>1874.9999999999998</x:v>
      </x:c>
      <x:c r="I123" s="64" t="n">
        <x:f>IFERROR((I112+I119)/I116,0)</x:f>
        <x:v>1874.9999999999998</x:v>
      </x:c>
      <x:c r="J123" s="64" t="n">
        <x:f>IFERROR((J112+J119)/J116,0)</x:f>
        <x:v>1874.9999999999998</x:v>
      </x:c>
      <x:c r="K123" s="64" t="n">
        <x:f>IFERROR((K112+K119)/K116,0)</x:f>
        <x:v>1874.9999999999998</x:v>
      </x:c>
      <x:c r="L123" s="64" t="n">
        <x:f>IFERROR((L112+L119)/L116,0)</x:f>
        <x:v>1874.9999999999998</x:v>
      </x:c>
      <x:c r="M123" s="64" t="n">
        <x:f>IFERROR((M112+M119)/M116,0)</x:f>
        <x:v>1874.9999999999998</x:v>
      </x:c>
      <x:c r="N123" s="64" t="n">
        <x:f>IFERROR((N112+N119)/N116,0)</x:f>
        <x:v>2062.5</x:v>
      </x:c>
      <x:c r="O123" s="64" t="n">
        <x:f>IFERROR((O112+O119)/O116,0)</x:f>
        <x:v>2062.5</x:v>
      </x:c>
      <x:c r="P123" s="64" t="n">
        <x:f>IFERROR((P112+P119)/P116,0)</x:f>
        <x:v>2062.5</x:v>
      </x:c>
      <x:c r="Q123" s="64" t="n">
        <x:f>IFERROR((Q112+Q119)/Q116,0)</x:f>
        <x:v>2062.5</x:v>
      </x:c>
      <x:c r="R123" s="64" t="n">
        <x:f>IFERROR((R112+R119)/R116,0)</x:f>
        <x:v>2062.5</x:v>
      </x:c>
      <x:c r="S123" s="64" t="n">
        <x:f>IFERROR((S112+S119)/S116,0)</x:f>
        <x:v>2062.5</x:v>
      </x:c>
      <x:c r="T123" s="64" t="n">
        <x:f>IFERROR((T112+T119)/T116,0)</x:f>
        <x:v>2062.5</x:v>
      </x:c>
      <x:c r="U123" s="64" t="n">
        <x:f>IFERROR((U112+U119)/U116,0)</x:f>
        <x:v>2062.5</x:v>
      </x:c>
      <x:c r="V123" s="64" t="n">
        <x:f>IFERROR((V112+V119)/V116,0)</x:f>
        <x:v>2062.5</x:v>
      </x:c>
      <x:c r="W123" s="64" t="n">
        <x:f>IFERROR((W112+W119)/W116,0)</x:f>
        <x:v>2062.5</x:v>
      </x:c>
      <x:c r="X123" s="64" t="n">
        <x:f>IFERROR((X112+X119)/X116,0)</x:f>
        <x:v>2062.5</x:v>
      </x:c>
      <x:c r="Y123" s="64" t="n">
        <x:f>IFERROR((Y112+Y119)/Y116,0)</x:f>
        <x:v>2062.5</x:v>
      </x:c>
      <x:c r="Z123" s="64" t="n">
        <x:f>IFERROR((Z112+Z119)/Z116,0)</x:f>
        <x:v>2268.7500000000005</x:v>
      </x:c>
      <x:c r="AA123" s="64" t="n">
        <x:f>IFERROR((AA112+AA119)/AA116,0)</x:f>
        <x:v>2268.7500000000005</x:v>
      </x:c>
      <x:c r="AB123" s="64" t="n">
        <x:f>IFERROR((AB112+AB119)/AB116,0)</x:f>
        <x:v>2268.7500000000005</x:v>
      </x:c>
      <x:c r="AC123" s="64" t="n">
        <x:f>IFERROR((AC112+AC119)/AC116,0)</x:f>
        <x:v>2268.7500000000005</x:v>
      </x:c>
      <x:c r="AD123" s="64" t="n">
        <x:f>IFERROR((AD112+AD119)/AD116,0)</x:f>
        <x:v>2268.7500000000005</x:v>
      </x:c>
      <x:c r="AE123" s="64" t="n">
        <x:f>IFERROR((AE112+AE119)/AE116,0)</x:f>
        <x:v>2268.7500000000005</x:v>
      </x:c>
      <x:c r="AF123" s="64" t="n">
        <x:f>IFERROR((AF112+AF119)/AF116,0)</x:f>
        <x:v>2268.75</x:v>
      </x:c>
      <x:c r="AG123" s="64" t="n">
        <x:f>IFERROR((AG112+AG119)/AG116,0)</x:f>
        <x:v>2268.75</x:v>
      </x:c>
      <x:c r="AH123" s="64" t="n">
        <x:f>IFERROR((AH112+AH119)/AH116,0)</x:f>
        <x:v>2268.75</x:v>
      </x:c>
      <x:c r="AI123" s="64" t="n">
        <x:f>IFERROR((AI112+AI119)/AI116,0)</x:f>
        <x:v>2268.75</x:v>
      </x:c>
      <x:c r="AJ123" s="64" t="n">
        <x:f>IFERROR((AJ112+AJ119)/AJ116,0)</x:f>
        <x:v>2268.75</x:v>
      </x:c>
      <x:c r="AK123" s="64" t="n">
        <x:f>IFERROR((AK112+AK119)/AK116,0)</x:f>
        <x:v>2268.75</x:v>
      </x:c>
    </x:row>
    <x:row r="124" ht="18" customHeight="1">
      <x:c r="A124" s="4" t="str"/>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c r="AA124" s="58"/>
      <x:c r="AB124" s="58"/>
      <x:c r="AC124" s="58"/>
      <x:c r="AD124" s="58"/>
      <x:c r="AE124" s="58"/>
      <x:c r="AF124" s="58"/>
      <x:c r="AG124" s="58"/>
      <x:c r="AH124" s="58"/>
      <x:c r="AI124" s="58"/>
      <x:c r="AJ124" s="58"/>
      <x:c r="AK124" s="58"/>
    </x:row>
    <x:row r="125" ht="18" customHeight="1">
      <x:c r="A125" s="4" t="str">
        <x:v>New annual payers after refunds</x:v>
      </x:c>
      <x:c r="B125" s="58" t="n">
        <x:f>B117*'Scenario Inputs'!$C$27*(1-'Scenario Inputs'!$C$29)</x:f>
        <x:v>13.8225</x:v>
      </x:c>
      <x:c r="C125" s="58" t="n">
        <x:f>C117*'Scenario Inputs'!$C$27*(1-'Scenario Inputs'!$C$29)</x:f>
        <x:v>15.132000000000001</x:v>
      </x:c>
      <x:c r="D125" s="58" t="n">
        <x:f>D117*'Scenario Inputs'!$C$27*(1-'Scenario Inputs'!$C$29)</x:f>
        <x:v>16.59864</x:v>
      </x:c>
      <x:c r="E125" s="58" t="n">
        <x:f>E117*'Scenario Inputs'!$C$27*(1-'Scenario Inputs'!$C$29)</x:f>
        <x:v>21.151276800000005</x:v>
      </x:c>
      <x:c r="F125" s="58" t="n">
        <x:f>F117*'Scenario Inputs'!$C$27*(1-'Scenario Inputs'!$C$29)</x:f>
        <x:v>22.991030016000007</x:v>
      </x:c>
      <x:c r="G125" s="58" t="n">
        <x:f>G117*'Scenario Inputs'!$C$27*(1-'Scenario Inputs'!$C$29)</x:f>
        <x:v>25.051553617920003</x:v>
      </x:c>
      <x:c r="H125" s="58" t="n">
        <x:f>H117*'Scenario Inputs'!$C$27*(1-'Scenario Inputs'!$C$29)</x:f>
        <x:v>33.664340052070415</x:v>
      </x:c>
      <x:c r="I125" s="58" t="n">
        <x:f>I117*'Scenario Inputs'!$C$27*(1-'Scenario Inputs'!$C$29)</x:f>
        <x:v>36.24906085831886</x:v>
      </x:c>
      <x:c r="J125" s="58" t="n">
        <x:f>J117*'Scenario Inputs'!$C$27*(1-'Scenario Inputs'!$C$29)</x:f>
        <x:v>39.14394816131713</x:v>
      </x:c>
      <x:c r="K125" s="58" t="n">
        <x:f>K117*'Scenario Inputs'!$C$27*(1-'Scenario Inputs'!$C$29)</x:f>
        <x:v>42.38622194067518</x:v>
      </x:c>
      <x:c r="L125" s="58" t="n">
        <x:f>L117*'Scenario Inputs'!$C$27*(1-'Scenario Inputs'!$C$29)</x:f>
        <x:v>46.017568573556204</x:v>
      </x:c>
      <x:c r="M125" s="58" t="n">
        <x:f>M117*'Scenario Inputs'!$C$27*(1-'Scenario Inputs'!$C$29)</x:f>
        <x:v>50.084676802382965</x:v>
      </x:c>
      <x:c r="N125" s="58" t="n">
        <x:f>N117*'Scenario Inputs'!$C$27*(1-'Scenario Inputs'!$C$29)</x:f>
        <x:v>63.04190549202814</x:v>
      </x:c>
      <x:c r="O125" s="58" t="n">
        <x:f>O117*'Scenario Inputs'!$C$27*(1-'Scenario Inputs'!$C$29)</x:f>
        <x:v>66.32162156775404</x:v>
      </x:c>
      <x:c r="P125" s="58" t="n">
        <x:f>P117*'Scenario Inputs'!$C$27*(1-'Scenario Inputs'!$C$29)</x:f>
        <x:v>69.863714929538</x:v>
      </x:c>
      <x:c r="Q125" s="58" t="n">
        <x:f>Q117*'Scenario Inputs'!$C$27*(1-'Scenario Inputs'!$C$29)</x:f>
        <x:v>73.68917576026467</x:v>
      </x:c>
      <x:c r="R125" s="58" t="n">
        <x:f>R117*'Scenario Inputs'!$C$27*(1-'Scenario Inputs'!$C$29)</x:f>
        <x:v>77.82067345744949</x:v>
      </x:c>
      <x:c r="S125" s="58" t="n">
        <x:f>S117*'Scenario Inputs'!$C$27*(1-'Scenario Inputs'!$C$29)</x:f>
        <x:v>82.28269097040908</x:v>
      </x:c>
      <x:c r="T125" s="58" t="n">
        <x:f>T117*'Scenario Inputs'!$C$27*(1-'Scenario Inputs'!$C$29)</x:f>
        <x:v>98.12439715713272</x:v>
      </x:c>
      <x:c r="U125" s="58" t="n">
        <x:f>U117*'Scenario Inputs'!$C$27*(1-'Scenario Inputs'!$C$29)</x:f>
        <x:v>103.32889438424881</x:v>
      </x:c>
      <x:c r="V125" s="58" t="n">
        <x:f>V117*'Scenario Inputs'!$C$27*(1-'Scenario Inputs'!$C$29)</x:f>
        <x:v>108.94975138953416</x:v>
      </x:c>
      <x:c r="W125" s="58" t="n">
        <x:f>W117*'Scenario Inputs'!$C$27*(1-'Scenario Inputs'!$C$29)</x:f>
        <x:v>115.02027695524237</x:v>
      </x:c>
      <x:c r="X125" s="58" t="n">
        <x:f>X117*'Scenario Inputs'!$C$27*(1-'Scenario Inputs'!$C$29)</x:f>
        <x:v>121.5764445662072</x:v>
      </x:c>
      <x:c r="Y125" s="58" t="n">
        <x:f>Y117*'Scenario Inputs'!$C$27*(1-'Scenario Inputs'!$C$29)</x:f>
        <x:v>128.6571055860492</x:v>
      </x:c>
      <x:c r="Z125" s="58" t="n">
        <x:f>Z117*'Scenario Inputs'!$C$27*(1-'Scenario Inputs'!$C$29)</x:f>
        <x:v>141.40690382203863</x:v>
      </x:c>
      <x:c r="AA125" s="58" t="n">
        <x:f>AA117*'Scenario Inputs'!$C$27*(1-'Scenario Inputs'!$C$29)</x:f>
        <x:v>147.48635937367501</x:v>
      </x:c>
      <x:c r="AB125" s="58" t="n">
        <x:f>AB117*'Scenario Inputs'!$C$27*(1-'Scenario Inputs'!$C$29)</x:f>
        <x:v>153.93058225840957</x:v>
      </x:c>
      <x:c r="AC125" s="58" t="n">
        <x:f>AC117*'Scenario Inputs'!$C$27*(1-'Scenario Inputs'!$C$29)</x:f>
        <x:v>160.7614585162282</x:v>
      </x:c>
      <x:c r="AD125" s="58" t="n">
        <x:f>AD117*'Scenario Inputs'!$C$27*(1-'Scenario Inputs'!$C$29)</x:f>
        <x:v>168.00218734951594</x:v>
      </x:c>
      <x:c r="AE125" s="58" t="n">
        <x:f>AE117*'Scenario Inputs'!$C$27*(1-'Scenario Inputs'!$C$29)</x:f>
        <x:v>175.67735991280097</x:v>
      </x:c>
      <x:c r="AF125" s="58" t="n">
        <x:f>AF117*'Scenario Inputs'!$C$27*(1-'Scenario Inputs'!$C$29)</x:f>
        <x:v>193.83370398690784</x:v>
      </x:c>
      <x:c r="AG125" s="58" t="n">
        <x:f>AG117*'Scenario Inputs'!$C$27*(1-'Scenario Inputs'!$C$29)</x:f>
        <x:v>202.4575278790149</x:v>
      </x:c>
      <x:c r="AH125" s="58" t="n">
        <x:f>AH117*'Scenario Inputs'!$C$27*(1-'Scenario Inputs'!$C$29)</x:f>
        <x:v>211.59878120464836</x:v>
      </x:c>
      <x:c r="AI125" s="58" t="n">
        <x:f>AI117*'Scenario Inputs'!$C$27*(1-'Scenario Inputs'!$C$29)</x:f>
        <x:v>221.28850972981982</x:v>
      </x:c>
      <x:c r="AJ125" s="58" t="n">
        <x:f>AJ117*'Scenario Inputs'!$C$27*(1-'Scenario Inputs'!$C$29)</x:f>
        <x:v>231.55962196650162</x:v>
      </x:c>
      <x:c r="AK125" s="58" t="n">
        <x:f>AK117*'Scenario Inputs'!$C$27*(1-'Scenario Inputs'!$C$29)</x:f>
        <x:v>242.4470009373843</x:v>
      </x:c>
    </x:row>
    <x:row r="126" ht="18" customHeight="1">
      <x:c r="A126" s="4" t="str">
        <x:v>First annual renewals after refunds</x:v>
      </x:c>
      <x:c r="B126" s="58" t="n">
        <x:f>0*'Scenario Inputs'!$C$30*(1-'Scenario Inputs'!$C$29)</x:f>
        <x:v>0</x:v>
      </x:c>
      <x:c r="C126" s="58" t="n">
        <x:f>0*'Scenario Inputs'!$C$30*(1-'Scenario Inputs'!$C$29)</x:f>
        <x:v>0</x:v>
      </x:c>
      <x:c r="D126" s="58" t="n">
        <x:f>0*'Scenario Inputs'!$C$30*(1-'Scenario Inputs'!$C$29)</x:f>
        <x:v>0</x:v>
      </x:c>
      <x:c r="E126" s="58" t="n">
        <x:f>0*'Scenario Inputs'!$C$30*(1-'Scenario Inputs'!$C$29)</x:f>
        <x:v>0</x:v>
      </x:c>
      <x:c r="F126" s="58" t="n">
        <x:f>0*'Scenario Inputs'!$C$30*(1-'Scenario Inputs'!$C$29)</x:f>
        <x:v>0</x:v>
      </x:c>
      <x:c r="G126" s="58" t="n">
        <x:f>0*'Scenario Inputs'!$C$30*(1-'Scenario Inputs'!$C$29)</x:f>
        <x:v>0</x:v>
      </x:c>
      <x:c r="H126" s="58" t="n">
        <x:f>0*'Scenario Inputs'!$C$30*(1-'Scenario Inputs'!$C$29)</x:f>
        <x:v>0</x:v>
      </x:c>
      <x:c r="I126" s="58" t="n">
        <x:f>0*'Scenario Inputs'!$C$30*(1-'Scenario Inputs'!$C$29)</x:f>
        <x:v>0</x:v>
      </x:c>
      <x:c r="J126" s="58" t="n">
        <x:f>0*'Scenario Inputs'!$C$30*(1-'Scenario Inputs'!$C$29)</x:f>
        <x:v>0</x:v>
      </x:c>
      <x:c r="K126" s="58" t="n">
        <x:f>0*'Scenario Inputs'!$C$30*(1-'Scenario Inputs'!$C$29)</x:f>
        <x:v>0</x:v>
      </x:c>
      <x:c r="L126" s="58" t="n">
        <x:f>0*'Scenario Inputs'!$C$30*(1-'Scenario Inputs'!$C$29)</x:f>
        <x:v>0</x:v>
      </x:c>
      <x:c r="M126" s="58" t="n">
        <x:f>0*'Scenario Inputs'!$C$30*(1-'Scenario Inputs'!$C$29)</x:f>
        <x:v>0</x:v>
      </x:c>
      <x:c r="N126" s="58" t="n">
        <x:f>B125*'Scenario Inputs'!$C$30*(1-'Scenario Inputs'!$C$29)</x:f>
        <x:v>4.0223474999999995</x:v>
      </x:c>
      <x:c r="O126" s="58" t="n">
        <x:f>C125*'Scenario Inputs'!$C$30*(1-'Scenario Inputs'!$C$29)</x:f>
        <x:v>4.403412</x:v>
      </x:c>
      <x:c r="P126" s="58" t="n">
        <x:f>D125*'Scenario Inputs'!$C$30*(1-'Scenario Inputs'!$C$29)</x:f>
        <x:v>4.83020424</x:v>
      </x:c>
      <x:c r="Q126" s="58" t="n">
        <x:f>E125*'Scenario Inputs'!$C$30*(1-'Scenario Inputs'!$C$29)</x:f>
        <x:v>6.1550215488000015</x:v>
      </x:c>
      <x:c r="R126" s="58" t="n">
        <x:f>F125*'Scenario Inputs'!$C$30*(1-'Scenario Inputs'!$C$29)</x:f>
        <x:v>6.6903897346560015</x:v>
      </x:c>
      <x:c r="S126" s="58" t="n">
        <x:f>G125*'Scenario Inputs'!$C$30*(1-'Scenario Inputs'!$C$29)</x:f>
        <x:v>7.290002102814721</x:v>
      </x:c>
      <x:c r="T126" s="58" t="n">
        <x:f>H125*'Scenario Inputs'!$C$30*(1-'Scenario Inputs'!$C$29)</x:f>
        <x:v>9.79632295515249</x:v>
      </x:c>
      <x:c r="U126" s="58" t="n">
        <x:f>I125*'Scenario Inputs'!$C$30*(1-'Scenario Inputs'!$C$29)</x:f>
        <x:v>10.548476709770789</x:v>
      </x:c>
      <x:c r="V126" s="58" t="n">
        <x:f>J125*'Scenario Inputs'!$C$30*(1-'Scenario Inputs'!$C$29)</x:f>
        <x:v>11.390888914943282</x:v>
      </x:c>
      <x:c r="W126" s="58" t="n">
        <x:f>K125*'Scenario Inputs'!$C$30*(1-'Scenario Inputs'!$C$29)</x:f>
        <x:v>12.334390584736475</x:v>
      </x:c>
      <x:c r="X126" s="58" t="n">
        <x:f>L125*'Scenario Inputs'!$C$30*(1-'Scenario Inputs'!$C$29)</x:f>
        <x:v>13.391112454904855</x:v>
      </x:c>
      <x:c r="Y126" s="58" t="n">
        <x:f>M125*'Scenario Inputs'!$C$30*(1-'Scenario Inputs'!$C$29)</x:f>
        <x:v>14.57464094949344</x:v>
      </x:c>
      <x:c r="Z126" s="58" t="n">
        <x:f>N125*'Scenario Inputs'!$C$30*(1-'Scenario Inputs'!$C$29)</x:f>
        <x:v>18.345194498180188</x:v>
      </x:c>
      <x:c r="AA126" s="58" t="n">
        <x:f>O125*'Scenario Inputs'!$C$30*(1-'Scenario Inputs'!$C$29)</x:f>
        <x:v>19.29959187621642</x:v>
      </x:c>
      <x:c r="AB126" s="58" t="n">
        <x:f>P125*'Scenario Inputs'!$C$30*(1-'Scenario Inputs'!$C$29)</x:f>
        <x:v>20.330341044495558</x:v>
      </x:c>
      <x:c r="AC126" s="58" t="n">
        <x:f>Q125*'Scenario Inputs'!$C$30*(1-'Scenario Inputs'!$C$29)</x:f>
        <x:v>21.44355014623702</x:v>
      </x:c>
      <x:c r="AD126" s="58" t="n">
        <x:f>R125*'Scenario Inputs'!$C$30*(1-'Scenario Inputs'!$C$29)</x:f>
        <x:v>22.6458159761178</x:v>
      </x:c>
      <x:c r="AE126" s="58" t="n">
        <x:f>S125*'Scenario Inputs'!$C$30*(1-'Scenario Inputs'!$C$29)</x:f>
        <x:v>23.94426307238904</x:v>
      </x:c>
      <x:c r="AF126" s="58" t="n">
        <x:f>T125*'Scenario Inputs'!$C$30*(1-'Scenario Inputs'!$C$29)</x:f>
        <x:v>28.55419957272562</x:v>
      </x:c>
      <x:c r="AG126" s="58" t="n">
        <x:f>U125*'Scenario Inputs'!$C$30*(1-'Scenario Inputs'!$C$29)</x:f>
        <x:v>30.0687082658164</x:v>
      </x:c>
      <x:c r="AH126" s="58" t="n">
        <x:f>V125*'Scenario Inputs'!$C$30*(1-'Scenario Inputs'!$C$29)</x:f>
        <x:v>31.704377654354438</x:v>
      </x:c>
      <x:c r="AI126" s="58" t="n">
        <x:f>W125*'Scenario Inputs'!$C$30*(1-'Scenario Inputs'!$C$29)</x:f>
        <x:v>33.47090059397553</x:v>
      </x:c>
      <x:c r="AJ126" s="58" t="n">
        <x:f>X125*'Scenario Inputs'!$C$30*(1-'Scenario Inputs'!$C$29)</x:f>
        <x:v>35.378745368766296</x:v>
      </x:c>
      <x:c r="AK126" s="58" t="n">
        <x:f>Y125*'Scenario Inputs'!$C$30*(1-'Scenario Inputs'!$C$29)</x:f>
        <x:v>37.43921772554032</x:v>
      </x:c>
    </x:row>
    <x:row r="127" ht="18" customHeight="1">
      <x:c r="A127" s="4" t="str">
        <x:v>Second annual renewals after refunds</x:v>
      </x:c>
      <x:c r="B127" s="58" t="n">
        <x:f>0*'Scenario Inputs'!$C$31*(1-'Scenario Inputs'!$C$29)</x:f>
        <x:v>0</x:v>
      </x:c>
      <x:c r="C127" s="58" t="n">
        <x:f>0*'Scenario Inputs'!$C$31*(1-'Scenario Inputs'!$C$29)</x:f>
        <x:v>0</x:v>
      </x:c>
      <x:c r="D127" s="58" t="n">
        <x:f>0*'Scenario Inputs'!$C$31*(1-'Scenario Inputs'!$C$29)</x:f>
        <x:v>0</x:v>
      </x:c>
      <x:c r="E127" s="58" t="n">
        <x:f>0*'Scenario Inputs'!$C$31*(1-'Scenario Inputs'!$C$29)</x:f>
        <x:v>0</x:v>
      </x:c>
      <x:c r="F127" s="58" t="n">
        <x:f>0*'Scenario Inputs'!$C$31*(1-'Scenario Inputs'!$C$29)</x:f>
        <x:v>0</x:v>
      </x:c>
      <x:c r="G127" s="58" t="n">
        <x:f>0*'Scenario Inputs'!$C$31*(1-'Scenario Inputs'!$C$29)</x:f>
        <x:v>0</x:v>
      </x:c>
      <x:c r="H127" s="58" t="n">
        <x:f>0*'Scenario Inputs'!$C$31*(1-'Scenario Inputs'!$C$29)</x:f>
        <x:v>0</x:v>
      </x:c>
      <x:c r="I127" s="58" t="n">
        <x:f>0*'Scenario Inputs'!$C$31*(1-'Scenario Inputs'!$C$29)</x:f>
        <x:v>0</x:v>
      </x:c>
      <x:c r="J127" s="58" t="n">
        <x:f>0*'Scenario Inputs'!$C$31*(1-'Scenario Inputs'!$C$29)</x:f>
        <x:v>0</x:v>
      </x:c>
      <x:c r="K127" s="58" t="n">
        <x:f>0*'Scenario Inputs'!$C$31*(1-'Scenario Inputs'!$C$29)</x:f>
        <x:v>0</x:v>
      </x:c>
      <x:c r="L127" s="58" t="n">
        <x:f>0*'Scenario Inputs'!$C$31*(1-'Scenario Inputs'!$C$29)</x:f>
        <x:v>0</x:v>
      </x:c>
      <x:c r="M127" s="58" t="n">
        <x:f>0*'Scenario Inputs'!$C$31*(1-'Scenario Inputs'!$C$29)</x:f>
        <x:v>0</x:v>
      </x:c>
      <x:c r="N127" s="58" t="n">
        <x:f>B126*'Scenario Inputs'!$C$31*(1-'Scenario Inputs'!$C$29)</x:f>
        <x:v>0</x:v>
      </x:c>
      <x:c r="O127" s="58" t="n">
        <x:f>C126*'Scenario Inputs'!$C$31*(1-'Scenario Inputs'!$C$29)</x:f>
        <x:v>0</x:v>
      </x:c>
      <x:c r="P127" s="58" t="n">
        <x:f>D126*'Scenario Inputs'!$C$31*(1-'Scenario Inputs'!$C$29)</x:f>
        <x:v>0</x:v>
      </x:c>
      <x:c r="Q127" s="58" t="n">
        <x:f>E126*'Scenario Inputs'!$C$31*(1-'Scenario Inputs'!$C$29)</x:f>
        <x:v>0</x:v>
      </x:c>
      <x:c r="R127" s="58" t="n">
        <x:f>F126*'Scenario Inputs'!$C$31*(1-'Scenario Inputs'!$C$29)</x:f>
        <x:v>0</x:v>
      </x:c>
      <x:c r="S127" s="58" t="n">
        <x:f>G126*'Scenario Inputs'!$C$31*(1-'Scenario Inputs'!$C$29)</x:f>
        <x:v>0</x:v>
      </x:c>
      <x:c r="T127" s="58" t="n">
        <x:f>H126*'Scenario Inputs'!$C$31*(1-'Scenario Inputs'!$C$29)</x:f>
        <x:v>0</x:v>
      </x:c>
      <x:c r="U127" s="58" t="n">
        <x:f>I126*'Scenario Inputs'!$C$31*(1-'Scenario Inputs'!$C$29)</x:f>
        <x:v>0</x:v>
      </x:c>
      <x:c r="V127" s="58" t="n">
        <x:f>J126*'Scenario Inputs'!$C$31*(1-'Scenario Inputs'!$C$29)</x:f>
        <x:v>0</x:v>
      </x:c>
      <x:c r="W127" s="58" t="n">
        <x:f>K126*'Scenario Inputs'!$C$31*(1-'Scenario Inputs'!$C$29)</x:f>
        <x:v>0</x:v>
      </x:c>
      <x:c r="X127" s="58" t="n">
        <x:f>L126*'Scenario Inputs'!$C$31*(1-'Scenario Inputs'!$C$29)</x:f>
        <x:v>0</x:v>
      </x:c>
      <x:c r="Y127" s="58" t="n">
        <x:f>M126*'Scenario Inputs'!$C$31*(1-'Scenario Inputs'!$C$29)</x:f>
        <x:v>0</x:v>
      </x:c>
      <x:c r="Z127" s="58" t="n">
        <x:f>N126*'Scenario Inputs'!$C$31*(1-'Scenario Inputs'!$C$29)</x:f>
        <x:v>2.14592239125</x:v>
      </x:c>
      <x:c r="AA127" s="58" t="n">
        <x:f>O126*'Scenario Inputs'!$C$31*(1-'Scenario Inputs'!$C$29)</x:f>
        <x:v>2.3492203020000004</x:v>
      </x:c>
      <x:c r="AB127" s="58" t="n">
        <x:f>P126*'Scenario Inputs'!$C$31*(1-'Scenario Inputs'!$C$29)</x:f>
        <x:v>2.57691396204</x:v>
      </x:c>
      <x:c r="AC127" s="58" t="n">
        <x:f>Q126*'Scenario Inputs'!$C$31*(1-'Scenario Inputs'!$C$29)</x:f>
        <x:v>3.283703996284801</x:v>
      </x:c>
      <x:c r="AD127" s="58" t="n">
        <x:f>R126*'Scenario Inputs'!$C$31*(1-'Scenario Inputs'!$C$29)</x:f>
        <x:v>3.569322923438977</x:v>
      </x:c>
      <x:c r="AE127" s="58" t="n">
        <x:f>S126*'Scenario Inputs'!$C$31*(1-'Scenario Inputs'!$C$29)</x:f>
        <x:v>3.8892161218516534</x:v>
      </x:c>
      <x:c r="AF127" s="58" t="n">
        <x:f>T126*'Scenario Inputs'!$C$31*(1-'Scenario Inputs'!$C$29)</x:f>
        <x:v>5.226338296573854</x:v>
      </x:c>
      <x:c r="AG127" s="58" t="n">
        <x:f>U126*'Scenario Inputs'!$C$31*(1-'Scenario Inputs'!$C$29)</x:f>
        <x:v>5.627612324662716</x:v>
      </x:c>
      <x:c r="AH127" s="58" t="n">
        <x:f>V126*'Scenario Inputs'!$C$31*(1-'Scenario Inputs'!$C$29)</x:f>
        <x:v>6.077039236122242</x:v>
      </x:c>
      <x:c r="AI127" s="58" t="n">
        <x:f>W126*'Scenario Inputs'!$C$31*(1-'Scenario Inputs'!$C$29)</x:f>
        <x:v>6.58039737695691</x:v>
      </x:c>
      <x:c r="AJ127" s="58" t="n">
        <x:f>X126*'Scenario Inputs'!$C$31*(1-'Scenario Inputs'!$C$29)</x:f>
        <x:v>7.144158494691741</x:v>
      </x:c>
      <x:c r="AK127" s="58" t="n">
        <x:f>Y126*'Scenario Inputs'!$C$31*(1-'Scenario Inputs'!$C$29)</x:f>
        <x:v>7.775570946554751</x:v>
      </x:c>
    </x:row>
    <x:row r="128" ht="18" customHeight="1">
      <x:c r="A128" s="4" t="str">
        <x:v>Annual terms ending this month</x:v>
      </x:c>
      <x:c r="B128" s="58" t="n">
        <x:f>0+0+0</x:f>
        <x:v>0</x:v>
      </x:c>
      <x:c r="C128" s="58" t="n">
        <x:f>0+0+0</x:f>
        <x:v>0</x:v>
      </x:c>
      <x:c r="D128" s="58" t="n">
        <x:f>0+0+0</x:f>
        <x:v>0</x:v>
      </x:c>
      <x:c r="E128" s="58" t="n">
        <x:f>0+0+0</x:f>
        <x:v>0</x:v>
      </x:c>
      <x:c r="F128" s="58" t="n">
        <x:f>0+0+0</x:f>
        <x:v>0</x:v>
      </x:c>
      <x:c r="G128" s="58" t="n">
        <x:f>0+0+0</x:f>
        <x:v>0</x:v>
      </x:c>
      <x:c r="H128" s="58" t="n">
        <x:f>0+0+0</x:f>
        <x:v>0</x:v>
      </x:c>
      <x:c r="I128" s="58" t="n">
        <x:f>0+0+0</x:f>
        <x:v>0</x:v>
      </x:c>
      <x:c r="J128" s="58" t="n">
        <x:f>0+0+0</x:f>
        <x:v>0</x:v>
      </x:c>
      <x:c r="K128" s="58" t="n">
        <x:f>0+0+0</x:f>
        <x:v>0</x:v>
      </x:c>
      <x:c r="L128" s="58" t="n">
        <x:f>0+0+0</x:f>
        <x:v>0</x:v>
      </x:c>
      <x:c r="M128" s="58" t="n">
        <x:f>0+0+0</x:f>
        <x:v>0</x:v>
      </x:c>
      <x:c r="N128" s="58" t="n">
        <x:f>B125+B126+B127</x:f>
        <x:v>13.8225</x:v>
      </x:c>
      <x:c r="O128" s="58" t="n">
        <x:f>C125+C126+C127</x:f>
        <x:v>15.132000000000001</x:v>
      </x:c>
      <x:c r="P128" s="58" t="n">
        <x:f>D125+D126+D127</x:f>
        <x:v>16.59864</x:v>
      </x:c>
      <x:c r="Q128" s="58" t="n">
        <x:f>E125+E126+E127</x:f>
        <x:v>21.151276800000005</x:v>
      </x:c>
      <x:c r="R128" s="58" t="n">
        <x:f>F125+F126+F127</x:f>
        <x:v>22.991030016000007</x:v>
      </x:c>
      <x:c r="S128" s="58" t="n">
        <x:f>G125+G126+G127</x:f>
        <x:v>25.051553617920003</x:v>
      </x:c>
      <x:c r="T128" s="58" t="n">
        <x:f>H125+H126+H127</x:f>
        <x:v>33.664340052070415</x:v>
      </x:c>
      <x:c r="U128" s="58" t="n">
        <x:f>I125+I126+I127</x:f>
        <x:v>36.24906085831886</x:v>
      </x:c>
      <x:c r="V128" s="58" t="n">
        <x:f>J125+J126+J127</x:f>
        <x:v>39.14394816131713</x:v>
      </x:c>
      <x:c r="W128" s="58" t="n">
        <x:f>K125+K126+K127</x:f>
        <x:v>42.38622194067518</x:v>
      </x:c>
      <x:c r="X128" s="58" t="n">
        <x:f>L125+L126+L127</x:f>
        <x:v>46.017568573556204</x:v>
      </x:c>
      <x:c r="Y128" s="58" t="n">
        <x:f>M125+M126+M127</x:f>
        <x:v>50.084676802382965</x:v>
      </x:c>
      <x:c r="Z128" s="58" t="n">
        <x:f>N125+N126+N127</x:f>
        <x:v>67.06425299202814</x:v>
      </x:c>
      <x:c r="AA128" s="58" t="n">
        <x:f>O125+O126+O127</x:f>
        <x:v>70.72503356775404</x:v>
      </x:c>
      <x:c r="AB128" s="58" t="n">
        <x:f>P125+P126+P127</x:f>
        <x:v>74.693919169538</x:v>
      </x:c>
      <x:c r="AC128" s="58" t="n">
        <x:f>Q125+Q126+Q127</x:f>
        <x:v>79.84419730906468</x:v>
      </x:c>
      <x:c r="AD128" s="58" t="n">
        <x:f>R125+R126+R127</x:f>
        <x:v>84.5110631921055</x:v>
      </x:c>
      <x:c r="AE128" s="58" t="n">
        <x:f>S125+S126+S127</x:f>
        <x:v>89.5726930732238</x:v>
      </x:c>
      <x:c r="AF128" s="58" t="n">
        <x:f>T125+T126+T127</x:f>
        <x:v>107.92072011228521</x:v>
      </x:c>
      <x:c r="AG128" s="58" t="n">
        <x:f>U125+U126+U127</x:f>
        <x:v>113.8773710940196</x:v>
      </x:c>
      <x:c r="AH128" s="58" t="n">
        <x:f>V125+V126+V127</x:f>
        <x:v>120.34064030447743</x:v>
      </x:c>
      <x:c r="AI128" s="58" t="n">
        <x:f>W125+W126+W127</x:f>
        <x:v>127.35466753997883</x:v>
      </x:c>
      <x:c r="AJ128" s="58" t="n">
        <x:f>X125+X126+X127</x:f>
        <x:v>134.96755702111204</x:v>
      </x:c>
      <x:c r="AK128" s="58" t="n">
        <x:f>Y125+Y126+Y127</x:f>
        <x:v>143.23174653554264</x:v>
      </x:c>
    </x:row>
    <x:row r="129" ht="18" customHeight="1">
      <x:c r="A129" s="74" t="str">
        <x:v>ACTIVE ANNUAL SUBSCRIBERS</x:v>
      </x:c>
      <x:c r="B129" s="75" t="n">
        <x:f>0+SUM(B125:B127)-B128</x:f>
        <x:v>13.8225</x:v>
      </x:c>
      <x:c r="C129" s="75" t="n">
        <x:f>B129+SUM(C125:C127)-C128</x:f>
        <x:v>28.954500000000003</x:v>
      </x:c>
      <x:c r="D129" s="75" t="n">
        <x:f>C129+SUM(D125:D127)-D128</x:f>
        <x:v>45.55314</x:v>
      </x:c>
      <x:c r="E129" s="75" t="n">
        <x:f>D129+SUM(E125:E127)-E128</x:f>
        <x:v>66.7044168</x:v>
      </x:c>
      <x:c r="F129" s="75" t="n">
        <x:f>E129+SUM(F125:F127)-F128</x:f>
        <x:v>89.69544681600001</x:v>
      </x:c>
      <x:c r="G129" s="75" t="n">
        <x:f>F129+SUM(G125:G127)-G128</x:f>
        <x:v>114.74700043392002</x:v>
      </x:c>
      <x:c r="H129" s="75" t="n">
        <x:f>G129+SUM(H125:H127)-H128</x:f>
        <x:v>148.41134048599042</x:v>
      </x:c>
      <x:c r="I129" s="75" t="n">
        <x:f>H129+SUM(I125:I127)-I128</x:f>
        <x:v>184.6604013443093</x:v>
      </x:c>
      <x:c r="J129" s="75" t="n">
        <x:f>I129+SUM(J125:J127)-J128</x:f>
        <x:v>223.80434950562642</x:v>
      </x:c>
      <x:c r="K129" s="75" t="n">
        <x:f>J129+SUM(K125:K127)-K128</x:f>
        <x:v>266.1905714463016</x:v>
      </x:c>
      <x:c r="L129" s="75" t="n">
        <x:f>K129+SUM(L125:L127)-L128</x:f>
        <x:v>312.2081400198578</x:v>
      </x:c>
      <x:c r="M129" s="75" t="n">
        <x:f>L129+SUM(M125:M127)-M128</x:f>
        <x:v>362.29281682224075</x:v>
      </x:c>
      <x:c r="N129" s="75" t="n">
        <x:f>M129+SUM(N125:N127)-N128</x:f>
        <x:v>415.53456981426893</x:v>
      </x:c>
      <x:c r="O129" s="75" t="n">
        <x:f>N129+SUM(O125:O127)-O128</x:f>
        <x:v>471.127603382023</x:v>
      </x:c>
      <x:c r="P129" s="75" t="n">
        <x:f>O129+SUM(P125:P127)-P128</x:f>
        <x:v>529.2228825515609</x:v>
      </x:c>
      <x:c r="Q129" s="75" t="n">
        <x:f>P129+SUM(Q125:Q127)-Q128</x:f>
        <x:v>587.9158030606256</x:v>
      </x:c>
      <x:c r="R129" s="75" t="n">
        <x:f>Q129+SUM(R125:R127)-R128</x:f>
        <x:v>649.4358362367311</x:v>
      </x:c>
      <x:c r="S129" s="75" t="n">
        <x:f>R129+SUM(S125:S127)-S128</x:f>
        <x:v>713.9569756920349</x:v>
      </x:c>
      <x:c r="T129" s="75" t="n">
        <x:f>S129+SUM(T125:T127)-T128</x:f>
        <x:v>788.2133557522498</x:v>
      </x:c>
      <x:c r="U129" s="75" t="n">
        <x:f>T129+SUM(U125:U127)-U128</x:f>
        <x:v>865.8416659879505</x:v>
      </x:c>
      <x:c r="V129" s="75" t="n">
        <x:f>U129+SUM(V125:V127)-V128</x:f>
        <x:v>947.0383581311108</x:v>
      </x:c>
      <x:c r="W129" s="75" t="n">
        <x:f>V129+SUM(W125:W127)-W128</x:f>
        <x:v>1032.0068037304145</x:v>
      </x:c>
      <x:c r="X129" s="75" t="n">
        <x:f>W129+SUM(X125:X127)-X128</x:f>
        <x:v>1120.9567921779703</x:v>
      </x:c>
      <x:c r="Y129" s="75" t="n">
        <x:f>X129+SUM(Y125:Y127)-Y128</x:f>
        <x:v>1214.10386191113</x:v>
      </x:c>
      <x:c r="Z129" s="75" t="n">
        <x:f>Y129+SUM(Z125:Z127)-Z128</x:f>
        <x:v>1308.9376296305707</x:v>
      </x:c>
      <x:c r="AA129" s="75" t="n">
        <x:f>Z129+SUM(AA125:AA127)-AA128</x:f>
        <x:v>1407.3477676147081</x:v>
      </x:c>
      <x:c r="AB129" s="75" t="n">
        <x:f>AA129+SUM(AB125:AB127)-AB128</x:f>
        <x:v>1509.4916857101152</x:v>
      </x:c>
      <x:c r="AC129" s="75" t="n">
        <x:f>AB129+SUM(AC125:AC127)-AC128</x:f>
        <x:v>1615.1362010598007</x:v>
      </x:c>
      <x:c r="AD129" s="75" t="n">
        <x:f>AC129+SUM(AD125:AD127)-AD128</x:f>
        <x:v>1724.842464116768</x:v>
      </x:c>
      <x:c r="AE129" s="75" t="n">
        <x:f>AD129+SUM(AE125:AE127)-AE128</x:f>
        <x:v>1838.780610150586</x:v>
      </x:c>
      <x:c r="AF129" s="75" t="n">
        <x:f>AE129+SUM(AF125:AF127)-AF128</x:f>
        <x:v>1958.4741318945082</x:v>
      </x:c>
      <x:c r="AG129" s="75" t="n">
        <x:f>AF129+SUM(AG125:AG127)-AG128</x:f>
        <x:v>2082.7506092699828</x:v>
      </x:c>
      <x:c r="AH129" s="75" t="n">
        <x:f>AG129+SUM(AH125:AH127)-AH128</x:f>
        <x:v>2211.7901670606307</x:v>
      </x:c>
      <x:c r="AI129" s="75" t="n">
        <x:f>AH129+SUM(AI125:AI127)-AI128</x:f>
        <x:v>2345.775307221404</x:v>
      </x:c>
      <x:c r="AJ129" s="75" t="n">
        <x:f>AI129+SUM(AJ125:AJ127)-AJ128</x:f>
        <x:v>2484.8902760302517</x:v>
      </x:c>
      <x:c r="AK129" s="75" t="n">
        <x:f>AJ129+SUM(AK125:AK127)-AK128</x:f>
        <x:v>2629.3203191041885</x:v>
      </x:c>
    </x:row>
    <x:row r="130" ht="18" customHeight="1">
      <x:c r="A130" s="4" t="str">
        <x:v>Annual charge events before refunds</x:v>
      </x:c>
      <x:c r="B130" s="58" t="n">
        <x:f>SUM(B125:B127)/(1-'Scenario Inputs'!$C$29)</x:f>
        <x:v>14.25</x:v>
      </x:c>
      <x:c r="C130" s="58" t="n">
        <x:f>SUM(C125:C127)/(1-'Scenario Inputs'!$C$29)</x:f>
        <x:v>15.600000000000001</x:v>
      </x:c>
      <x:c r="D130" s="58" t="n">
        <x:f>SUM(D125:D127)/(1-'Scenario Inputs'!$C$29)</x:f>
        <x:v>17.112</x:v>
      </x:c>
      <x:c r="E130" s="58" t="n">
        <x:f>SUM(E125:E127)/(1-'Scenario Inputs'!$C$29)</x:f>
        <x:v>21.805440000000004</x:v>
      </x:c>
      <x:c r="F130" s="58" t="n">
        <x:f>SUM(F125:F127)/(1-'Scenario Inputs'!$C$29)</x:f>
        <x:v>23.702092800000006</x:v>
      </x:c>
      <x:c r="G130" s="58" t="n">
        <x:f>SUM(G125:G127)/(1-'Scenario Inputs'!$C$29)</x:f>
        <x:v>25.826343936000004</x:v>
      </x:c>
      <x:c r="H130" s="58" t="n">
        <x:f>SUM(H125:H127)/(1-'Scenario Inputs'!$C$29)</x:f>
        <x:v>34.70550520832002</x:v>
      </x:c>
      <x:c r="I130" s="58" t="n">
        <x:f>SUM(I125:I127)/(1-'Scenario Inputs'!$C$29)</x:f>
        <x:v>37.37016583331842</x:v>
      </x:c>
      <x:c r="J130" s="58" t="n">
        <x:f>SUM(J125:J127)/(1-'Scenario Inputs'!$C$29)</x:f>
        <x:v>40.354585733316625</x:v>
      </x:c>
      <x:c r="K130" s="58" t="n">
        <x:f>SUM(K125:K127)/(1-'Scenario Inputs'!$C$29)</x:f>
        <x:v>43.69713602131462</x:v>
      </x:c>
      <x:c r="L130" s="58" t="n">
        <x:f>SUM(L125:L127)/(1-'Scenario Inputs'!$C$29)</x:f>
        <x:v>47.440792343872374</x:v>
      </x:c>
      <x:c r="M130" s="58" t="n">
        <x:f>SUM(M125:M127)/(1-'Scenario Inputs'!$C$29)</x:f>
        <x:v>51.633687425137076</x:v>
      </x:c>
      <x:c r="N130" s="58" t="n">
        <x:f>SUM(N125:N127)/(1-'Scenario Inputs'!$C$29)</x:f>
        <x:v>69.13840514642077</x:v>
      </x:c>
      <x:c r="O130" s="58" t="n">
        <x:f>SUM(O125:O127)/(1-'Scenario Inputs'!$C$29)</x:f>
        <x:v>72.91240573995262</x:v>
      </x:c>
      <x:c r="P130" s="58" t="n">
        <x:f>SUM(P125:P127)/(1-'Scenario Inputs'!$C$29)</x:f>
        <x:v>77.00404038096701</x:v>
      </x:c>
      <x:c r="Q130" s="58" t="n">
        <x:f>SUM(Q125:Q127)/(1-'Scenario Inputs'!$C$29)</x:f>
        <x:v>82.31360547326256</x:v>
      </x:c>
      <x:c r="R130" s="58" t="n">
        <x:f>SUM(R125:R127)/(1-'Scenario Inputs'!$C$29)</x:f>
        <x:v>87.12480741454175</x:v>
      </x:c>
      <x:c r="S130" s="58" t="n">
        <x:f>SUM(S125:S127)/(1-'Scenario Inputs'!$C$29)</x:f>
        <x:v>92.34298254971526</x:v>
      </x:c>
      <x:c r="T130" s="58" t="n">
        <x:f>SUM(T125:T127)/(1-'Scenario Inputs'!$C$29)</x:f>
        <x:v>111.25847434256208</x:v>
      </x:c>
      <x:c r="U130" s="58" t="n">
        <x:f>SUM(U125:U127)/(1-'Scenario Inputs'!$C$29)</x:f>
        <x:v>117.39935164331918</x:v>
      </x:c>
      <x:c r="V130" s="58" t="n">
        <x:f>SUM(V125:V127)/(1-'Scenario Inputs'!$C$29)</x:f>
        <x:v>124.06251577781178</x:v>
      </x:c>
      <x:c r="W130" s="58" t="n">
        <x:f>SUM(W125:W127)/(1-'Scenario Inputs'!$C$29)</x:f>
        <x:v>131.29347169069985</x:v>
      </x:c>
      <x:c r="X130" s="58" t="n">
        <x:f>SUM(X125:X127)/(1-'Scenario Inputs'!$C$29)</x:f>
        <x:v>139.14181136197118</x:v>
      </x:c>
      <x:c r="Y130" s="58" t="n">
        <x:f>SUM(Y125:Y127)/(1-'Scenario Inputs'!$C$29)</x:f>
        <x:v>147.66159436653882</x:v>
      </x:c>
      <x:c r="Z130" s="58" t="n">
        <x:f>SUM(Z125:Z127)/(1-'Scenario Inputs'!$C$29)</x:f>
        <x:v>166.90517599120494</x:v>
      </x:c>
      <x:c r="AA130" s="58" t="n">
        <x:f>SUM(AA125:AA127)/(1-'Scenario Inputs'!$C$29)</x:f>
        <x:v>174.36615623906334</x:v>
      </x:c>
      <x:c r="AB130" s="58" t="n">
        <x:f>SUM(AB125:AB127)/(1-'Scenario Inputs'!$C$29)</x:f>
        <x:v>182.30704872674758</x:v>
      </x:c>
      <x:c r="AC130" s="58" t="n">
        <x:f>SUM(AC125:AC127)/(1-'Scenario Inputs'!$C$29)</x:f>
        <x:v>191.22547696778352</x:v>
      </x:c>
      <x:c r="AD130" s="58" t="n">
        <x:f>SUM(AD125:AD127)/(1-'Scenario Inputs'!$C$29)</x:f>
        <x:v>200.22404767945642</x:v>
      </x:c>
      <x:c r="AE130" s="58" t="n">
        <x:f>SUM(AE125:AE127)/(1-'Scenario Inputs'!$C$29)</x:f>
        <x:v>209.80498877014605</x:v>
      </x:c>
      <x:c r="AF130" s="58" t="n">
        <x:f>SUM(AF125:AF127)/(1-'Scenario Inputs'!$C$29)</x:f>
        <x:v>234.6538575837189</x:v>
      </x:c>
      <x:c r="AG130" s="58" t="n">
        <x:f>SUM(AG125:AG127)/(1-'Scenario Inputs'!$C$29)</x:f>
        <x:v>245.51943141184952</x:v>
      </x:c>
      <x:c r="AH130" s="58" t="n">
        <x:f>SUM(AH125:AH127)/(1-'Scenario Inputs'!$C$29)</x:f>
        <x:v>257.092987726933</x:v>
      </x:c>
      <x:c r="AI130" s="58" t="n">
        <x:f>SUM(AI125:AI127)/(1-'Scenario Inputs'!$C$29)</x:f>
        <x:v>269.422482165724</x:v>
      </x:c>
      <x:c r="AJ130" s="58" t="n">
        <x:f>SUM(AJ125:AJ127)/(1-'Scenario Inputs'!$C$29)</x:f>
        <x:v>282.55930497933986</x:v>
      </x:c>
      <x:c r="AK130" s="58" t="n">
        <x:f>SUM(AK125:AK127)/(1-'Scenario Inputs'!$C$29)</x:f>
        <x:v>296.558545989154</x:v>
      </x:c>
    </x:row>
    <x:row r="131" ht="18" customHeight="1">
      <x:c r="A131" s="4" t="str"/>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c r="AA131" s="58"/>
      <x:c r="AB131" s="58"/>
      <x:c r="AC131" s="58"/>
      <x:c r="AD131" s="58"/>
      <x:c r="AE131" s="58"/>
      <x:c r="AF131" s="58"/>
      <x:c r="AG131" s="58"/>
      <x:c r="AH131" s="58"/>
      <x:c r="AI131" s="58"/>
      <x:c r="AJ131" s="58"/>
      <x:c r="AK131" s="58"/>
    </x:row>
    <x:row r="132" ht="18" customHeight="1">
      <x:c r="A132" s="4" t="str">
        <x:v>New monthly payers after refunds</x:v>
      </x:c>
      <x:c r="B132" s="58" t="n">
        <x:f>B117*(1-'Scenario Inputs'!$C$27)*(1-'Scenario Inputs'!$C$29)</x:f>
        <x:v>4.6075</x:v>
      </x:c>
      <x:c r="C132" s="58" t="n">
        <x:f>C117*(1-'Scenario Inputs'!$C$27)*(1-'Scenario Inputs'!$C$29)</x:f>
        <x:v>5.044</x:v>
      </x:c>
      <x:c r="D132" s="58" t="n">
        <x:f>D117*(1-'Scenario Inputs'!$C$27)*(1-'Scenario Inputs'!$C$29)</x:f>
        <x:v>5.53288</x:v>
      </x:c>
      <x:c r="E132" s="58" t="n">
        <x:f>E117*(1-'Scenario Inputs'!$C$27)*(1-'Scenario Inputs'!$C$29)</x:f>
        <x:v>7.0504256000000005</x:v>
      </x:c>
      <x:c r="F132" s="58" t="n">
        <x:f>F117*(1-'Scenario Inputs'!$C$27)*(1-'Scenario Inputs'!$C$29)</x:f>
        <x:v>7.663676672000001</x:v>
      </x:c>
      <x:c r="G132" s="58" t="n">
        <x:f>G117*(1-'Scenario Inputs'!$C$27)*(1-'Scenario Inputs'!$C$29)</x:f>
        <x:v>8.350517872640001</x:v>
      </x:c>
      <x:c r="H132" s="58" t="n">
        <x:f>H117*(1-'Scenario Inputs'!$C$27)*(1-'Scenario Inputs'!$C$29)</x:f>
        <x:v>11.221446684023471</x:v>
      </x:c>
      <x:c r="I132" s="58" t="n">
        <x:f>I117*(1-'Scenario Inputs'!$C$27)*(1-'Scenario Inputs'!$C$29)</x:f>
        <x:v>12.083020286106288</x:v>
      </x:c>
      <x:c r="J132" s="58" t="n">
        <x:f>J117*(1-'Scenario Inputs'!$C$27)*(1-'Scenario Inputs'!$C$29)</x:f>
        <x:v>13.047982720439041</x:v>
      </x:c>
      <x:c r="K132" s="58" t="n">
        <x:f>K117*(1-'Scenario Inputs'!$C$27)*(1-'Scenario Inputs'!$C$29)</x:f>
        <x:v>14.128740646891728</x:v>
      </x:c>
      <x:c r="L132" s="58" t="n">
        <x:f>L117*(1-'Scenario Inputs'!$C$27)*(1-'Scenario Inputs'!$C$29)</x:f>
        <x:v>15.339189524518735</x:v>
      </x:c>
      <x:c r="M132" s="58" t="n">
        <x:f>M117*(1-'Scenario Inputs'!$C$27)*(1-'Scenario Inputs'!$C$29)</x:f>
        <x:v>16.694892267460986</x:v>
      </x:c>
      <x:c r="N132" s="58" t="n">
        <x:f>N117*(1-'Scenario Inputs'!$C$27)*(1-'Scenario Inputs'!$C$29)</x:f>
        <x:v>21.013968497342713</x:v>
      </x:c>
      <x:c r="O132" s="58" t="n">
        <x:f>O117*(1-'Scenario Inputs'!$C$27)*(1-'Scenario Inputs'!$C$29)</x:f>
        <x:v>22.107207189251344</x:v>
      </x:c>
      <x:c r="P132" s="58" t="n">
        <x:f>P117*(1-'Scenario Inputs'!$C$27)*(1-'Scenario Inputs'!$C$29)</x:f>
        <x:v>23.287904976512664</x:v>
      </x:c>
      <x:c r="Q132" s="58" t="n">
        <x:f>Q117*(1-'Scenario Inputs'!$C$27)*(1-'Scenario Inputs'!$C$29)</x:f>
        <x:v>24.563058586754895</x:v>
      </x:c>
      <x:c r="R132" s="58" t="n">
        <x:f>R117*(1-'Scenario Inputs'!$C$27)*(1-'Scenario Inputs'!$C$29)</x:f>
        <x:v>25.940224485816497</x:v>
      </x:c>
      <x:c r="S132" s="58" t="n">
        <x:f>S117*(1-'Scenario Inputs'!$C$27)*(1-'Scenario Inputs'!$C$29)</x:f>
        <x:v>27.427563656803027</x:v>
      </x:c>
      <x:c r="T132" s="58" t="n">
        <x:f>T117*(1-'Scenario Inputs'!$C$27)*(1-'Scenario Inputs'!$C$29)</x:f>
        <x:v>32.708132385710904</x:v>
      </x:c>
      <x:c r="U132" s="58" t="n">
        <x:f>U117*(1-'Scenario Inputs'!$C$27)*(1-'Scenario Inputs'!$C$29)</x:f>
        <x:v>34.44296479474961</x:v>
      </x:c>
      <x:c r="V132" s="58" t="n">
        <x:f>V117*(1-'Scenario Inputs'!$C$27)*(1-'Scenario Inputs'!$C$29)</x:f>
        <x:v>36.31658379651139</x:v>
      </x:c>
      <x:c r="W132" s="58" t="n">
        <x:f>W117*(1-'Scenario Inputs'!$C$27)*(1-'Scenario Inputs'!$C$29)</x:f>
        <x:v>38.34009231841412</x:v>
      </x:c>
      <x:c r="X132" s="58" t="n">
        <x:f>X117*(1-'Scenario Inputs'!$C$27)*(1-'Scenario Inputs'!$C$29)</x:f>
        <x:v>40.525481522069065</x:v>
      </x:c>
      <x:c r="Y132" s="58" t="n">
        <x:f>Y117*(1-'Scenario Inputs'!$C$27)*(1-'Scenario Inputs'!$C$29)</x:f>
        <x:v>42.885701862016404</x:v>
      </x:c>
      <x:c r="Z132" s="58" t="n">
        <x:f>Z117*(1-'Scenario Inputs'!$C$27)*(1-'Scenario Inputs'!$C$29)</x:f>
        <x:v>47.13563460734621</x:v>
      </x:c>
      <x:c r="AA132" s="58" t="n">
        <x:f>AA117*(1-'Scenario Inputs'!$C$27)*(1-'Scenario Inputs'!$C$29)</x:f>
        <x:v>49.162119791225</x:v>
      </x:c>
      <x:c r="AB132" s="58" t="n">
        <x:f>AB117*(1-'Scenario Inputs'!$C$27)*(1-'Scenario Inputs'!$C$29)</x:f>
        <x:v>51.31019408613652</x:v>
      </x:c>
      <x:c r="AC132" s="58" t="n">
        <x:f>AC117*(1-'Scenario Inputs'!$C$27)*(1-'Scenario Inputs'!$C$29)</x:f>
        <x:v>53.58715283874274</x:v>
      </x:c>
      <x:c r="AD132" s="58" t="n">
        <x:f>AD117*(1-'Scenario Inputs'!$C$27)*(1-'Scenario Inputs'!$C$29)</x:f>
        <x:v>56.00072911650532</x:v>
      </x:c>
      <x:c r="AE132" s="58" t="n">
        <x:f>AE117*(1-'Scenario Inputs'!$C$27)*(1-'Scenario Inputs'!$C$29)</x:f>
        <x:v>58.55911997093365</x:v>
      </x:c>
      <x:c r="AF132" s="58" t="n">
        <x:f>AF117*(1-'Scenario Inputs'!$C$27)*(1-'Scenario Inputs'!$C$29)</x:f>
        <x:v>64.61123466230262</x:v>
      </x:c>
      <x:c r="AG132" s="58" t="n">
        <x:f>AG117*(1-'Scenario Inputs'!$C$27)*(1-'Scenario Inputs'!$C$29)</x:f>
        <x:v>67.4858426263383</x:v>
      </x:c>
      <x:c r="AH132" s="58" t="n">
        <x:f>AH117*(1-'Scenario Inputs'!$C$27)*(1-'Scenario Inputs'!$C$29)</x:f>
        <x:v>70.53292706821613</x:v>
      </x:c>
      <x:c r="AI132" s="58" t="n">
        <x:f>AI117*(1-'Scenario Inputs'!$C$27)*(1-'Scenario Inputs'!$C$29)</x:f>
        <x:v>73.76283657660662</x:v>
      </x:c>
      <x:c r="AJ132" s="58" t="n">
        <x:f>AJ117*(1-'Scenario Inputs'!$C$27)*(1-'Scenario Inputs'!$C$29)</x:f>
        <x:v>77.18654065550054</x:v>
      </x:c>
      <x:c r="AK132" s="58" t="n">
        <x:f>AK117*(1-'Scenario Inputs'!$C$27)*(1-'Scenario Inputs'!$C$29)</x:f>
        <x:v>80.8156669791281</x:v>
      </x:c>
    </x:row>
    <x:row r="133" ht="18" customHeight="1">
      <x:c r="A133" s="4" t="str">
        <x:v>First monthly renewals after refunds</x:v>
      </x:c>
      <x:c r="B133" s="58" t="n">
        <x:f>0*'Scenario Inputs'!$C$32*(1-'Scenario Inputs'!$C$29)</x:f>
        <x:v>0</x:v>
      </x:c>
      <x:c r="C133" s="58" t="n">
        <x:f>B132*'Scenario Inputs'!$C$32*(1-'Scenario Inputs'!$C$29)</x:f>
        <x:v>2.681565</x:v>
      </x:c>
      <x:c r="D133" s="58" t="n">
        <x:f>C132*'Scenario Inputs'!$C$32*(1-'Scenario Inputs'!$C$29)</x:f>
        <x:v>2.9356079999999998</x:v>
      </x:c>
      <x:c r="E133" s="58" t="n">
        <x:f>D132*'Scenario Inputs'!$C$32*(1-'Scenario Inputs'!$C$29)</x:f>
        <x:v>3.2201361599999996</x:v>
      </x:c>
      <x:c r="F133" s="58" t="n">
        <x:f>E132*'Scenario Inputs'!$C$32*(1-'Scenario Inputs'!$C$29)</x:f>
        <x:v>4.1033476992</x:v>
      </x:c>
      <x:c r="G133" s="58" t="n">
        <x:f>F132*'Scenario Inputs'!$C$32*(1-'Scenario Inputs'!$C$29)</x:f>
        <x:v>4.460259823104001</x:v>
      </x:c>
      <x:c r="H133" s="58" t="n">
        <x:f>G132*'Scenario Inputs'!$C$32*(1-'Scenario Inputs'!$C$29)</x:f>
        <x:v>4.86000140187648</x:v>
      </x:c>
      <x:c r="I133" s="58" t="n">
        <x:f>H132*'Scenario Inputs'!$C$32*(1-'Scenario Inputs'!$C$29)</x:f>
        <x:v>6.53088197010166</x:v>
      </x:c>
      <x:c r="J133" s="58" t="n">
        <x:f>I132*'Scenario Inputs'!$C$32*(1-'Scenario Inputs'!$C$29)</x:f>
        <x:v>7.032317806513859</x:v>
      </x:c>
      <x:c r="K133" s="58" t="n">
        <x:f>J132*'Scenario Inputs'!$C$32*(1-'Scenario Inputs'!$C$29)</x:f>
        <x:v>7.593925943295521</x:v>
      </x:c>
      <x:c r="L133" s="58" t="n">
        <x:f>K132*'Scenario Inputs'!$C$32*(1-'Scenario Inputs'!$C$29)</x:f>
        <x:v>8.222927056490985</x:v>
      </x:c>
      <x:c r="M133" s="58" t="n">
        <x:f>L132*'Scenario Inputs'!$C$32*(1-'Scenario Inputs'!$C$29)</x:f>
        <x:v>8.927408303269903</x:v>
      </x:c>
      <x:c r="N133" s="58" t="n">
        <x:f>M132*'Scenario Inputs'!$C$32*(1-'Scenario Inputs'!$C$29)</x:f>
        <x:v>9.716427299662293</x:v>
      </x:c>
      <x:c r="O133" s="58" t="n">
        <x:f>N132*'Scenario Inputs'!$C$32*(1-'Scenario Inputs'!$C$29)</x:f>
        <x:v>12.23012966545346</x:v>
      </x:c>
      <x:c r="P133" s="58" t="n">
        <x:f>O132*'Scenario Inputs'!$C$32*(1-'Scenario Inputs'!$C$29)</x:f>
        <x:v>12.866394584144283</x:v>
      </x:c>
      <x:c r="Q133" s="58" t="n">
        <x:f>P132*'Scenario Inputs'!$C$32*(1-'Scenario Inputs'!$C$29)</x:f>
        <x:v>13.553560696330369</x:v>
      </x:c>
      <x:c r="R133" s="58" t="n">
        <x:f>Q132*'Scenario Inputs'!$C$32*(1-'Scenario Inputs'!$C$29)</x:f>
        <x:v>14.295700097491348</x:v>
      </x:c>
      <x:c r="S133" s="58" t="n">
        <x:f>R132*'Scenario Inputs'!$C$32*(1-'Scenario Inputs'!$C$29)</x:f>
        <x:v>15.0972106507452</x:v>
      </x:c>
      <x:c r="T133" s="58" t="n">
        <x:f>S132*'Scenario Inputs'!$C$32*(1-'Scenario Inputs'!$C$29)</x:f>
        <x:v>15.962842048259361</x:v>
      </x:c>
      <x:c r="U133" s="58" t="n">
        <x:f>T132*'Scenario Inputs'!$C$32*(1-'Scenario Inputs'!$C$29)</x:f>
        <x:v>19.036133048483745</x:v>
      </x:c>
      <x:c r="V133" s="58" t="n">
        <x:f>U132*'Scenario Inputs'!$C$32*(1-'Scenario Inputs'!$C$29)</x:f>
        <x:v>20.04580551054427</x:v>
      </x:c>
      <x:c r="W133" s="58" t="n">
        <x:f>V132*'Scenario Inputs'!$C$32*(1-'Scenario Inputs'!$C$29)</x:f>
        <x:v>21.136251769569625</x:v>
      </x:c>
      <x:c r="X133" s="58" t="n">
        <x:f>W132*'Scenario Inputs'!$C$32*(1-'Scenario Inputs'!$C$29)</x:f>
        <x:v>22.313933729317018</x:v>
      </x:c>
      <x:c r="Y133" s="58" t="n">
        <x:f>X132*'Scenario Inputs'!$C$32*(1-'Scenario Inputs'!$C$29)</x:f>
        <x:v>23.585830245844196</x:v>
      </x:c>
      <x:c r="Z133" s="58" t="n">
        <x:f>Y132*'Scenario Inputs'!$C$32*(1-'Scenario Inputs'!$C$29)</x:f>
        <x:v>24.959478483693545</x:v>
      </x:c>
      <x:c r="AA133" s="58" t="n">
        <x:f>Z132*'Scenario Inputs'!$C$32*(1-'Scenario Inputs'!$C$29)</x:f>
        <x:v>27.432939341475493</x:v>
      </x:c>
      <x:c r="AB133" s="58" t="n">
        <x:f>AA132*'Scenario Inputs'!$C$32*(1-'Scenario Inputs'!$C$29)</x:f>
        <x:v>28.612353718492948</x:v>
      </x:c>
      <x:c r="AC133" s="58" t="n">
        <x:f>AB132*'Scenario Inputs'!$C$32*(1-'Scenario Inputs'!$C$29)</x:f>
        <x:v>29.86253295813145</x:v>
      </x:c>
      <x:c r="AD133" s="58" t="n">
        <x:f>AC132*'Scenario Inputs'!$C$32*(1-'Scenario Inputs'!$C$29)</x:f>
        <x:v>31.187722952148274</x:v>
      </x:c>
      <x:c r="AE133" s="58" t="n">
        <x:f>AD132*'Scenario Inputs'!$C$32*(1-'Scenario Inputs'!$C$29)</x:f>
        <x:v>32.592424345806094</x:v>
      </x:c>
      <x:c r="AF133" s="58" t="n">
        <x:f>AE132*'Scenario Inputs'!$C$32*(1-'Scenario Inputs'!$C$29)</x:f>
        <x:v>34.08140782308338</x:v>
      </x:c>
      <x:c r="AG133" s="58" t="n">
        <x:f>AF132*'Scenario Inputs'!$C$32*(1-'Scenario Inputs'!$C$29)</x:f>
        <x:v>37.60373857346013</x:v>
      </x:c>
      <x:c r="AH133" s="58" t="n">
        <x:f>AG132*'Scenario Inputs'!$C$32*(1-'Scenario Inputs'!$C$29)</x:f>
        <x:v>39.27676040852889</x:v>
      </x:c>
      <x:c r="AI133" s="58" t="n">
        <x:f>AH132*'Scenario Inputs'!$C$32*(1-'Scenario Inputs'!$C$29)</x:f>
        <x:v>41.05016355370178</x:v>
      </x:c>
      <x:c r="AJ133" s="58" t="n">
        <x:f>AI132*'Scenario Inputs'!$C$32*(1-'Scenario Inputs'!$C$29)</x:f>
        <x:v>42.92997088758504</x:v>
      </x:c>
      <x:c r="AK133" s="58" t="n">
        <x:f>AJ132*'Scenario Inputs'!$C$32*(1-'Scenario Inputs'!$C$29)</x:f>
        <x:v>44.922566661501314</x:v>
      </x:c>
    </x:row>
    <x:row r="134" ht="18" customHeight="1">
      <x:c r="A134" s="4" t="str">
        <x:v>Second monthly renewals after refunds</x:v>
      </x:c>
      <x:c r="B134" s="58" t="n">
        <x:f>0*'Scenario Inputs'!$C$33*(1-'Scenario Inputs'!$C$29)</x:f>
        <x:v>0</x:v>
      </x:c>
      <x:c r="C134" s="58" t="n">
        <x:f>B133*'Scenario Inputs'!$C$33*(1-'Scenario Inputs'!$C$29)</x:f>
        <x:v>0</x:v>
      </x:c>
      <x:c r="D134" s="58" t="n">
        <x:f>C133*'Scenario Inputs'!$C$33*(1-'Scenario Inputs'!$C$29)</x:f>
        <x:v>1.9508385375000001</x:v>
      </x:c>
      <x:c r="E134" s="58" t="n">
        <x:f>D133*'Scenario Inputs'!$C$33*(1-'Scenario Inputs'!$C$29)</x:f>
        <x:v>2.1356548199999996</x:v>
      </x:c>
      <x:c r="F134" s="58" t="n">
        <x:f>E133*'Scenario Inputs'!$C$33*(1-'Scenario Inputs'!$C$29)</x:f>
        <x:v>2.3426490563999995</x:v>
      </x:c>
      <x:c r="G134" s="58" t="n">
        <x:f>F133*'Scenario Inputs'!$C$33*(1-'Scenario Inputs'!$C$29)</x:f>
        <x:v>2.9851854511680003</x:v>
      </x:c>
      <x:c r="H134" s="58" t="n">
        <x:f>G133*'Scenario Inputs'!$C$33*(1-'Scenario Inputs'!$C$29)</x:f>
        <x:v>3.244839021308161</x:v>
      </x:c>
      <x:c r="I134" s="58" t="n">
        <x:f>H133*'Scenario Inputs'!$C$33*(1-'Scenario Inputs'!$C$29)</x:f>
        <x:v>3.535651019865139</x:v>
      </x:c>
      <x:c r="J134" s="58" t="n">
        <x:f>I133*'Scenario Inputs'!$C$33*(1-'Scenario Inputs'!$C$29)</x:f>
        <x:v>4.751216633248958</x:v>
      </x:c>
      <x:c r="K134" s="58" t="n">
        <x:f>J133*'Scenario Inputs'!$C$33*(1-'Scenario Inputs'!$C$29)</x:f>
        <x:v>5.116011204238832</x:v>
      </x:c>
      <x:c r="L134" s="58" t="n">
        <x:f>K133*'Scenario Inputs'!$C$33*(1-'Scenario Inputs'!$C$29)</x:f>
        <x:v>5.524581123747492</x:v>
      </x:c>
      <x:c r="M134" s="58" t="n">
        <x:f>L133*'Scenario Inputs'!$C$33*(1-'Scenario Inputs'!$C$29)</x:f>
        <x:v>5.982179433597191</x:v>
      </x:c>
      <x:c r="N134" s="58" t="n">
        <x:f>M133*'Scenario Inputs'!$C$33*(1-'Scenario Inputs'!$C$29)</x:f>
        <x:v>6.494689540628855</x:v>
      </x:c>
      <x:c r="O134" s="58" t="n">
        <x:f>N133*'Scenario Inputs'!$C$33*(1-'Scenario Inputs'!$C$29)</x:f>
        <x:v>7.068700860504317</x:v>
      </x:c>
      <x:c r="P134" s="58" t="n">
        <x:f>O133*'Scenario Inputs'!$C$33*(1-'Scenario Inputs'!$C$29)</x:f>
        <x:v>8.89741933161739</x:v>
      </x:c>
      <x:c r="Q134" s="58" t="n">
        <x:f>P133*'Scenario Inputs'!$C$33*(1-'Scenario Inputs'!$C$29)</x:f>
        <x:v>9.360302059964965</x:v>
      </x:c>
      <x:c r="R134" s="58" t="n">
        <x:f>Q133*'Scenario Inputs'!$C$33*(1-'Scenario Inputs'!$C$29)</x:f>
        <x:v>9.860215406580343</x:v>
      </x:c>
      <x:c r="S134" s="58" t="n">
        <x:f>R133*'Scenario Inputs'!$C$33*(1-'Scenario Inputs'!$C$29)</x:f>
        <x:v>10.400121820924955</x:v>
      </x:c>
      <x:c r="T134" s="58" t="n">
        <x:f>S133*'Scenario Inputs'!$C$33*(1-'Scenario Inputs'!$C$29)</x:f>
        <x:v>10.983220748417134</x:v>
      </x:c>
      <x:c r="U134" s="58" t="n">
        <x:f>T133*'Scenario Inputs'!$C$33*(1-'Scenario Inputs'!$C$29)</x:f>
        <x:v>11.612967590108685</x:v>
      </x:c>
      <x:c r="V134" s="58" t="n">
        <x:f>U133*'Scenario Inputs'!$C$33*(1-'Scenario Inputs'!$C$29)</x:f>
        <x:v>13.848786792771923</x:v>
      </x:c>
      <x:c r="W134" s="58" t="n">
        <x:f>V133*'Scenario Inputs'!$C$33*(1-'Scenario Inputs'!$C$29)</x:f>
        <x:v>14.583323508920955</x:v>
      </x:c>
      <x:c r="X134" s="58" t="n">
        <x:f>W133*'Scenario Inputs'!$C$33*(1-'Scenario Inputs'!$C$29)</x:f>
        <x:v>15.376623162361902</x:v>
      </x:c>
      <x:c r="Y134" s="58" t="n">
        <x:f>X133*'Scenario Inputs'!$C$33*(1-'Scenario Inputs'!$C$29)</x:f>
        <x:v>16.233386788078132</x:v>
      </x:c>
      <x:c r="Z134" s="58" t="n">
        <x:f>Y133*'Scenario Inputs'!$C$33*(1-'Scenario Inputs'!$C$29)</x:f>
        <x:v>17.158691503851653</x:v>
      </x:c>
      <x:c r="AA134" s="58" t="n">
        <x:f>Z133*'Scenario Inputs'!$C$33*(1-'Scenario Inputs'!$C$29)</x:f>
        <x:v>18.158020596887052</x:v>
      </x:c>
      <x:c r="AB134" s="58" t="n">
        <x:f>AA133*'Scenario Inputs'!$C$33*(1-'Scenario Inputs'!$C$29)</x:f>
        <x:v>19.95746337092342</x:v>
      </x:c>
      <x:c r="AC134" s="58" t="n">
        <x:f>AB133*'Scenario Inputs'!$C$33*(1-'Scenario Inputs'!$C$29)</x:f>
        <x:v>20.815487330203617</x:v>
      </x:c>
      <x:c r="AD134" s="58" t="n">
        <x:f>AC133*'Scenario Inputs'!$C$33*(1-'Scenario Inputs'!$C$29)</x:f>
        <x:v>21.72499272704063</x:v>
      </x:c>
      <x:c r="AE134" s="58" t="n">
        <x:f>AD133*'Scenario Inputs'!$C$33*(1-'Scenario Inputs'!$C$29)</x:f>
        <x:v>22.689068447687866</x:v>
      </x:c>
      <x:c r="AF134" s="58" t="n">
        <x:f>AE133*'Scenario Inputs'!$C$33*(1-'Scenario Inputs'!$C$29)</x:f>
        <x:v>23.710988711573933</x:v>
      </x:c>
      <x:c r="AG134" s="58" t="n">
        <x:f>AF133*'Scenario Inputs'!$C$33*(1-'Scenario Inputs'!$C$29)</x:f>
        <x:v>24.79422419129316</x:v>
      </x:c>
      <x:c r="AH134" s="58" t="n">
        <x:f>AG133*'Scenario Inputs'!$C$33*(1-'Scenario Inputs'!$C$29)</x:f>
        <x:v>27.35671981219224</x:v>
      </x:c>
      <x:c r="AI134" s="58" t="n">
        <x:f>AH133*'Scenario Inputs'!$C$33*(1-'Scenario Inputs'!$C$29)</x:f>
        <x:v>28.573843197204763</x:v>
      </x:c>
      <x:c r="AJ134" s="58" t="n">
        <x:f>AI133*'Scenario Inputs'!$C$33*(1-'Scenario Inputs'!$C$29)</x:f>
        <x:v>29.863993985318043</x:v>
      </x:c>
      <x:c r="AK134" s="58" t="n">
        <x:f>AJ133*'Scenario Inputs'!$C$33*(1-'Scenario Inputs'!$C$29)</x:f>
        <x:v>31.231553820718116</x:v>
      </x:c>
    </x:row>
    <x:row r="135" ht="18" customHeight="1">
      <x:c r="A135" s="4" t="str">
        <x:v>Later monthly renewals after refunds</x:v>
      </x:c>
      <x:c r="B135" s="58" t="n">
        <x:f>(0+0)*'Scenario Inputs'!$C$34*(1-'Scenario Inputs'!$C$29)</x:f>
        <x:v>0</x:v>
      </x:c>
      <x:c r="C135" s="58" t="n">
        <x:f>(B134+B135)*'Scenario Inputs'!$C$34*(1-'Scenario Inputs'!$C$29)</x:f>
        <x:v>0</x:v>
      </x:c>
      <x:c r="D135" s="58" t="n">
        <x:f>(C134+C135)*'Scenario Inputs'!$C$34*(1-'Scenario Inputs'!$C$29)</x:f>
        <x:v>0</x:v>
      </x:c>
      <x:c r="E135" s="58" t="n">
        <x:f>(D134+D135)*'Scenario Inputs'!$C$34*(1-'Scenario Inputs'!$C$29)</x:f>
        <x:v>1.6652357756100002</x:v>
      </x:c>
      <x:c r="F135" s="58" t="n">
        <x:f>(E134+E135)*'Scenario Inputs'!$C$34*(1-'Scenario Inputs'!$C$29)</x:f>
        <x:v>3.244440212412696</x:v>
      </x:c>
      <x:c r="G135" s="58" t="n">
        <x:f>(F134+F135)*'Scenario Inputs'!$C$34*(1-'Scenario Inputs'!$C$29)</x:f>
        <x:v>4.769139399858516</x:v>
      </x:c>
      <x:c r="H135" s="58" t="n">
        <x:f>(G134+G135)*'Scenario Inputs'!$C$34*(1-'Scenario Inputs'!$C$29)</x:f>
        <x:v>6.619091692836234</x:v>
      </x:c>
      <x:c r="I135" s="58" t="n">
        <x:f>(H134+H135)*'Scenario Inputs'!$C$34*(1-'Scenario Inputs'!$C$29)</x:f>
        <x:v>8.419851257593656</x:v>
      </x:c>
      <x:c r="J135" s="58" t="n">
        <x:f>(I134+I135)*'Scenario Inputs'!$C$34*(1-'Scenario Inputs'!$C$29)</x:f>
        <x:v>10.205216744038827</x:v>
      </x:c>
      <x:c r="K135" s="58" t="n">
        <x:f>(J134+J135)*'Scenario Inputs'!$C$34*(1-'Scenario Inputs'!$C$29)</x:f>
        <x:v>12.766811530852852</x:v>
      </x:c>
      <x:c r="L135" s="58" t="n">
        <x:f>(K134+K135)*'Scenario Inputs'!$C$34*(1-'Scenario Inputs'!$C$29)</x:f>
        <x:v>15.264777486674264</x:v>
      </x:c>
      <x:c r="M135" s="58" t="n">
        <x:f>(L134+L135)*'Scenario Inputs'!$C$34*(1-'Scenario Inputs'!$C$29)</x:f>
        <x:v>17.74579650985601</x:v>
      </x:c>
      <x:c r="N135" s="58" t="n">
        <x:f>(M134+M135)*'Scenario Inputs'!$C$34*(1-'Scenario Inputs'!$C$29)</x:f>
        <x:v>20.254200265331654</x:v>
      </x:c>
      <x:c r="O135" s="58" t="n">
        <x:f>(N134+N135)*'Scenario Inputs'!$C$34*(1-'Scenario Inputs'!$C$29)</x:f>
        <x:v>22.83285233836789</x:v>
      </x:c>
      <x:c r="P135" s="58" t="n">
        <x:f>(O134+O135)*'Scenario Inputs'!$C$34*(1-'Scenario Inputs'!$C$29)</x:f>
        <x:v>25.523965810557318</x:v>
      </x:c>
      <x:c r="Q135" s="58" t="n">
        <x:f>(P134+P135)*'Scenario Inputs'!$C$34*(1-'Scenario Inputs'!$C$29)</x:f>
        <x:v>29.38209435736033</x:v>
      </x:c>
      <x:c r="R135" s="58" t="n">
        <x:f>(Q134+Q135)*'Scenario Inputs'!$C$34*(1-'Scenario Inputs'!$C$29)</x:f>
        <x:v>33.07050958182887</x:v>
      </x:c>
      <x:c r="S135" s="58" t="n">
        <x:f>(R134+R135)*'Scenario Inputs'!$C$34*(1-'Scenario Inputs'!$C$29)</x:f>
        <x:v>36.6456668501061</x:v>
      </x:c>
      <x:c r="T135" s="58" t="n">
        <x:f>(S134+S135)*'Scenario Inputs'!$C$34*(1-'Scenario Inputs'!$C$29)</x:f>
        <x:v>40.15828520959211</x:v>
      </x:c>
      <x:c r="U135" s="58" t="n">
        <x:f>(T134+T135)*'Scenario Inputs'!$C$34*(1-'Scenario Inputs'!$C$29)</x:f>
        <x:v>43.65438948575668</x:v>
      </x:c>
      <x:c r="V135" s="58" t="n">
        <x:f>(U134+U135)*'Scenario Inputs'!$C$34*(1-'Scenario Inputs'!$C$29)</x:f>
        <x:v>47.17621599995867</x:v>
      </x:c>
      <x:c r="W135" s="58" t="n">
        <x:f>(V134+V135)*'Scenario Inputs'!$C$34*(1-'Scenario Inputs'!$C$29)</x:f>
        <x:v>52.09094238387483</x:v>
      </x:c>
      <x:c r="X135" s="58" t="n">
        <x:f>(W134+W135)*'Scenario Inputs'!$C$34*(1-'Scenario Inputs'!$C$29)</x:f>
        <x:v>56.913153366090484</x:v>
      </x:c>
      <x:c r="Y135" s="58" t="n">
        <x:f>(X134+X135)*'Scenario Inputs'!$C$34*(1-'Scenario Inputs'!$C$29)</x:f>
        <x:v>61.70655324468696</x:v>
      </x:c>
      <x:c r="Z135" s="58" t="n">
        <x:f>(Y134+Y135)*'Scenario Inputs'!$C$34*(1-'Scenario Inputs'!$C$29)</x:f>
        <x:v>66.52953281196828</x:v>
      </x:c>
      <x:c r="AA135" s="58" t="n">
        <x:f>(Z134+Z135)*'Scenario Inputs'!$C$34*(1-'Scenario Inputs'!$C$29)</x:f>
        <x:v>71.43626827598389</x:v>
      </x:c>
      <x:c r="AB135" s="58" t="n">
        <x:f>(AA134+AA135)*'Scenario Inputs'!$C$34*(1-'Scenario Inputs'!$C$29)</x:f>
        <x:v>76.47768498188265</x:v>
      </x:c>
      <x:c r="AC135" s="58" t="n">
        <x:f>(AB134+AB135)*'Scenario Inputs'!$C$34*(1-'Scenario Inputs'!$C$29)</x:f>
        <x:v>82.31704263395527</x:v>
      </x:c>
      <x:c r="AD135" s="58" t="n">
        <x:f>(AC134+AC135)*'Scenario Inputs'!$C$34*(1-'Scenario Inputs'!$C$29)</x:f>
        <x:v>88.03392757740602</x:v>
      </x:c>
      <x:c r="AE135" s="58" t="n">
        <x:f>(AD134+AD135)*'Scenario Inputs'!$C$34*(1-'Scenario Inputs'!$C$29)</x:f>
        <x:v>93.69021437187565</x:v>
      </x:c>
      <x:c r="AF135" s="58" t="n">
        <x:f>(AE134+AE135)*'Scenario Inputs'!$C$34*(1-'Scenario Inputs'!$C$29)</x:f>
        <x:v>99.3413558147794</x:v>
      </x:c>
      <x:c r="AG135" s="58" t="n">
        <x:f>(AF134+AF135)*'Scenario Inputs'!$C$34*(1-'Scenario Inputs'!$C$29)</x:f>
        <x:v>105.0374812876952</x:v>
      </x:c>
      <x:c r="AH135" s="58" t="n">
        <x:f>(AG134+AG135)*'Scenario Inputs'!$C$34*(1-'Scenario Inputs'!$C$29)</x:f>
        <x:v>110.82434379686447</x:v>
      </x:c>
      <x:c r="AI135" s="58" t="n">
        <x:f>(AH134+AH135)*'Scenario Inputs'!$C$34*(1-'Scenario Inputs'!$C$29)</x:f>
        <x:v>117.95135589669081</x:v>
      </x:c>
      <x:c r="AJ135" s="58" t="n">
        <x:f>(AI134+AI135)*'Scenario Inputs'!$C$34*(1-'Scenario Inputs'!$C$29)</x:f>
        <x:v>125.07390994654926</x:v>
      </x:c>
      <x:c r="AK135" s="58" t="n">
        <x:f>(AJ134+AJ135)*'Scenario Inputs'!$C$34*(1-'Scenario Inputs'!$C$29)</x:f>
        <x:v>132.25499479624193</x:v>
      </x:c>
    </x:row>
    <x:row r="136" ht="18" customHeight="1">
      <x:c r="A136" s="74" t="str">
        <x:v>ACTIVE MONTHLY SUBSCRIBERS</x:v>
      </x:c>
      <x:c r="B136" s="75" t="n">
        <x:f>SUM(B132:B135)</x:f>
        <x:v>4.6075</x:v>
      </x:c>
      <x:c r="C136" s="75" t="n">
        <x:f>SUM(C132:C135)</x:f>
        <x:v>7.725565</x:v>
      </x:c>
      <x:c r="D136" s="75" t="n">
        <x:f>SUM(D132:D135)</x:f>
        <x:v>10.419326537499998</x:v>
      </x:c>
      <x:c r="E136" s="75" t="n">
        <x:f>SUM(E132:E135)</x:f>
        <x:v>14.071452355609999</x:v>
      </x:c>
      <x:c r="F136" s="75" t="n">
        <x:f>SUM(F132:F135)</x:f>
        <x:v>17.354113640012695</x:v>
      </x:c>
      <x:c r="G136" s="75" t="n">
        <x:f>SUM(G132:G135)</x:f>
        <x:v>20.565102546770518</x:v>
      </x:c>
      <x:c r="H136" s="75" t="n">
        <x:f>SUM(H132:H135)</x:f>
        <x:v>25.945378800044345</x:v>
      </x:c>
      <x:c r="I136" s="75" t="n">
        <x:f>SUM(I132:I135)</x:f>
        <x:v>30.569404533666745</x:v>
      </x:c>
      <x:c r="J136" s="75" t="n">
        <x:f>SUM(J132:J135)</x:f>
        <x:v>35.036733904240684</x:v>
      </x:c>
      <x:c r="K136" s="75" t="n">
        <x:f>SUM(K132:K135)</x:f>
        <x:v>39.60548932527894</x:v>
      </x:c>
      <x:c r="L136" s="75" t="n">
        <x:f>SUM(L132:L135)</x:f>
        <x:v>44.351475191431476</x:v>
      </x:c>
      <x:c r="M136" s="75" t="n">
        <x:f>SUM(M132:M135)</x:f>
        <x:v>49.35027651418409</x:v>
      </x:c>
      <x:c r="N136" s="75" t="n">
        <x:f>SUM(N132:N135)</x:f>
        <x:v>57.47928560296551</x:v>
      </x:c>
      <x:c r="O136" s="75" t="n">
        <x:f>SUM(O132:O135)</x:f>
        <x:v>64.23889005357701</x:v>
      </x:c>
      <x:c r="P136" s="75" t="n">
        <x:f>SUM(P132:P135)</x:f>
        <x:v>70.57568470283165</x:v>
      </x:c>
      <x:c r="Q136" s="75" t="n">
        <x:f>SUM(Q132:Q135)</x:f>
        <x:v>76.85901570041057</x:v>
      </x:c>
      <x:c r="R136" s="75" t="n">
        <x:f>SUM(R132:R135)</x:f>
        <x:v>83.16664957171707</x:v>
      </x:c>
      <x:c r="S136" s="75" t="n">
        <x:f>SUM(S132:S135)</x:f>
        <x:v>89.57056297857929</x:v>
      </x:c>
      <x:c r="T136" s="75" t="n">
        <x:f>SUM(T132:T135)</x:f>
        <x:v>99.8124803919795</x:v>
      </x:c>
      <x:c r="U136" s="75" t="n">
        <x:f>SUM(U132:U135)</x:f>
        <x:v>108.74645491909871</x:v>
      </x:c>
      <x:c r="V136" s="75" t="n">
        <x:f>SUM(V132:V135)</x:f>
        <x:v>117.38739209978625</x:v>
      </x:c>
      <x:c r="W136" s="75" t="n">
        <x:f>SUM(W132:W135)</x:f>
        <x:v>126.15060998077954</x:v>
      </x:c>
      <x:c r="X136" s="75" t="n">
        <x:f>SUM(X132:X135)</x:f>
        <x:v>135.12919177983846</x:v>
      </x:c>
      <x:c r="Y136" s="75" t="n">
        <x:f>SUM(Y132:Y135)</x:f>
        <x:v>144.41147214062568</x:v>
      </x:c>
      <x:c r="Z136" s="75" t="n">
        <x:f>SUM(Z132:Z135)</x:f>
        <x:v>155.7833374068597</x:v>
      </x:c>
      <x:c r="AA136" s="75" t="n">
        <x:f>SUM(AA132:AA135)</x:f>
        <x:v>166.18934800557145</x:v>
      </x:c>
      <x:c r="AB136" s="75" t="n">
        <x:f>SUM(AB132:AB135)</x:f>
        <x:v>176.35769615743553</x:v>
      </x:c>
      <x:c r="AC136" s="75" t="n">
        <x:f>SUM(AC132:AC135)</x:f>
        <x:v>186.58221576103307</x:v>
      </x:c>
      <x:c r="AD136" s="75" t="n">
        <x:f>SUM(AD132:AD135)</x:f>
        <x:v>196.94737237310022</x:v>
      </x:c>
      <x:c r="AE136" s="75" t="n">
        <x:f>SUM(AE132:AE135)</x:f>
        <x:v>207.5308271363033</x:v>
      </x:c>
      <x:c r="AF136" s="75" t="n">
        <x:f>SUM(AF132:AF135)</x:f>
        <x:v>221.74498701173934</x:v>
      </x:c>
      <x:c r="AG136" s="75" t="n">
        <x:f>SUM(AG132:AG135)</x:f>
        <x:v>234.92128667878677</x:v>
      </x:c>
      <x:c r="AH136" s="75" t="n">
        <x:f>SUM(AH132:AH135)</x:f>
        <x:v>247.99075108580172</x:v>
      </x:c>
      <x:c r="AI136" s="75" t="n">
        <x:f>SUM(AI132:AI135)</x:f>
        <x:v>261.338199224204</x:v>
      </x:c>
      <x:c r="AJ136" s="75" t="n">
        <x:f>SUM(AJ132:AJ135)</x:f>
        <x:v>275.05441547495286</x:v>
      </x:c>
      <x:c r="AK136" s="75" t="n">
        <x:f>SUM(AK132:AK135)</x:f>
        <x:v>289.2247822575895</x:v>
      </x:c>
    </x:row>
    <x:row r="137" ht="18" customHeight="1">
      <x:c r="A137" s="4" t="str">
        <x:v>Monthly charge events before refunds</x:v>
      </x:c>
      <x:c r="B137" s="58" t="n">
        <x:f>B136/(1-'Scenario Inputs'!$C$29)</x:f>
        <x:v>4.75</x:v>
      </x:c>
      <x:c r="C137" s="58" t="n">
        <x:f>C136/(1-'Scenario Inputs'!$C$29)</x:f>
        <x:v>7.9645</x:v>
      </x:c>
      <x:c r="D137" s="58" t="n">
        <x:f>D136/(1-'Scenario Inputs'!$C$29)</x:f>
        <x:v>10.741573749999999</x:v>
      </x:c>
      <x:c r="E137" s="58" t="n">
        <x:f>E136/(1-'Scenario Inputs'!$C$29)</x:f>
        <x:v>14.506651912999999</x:v>
      </x:c>
      <x:c r="F137" s="58" t="n">
        <x:f>F136/(1-'Scenario Inputs'!$C$29)</x:f>
        <x:v>17.8908388041368</x:v>
      </x:c>
      <x:c r="G137" s="58" t="n">
        <x:f>G136/(1-'Scenario Inputs'!$C$29)</x:f>
        <x:v>21.201136646155174</x:v>
      </x:c>
      <x:c r="H137" s="58" t="n">
        <x:f>H136/(1-'Scenario Inputs'!$C$29)</x:f>
        <x:v>26.747813195922006</x:v>
      </x:c>
      <x:c r="I137" s="58" t="n">
        <x:f>I136/(1-'Scenario Inputs'!$C$29)</x:f>
        <x:v>31.514850034707987</x:v>
      </x:c>
      <x:c r="J137" s="58" t="n">
        <x:f>J136/(1-'Scenario Inputs'!$C$29)</x:f>
        <x:v>36.12034423117596</x:v>
      </x:c>
      <x:c r="K137" s="58" t="n">
        <x:f>K136/(1-'Scenario Inputs'!$C$29)</x:f>
        <x:v>40.83040136626695</x:v>
      </x:c>
      <x:c r="L137" s="58" t="n">
        <x:f>L136/(1-'Scenario Inputs'!$C$29)</x:f>
        <x:v>45.72317030044482</x:v>
      </x:c>
      <x:c r="M137" s="58" t="n">
        <x:f>M136/(1-'Scenario Inputs'!$C$29)</x:f>
        <x:v>50.87657372596298</x:v>
      </x:c>
      <x:c r="N137" s="58" t="n">
        <x:f>N136/(1-'Scenario Inputs'!$C$29)</x:f>
        <x:v>59.25699546697476</x:v>
      </x:c>
      <x:c r="O137" s="58" t="n">
        <x:f>O136/(1-'Scenario Inputs'!$C$29)</x:f>
        <x:v>66.22565984904847</x:v>
      </x:c>
      <x:c r="P137" s="58" t="n">
        <x:f>P136/(1-'Scenario Inputs'!$C$29)</x:f>
        <x:v>72.75843783797077</x:v>
      </x:c>
      <x:c r="Q137" s="58" t="n">
        <x:f>Q136/(1-'Scenario Inputs'!$C$29)</x:f>
        <x:v>79.23609866021708</x:v>
      </x:c>
      <x:c r="R137" s="58" t="n">
        <x:f>R136/(1-'Scenario Inputs'!$C$29)</x:f>
        <x:v>85.7388139914609</x:v>
      </x:c>
      <x:c r="S137" s="58" t="n">
        <x:f>S136/(1-'Scenario Inputs'!$C$29)</x:f>
        <x:v>92.34078657585493</x:v>
      </x:c>
      <x:c r="T137" s="58" t="n">
        <x:f>T136/(1-'Scenario Inputs'!$C$29)</x:f>
        <x:v>102.89946432162836</x:v>
      </x:c>
      <x:c r="U137" s="58" t="n">
        <x:f>U136/(1-'Scenario Inputs'!$C$29)</x:f>
        <x:v>112.10974733927702</x:v>
      </x:c>
      <x:c r="V137" s="58" t="n">
        <x:f>V136/(1-'Scenario Inputs'!$C$29)</x:f>
        <x:v>121.01792999977965</x:v>
      </x:c>
      <x:c r="W137" s="58" t="n">
        <x:f>W136/(1-'Scenario Inputs'!$C$29)</x:f>
        <x:v>130.05217523791706</x:v>
      </x:c>
      <x:c r="X137" s="58" t="n">
        <x:f>X136/(1-'Scenario Inputs'!$C$29)</x:f>
        <x:v>139.3084451338541</x:v>
      </x:c>
      <x:c r="Y137" s="58" t="n">
        <x:f>Y136/(1-'Scenario Inputs'!$C$29)</x:f>
        <x:v>148.87780633054194</x:v>
      </x:c>
      <x:c r="Z137" s="58" t="n">
        <x:f>Z136/(1-'Scenario Inputs'!$C$29)</x:f>
        <x:v>160.60137876995844</x:v>
      </x:c>
      <x:c r="AA137" s="58" t="n">
        <x:f>AA136/(1-'Scenario Inputs'!$C$29)</x:f>
        <x:v>171.3292247480118</x:v>
      </x:c>
      <x:c r="AB137" s="58" t="n">
        <x:f>AB136/(1-'Scenario Inputs'!$C$29)</x:f>
        <x:v>181.81205789426343</x:v>
      </x:c>
      <x:c r="AC137" s="58" t="n">
        <x:f>AC136/(1-'Scenario Inputs'!$C$29)</x:f>
        <x:v>192.35279975364236</x:v>
      </x:c>
      <x:c r="AD137" s="58" t="n">
        <x:f>AD136/(1-'Scenario Inputs'!$C$29)</x:f>
        <x:v>203.03852821969096</x:v>
      </x:c>
      <x:c r="AE137" s="58" t="n">
        <x:f>AE136/(1-'Scenario Inputs'!$C$29)</x:f>
        <x:v>213.94930632608586</x:v>
      </x:c>
      <x:c r="AF137" s="58" t="n">
        <x:f>AF136/(1-'Scenario Inputs'!$C$29)</x:f>
        <x:v>228.60307939354573</x:v>
      </x:c>
      <x:c r="AG137" s="58" t="n">
        <x:f>AG136/(1-'Scenario Inputs'!$C$29)</x:f>
        <x:v>242.18689348328533</x:v>
      </x:c>
      <x:c r="AH137" s="58" t="n">
        <x:f>AH136/(1-'Scenario Inputs'!$C$29)</x:f>
        <x:v>255.6605681296925</x:v>
      </x:c>
      <x:c r="AI137" s="58" t="n">
        <x:f>AI136/(1-'Scenario Inputs'!$C$29)</x:f>
        <x:v>269.42082394247836</x:v>
      </x:c>
      <x:c r="AJ137" s="58" t="n">
        <x:f>AJ136/(1-'Scenario Inputs'!$C$29)</x:f>
        <x:v>283.56125306696174</x:v>
      </x:c>
      <x:c r="AK137" s="58" t="n">
        <x:f>AK136/(1-'Scenario Inputs'!$C$29)</x:f>
        <x:v>298.1698786160716</x:v>
      </x:c>
    </x:row>
    <x:row r="138" ht="18" customHeight="1">
      <x:c r="A138" s="4" t="str"/>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c r="AA138" s="58"/>
      <x:c r="AB138" s="58"/>
      <x:c r="AC138" s="58"/>
      <x:c r="AD138" s="58"/>
      <x:c r="AE138" s="58"/>
      <x:c r="AF138" s="58"/>
      <x:c r="AG138" s="58"/>
      <x:c r="AH138" s="58"/>
      <x:c r="AI138" s="58"/>
      <x:c r="AJ138" s="58"/>
      <x:c r="AK138" s="58"/>
    </x:row>
    <x:row r="139" ht="18" customHeight="1">
      <x:c r="A139" s="74" t="str">
        <x:v>TOTAL ACTIVE PAID SUBSCRIBERS</x:v>
      </x:c>
      <x:c r="B139" s="75" t="n">
        <x:f>B129+B136</x:f>
        <x:v>18.43</x:v>
      </x:c>
      <x:c r="C139" s="75" t="n">
        <x:f>C129+C136</x:f>
        <x:v>36.680065</x:v>
      </x:c>
      <x:c r="D139" s="75" t="n">
        <x:f>D129+D136</x:f>
        <x:v>55.9724665375</x:v>
      </x:c>
      <x:c r="E139" s="75" t="n">
        <x:f>E129+E136</x:f>
        <x:v>80.77586915561</x:v>
      </x:c>
      <x:c r="F139" s="75" t="n">
        <x:f>F129+F136</x:f>
        <x:v>107.04956045601271</x:v>
      </x:c>
      <x:c r="G139" s="75" t="n">
        <x:f>G129+G136</x:f>
        <x:v>135.31210298069055</x:v>
      </x:c>
      <x:c r="H139" s="75" t="n">
        <x:f>H129+H136</x:f>
        <x:v>174.35671928603477</x:v>
      </x:c>
      <x:c r="I139" s="75" t="n">
        <x:f>I129+I136</x:f>
        <x:v>215.22980587797605</x:v>
      </x:c>
      <x:c r="J139" s="75" t="n">
        <x:f>J129+J136</x:f>
        <x:v>258.8410834098671</x:v>
      </x:c>
      <x:c r="K139" s="75" t="n">
        <x:f>K129+K136</x:f>
        <x:v>305.7960607715805</x:v>
      </x:c>
      <x:c r="L139" s="75" t="n">
        <x:f>L129+L136</x:f>
        <x:v>356.55961521128927</x:v>
      </x:c>
      <x:c r="M139" s="75" t="n">
        <x:f>M129+M136</x:f>
        <x:v>411.64309333642484</x:v>
      </x:c>
      <x:c r="N139" s="75" t="n">
        <x:f>N129+N136</x:f>
        <x:v>473.0138554172344</x:v>
      </x:c>
      <x:c r="O139" s="75" t="n">
        <x:f>O129+O136</x:f>
        <x:v>535.3664934356</x:v>
      </x:c>
      <x:c r="P139" s="75" t="n">
        <x:f>P129+P136</x:f>
        <x:v>599.7985672543925</x:v>
      </x:c>
      <x:c r="Q139" s="75" t="n">
        <x:f>Q129+Q136</x:f>
        <x:v>664.7748187610362</x:v>
      </x:c>
      <x:c r="R139" s="75" t="n">
        <x:f>R129+R136</x:f>
        <x:v>732.6024858084481</x:v>
      </x:c>
      <x:c r="S139" s="75" t="n">
        <x:f>S129+S136</x:f>
        <x:v>803.5275386706141</x:v>
      </x:c>
      <x:c r="T139" s="75" t="n">
        <x:f>T129+T136</x:f>
        <x:v>888.0258361442293</x:v>
      </x:c>
      <x:c r="U139" s="75" t="n">
        <x:f>U129+U136</x:f>
        <x:v>974.5881209070492</x:v>
      </x:c>
      <x:c r="V139" s="75" t="n">
        <x:f>V129+V136</x:f>
        <x:v>1064.4257502308972</x:v>
      </x:c>
      <x:c r="W139" s="75" t="n">
        <x:f>W129+W136</x:f>
        <x:v>1158.157413711194</x:v>
      </x:c>
      <x:c r="X139" s="75" t="n">
        <x:f>X129+X136</x:f>
        <x:v>1256.0859839578088</x:v>
      </x:c>
      <x:c r="Y139" s="75" t="n">
        <x:f>Y129+Y136</x:f>
        <x:v>1358.5153340517556</x:v>
      </x:c>
      <x:c r="Z139" s="75" t="n">
        <x:f>Z129+Z136</x:f>
        <x:v>1464.7209670374305</x:v>
      </x:c>
      <x:c r="AA139" s="75" t="n">
        <x:f>AA129+AA136</x:f>
        <x:v>1573.5371156202796</x:v>
      </x:c>
      <x:c r="AB139" s="75" t="n">
        <x:f>AB129+AB136</x:f>
        <x:v>1685.8493818675508</x:v>
      </x:c>
      <x:c r="AC139" s="75" t="n">
        <x:f>AC129+AC136</x:f>
        <x:v>1801.7184168208337</x:v>
      </x:c>
      <x:c r="AD139" s="75" t="n">
        <x:f>AD129+AD136</x:f>
        <x:v>1921.7898364898683</x:v>
      </x:c>
      <x:c r="AE139" s="75" t="n">
        <x:f>AE129+AE136</x:f>
        <x:v>2046.3114372868893</x:v>
      </x:c>
      <x:c r="AF139" s="75" t="n">
        <x:f>AF129+AF136</x:f>
        <x:v>2180.219118906248</x:v>
      </x:c>
      <x:c r="AG139" s="75" t="n">
        <x:f>AG129+AG136</x:f>
        <x:v>2317.6718959487694</x:v>
      </x:c>
      <x:c r="AH139" s="75" t="n">
        <x:f>AH129+AH136</x:f>
        <x:v>2459.780918146432</x:v>
      </x:c>
      <x:c r="AI139" s="75" t="n">
        <x:f>AI129+AI136</x:f>
        <x:v>2607.113506445608</x:v>
      </x:c>
      <x:c r="AJ139" s="75" t="n">
        <x:f>AJ129+AJ136</x:f>
        <x:v>2759.9446915052044</x:v>
      </x:c>
      <x:c r="AK139" s="75" t="n">
        <x:f>AK129+AK136</x:f>
        <x:v>2918.545101361778</x:v>
      </x:c>
    </x:row>
    <x:row r="140" ht="18" customHeight="1">
      <x:c r="A140" s="4" t="str">
        <x:v>Estimated active free users</x:v>
      </x:c>
      <x:c r="B140" s="58" t="n">
        <x:f>MAX('Commercial Inputs'!$B$27,B139*'Commercial Inputs'!$B$26)</x:f>
        <x:v>500</x:v>
      </x:c>
      <x:c r="C140" s="58" t="n">
        <x:f>MAX('Commercial Inputs'!$B$27,C139*'Commercial Inputs'!$B$26)</x:f>
        <x:v>733.6013</x:v>
      </x:c>
      <x:c r="D140" s="58" t="n">
        <x:f>MAX('Commercial Inputs'!$B$27,D139*'Commercial Inputs'!$B$26)</x:f>
        <x:v>1119.44933075</x:v>
      </x:c>
      <x:c r="E140" s="58" t="n">
        <x:f>MAX('Commercial Inputs'!$B$27,E139*'Commercial Inputs'!$B$26)</x:f>
        <x:v>1615.5173831122</x:v>
      </x:c>
      <x:c r="F140" s="58" t="n">
        <x:f>MAX('Commercial Inputs'!$B$27,F139*'Commercial Inputs'!$B$26)</x:f>
        <x:v>2140.991209120254</x:v>
      </x:c>
      <x:c r="G140" s="58" t="n">
        <x:f>MAX('Commercial Inputs'!$B$27,G139*'Commercial Inputs'!$B$26)</x:f>
        <x:v>2706.242059613811</x:v>
      </x:c>
      <x:c r="H140" s="58" t="n">
        <x:f>MAX('Commercial Inputs'!$B$27,H139*'Commercial Inputs'!$B$26)</x:f>
        <x:v>3487.1343857206957</x:v>
      </x:c>
      <x:c r="I140" s="58" t="n">
        <x:f>MAX('Commercial Inputs'!$B$27,I139*'Commercial Inputs'!$B$26)</x:f>
        <x:v>4304.596117559521</x:v>
      </x:c>
      <x:c r="J140" s="58" t="n">
        <x:f>MAX('Commercial Inputs'!$B$27,J139*'Commercial Inputs'!$B$26)</x:f>
        <x:v>5176.821668197343</x:v>
      </x:c>
      <x:c r="K140" s="58" t="n">
        <x:f>MAX('Commercial Inputs'!$B$27,K139*'Commercial Inputs'!$B$26)</x:f>
        <x:v>6115.92121543161</x:v>
      </x:c>
      <x:c r="L140" s="58" t="n">
        <x:f>MAX('Commercial Inputs'!$B$27,L139*'Commercial Inputs'!$B$26)</x:f>
        <x:v>7131.192304225786</x:v>
      </x:c>
      <x:c r="M140" s="58" t="n">
        <x:f>MAX('Commercial Inputs'!$B$27,M139*'Commercial Inputs'!$B$26)</x:f>
        <x:v>8232.861866728497</x:v>
      </x:c>
      <x:c r="N140" s="58" t="n">
        <x:f>MAX('Commercial Inputs'!$B$27,N139*'Commercial Inputs'!$B$26)</x:f>
        <x:v>9460.277108344688</x:v>
      </x:c>
      <x:c r="O140" s="58" t="n">
        <x:f>MAX('Commercial Inputs'!$B$27,O139*'Commercial Inputs'!$B$26)</x:f>
        <x:v>10707.329868712</x:v>
      </x:c>
      <x:c r="P140" s="58" t="n">
        <x:f>MAX('Commercial Inputs'!$B$27,P139*'Commercial Inputs'!$B$26)</x:f>
        <x:v>11995.971345087852</x:v>
      </x:c>
      <x:c r="Q140" s="58" t="n">
        <x:f>MAX('Commercial Inputs'!$B$27,Q139*'Commercial Inputs'!$B$26)</x:f>
        <x:v>13295.496375220722</x:v>
      </x:c>
      <x:c r="R140" s="58" t="n">
        <x:f>MAX('Commercial Inputs'!$B$27,R139*'Commercial Inputs'!$B$26)</x:f>
        <x:v>14652.049716168964</x:v>
      </x:c>
      <x:c r="S140" s="58" t="n">
        <x:f>MAX('Commercial Inputs'!$B$27,S139*'Commercial Inputs'!$B$26)</x:f>
        <x:v>16070.550773412284</x:v>
      </x:c>
      <x:c r="T140" s="58" t="n">
        <x:f>MAX('Commercial Inputs'!$B$27,T139*'Commercial Inputs'!$B$26)</x:f>
        <x:v>17760.516722884586</x:v>
      </x:c>
      <x:c r="U140" s="58" t="n">
        <x:f>MAX('Commercial Inputs'!$B$27,U139*'Commercial Inputs'!$B$26)</x:f>
        <x:v>19491.762418140985</x:v>
      </x:c>
      <x:c r="V140" s="58" t="n">
        <x:f>MAX('Commercial Inputs'!$B$27,V139*'Commercial Inputs'!$B$26)</x:f>
        <x:v>21288.515004617944</x:v>
      </x:c>
      <x:c r="W140" s="58" t="n">
        <x:f>MAX('Commercial Inputs'!$B$27,W139*'Commercial Inputs'!$B$26)</x:f>
        <x:v>23163.14827422388</x:v>
      </x:c>
      <x:c r="X140" s="58" t="n">
        <x:f>MAX('Commercial Inputs'!$B$27,X139*'Commercial Inputs'!$B$26)</x:f>
        <x:v>25121.719679156176</x:v>
      </x:c>
      <x:c r="Y140" s="58" t="n">
        <x:f>MAX('Commercial Inputs'!$B$27,Y139*'Commercial Inputs'!$B$26)</x:f>
        <x:v>27170.306681035112</x:v>
      </x:c>
      <x:c r="Z140" s="58" t="n">
        <x:f>MAX('Commercial Inputs'!$B$27,Z139*'Commercial Inputs'!$B$26)</x:f>
        <x:v>29294.41934074861</x:v>
      </x:c>
      <x:c r="AA140" s="58" t="n">
        <x:f>MAX('Commercial Inputs'!$B$27,AA139*'Commercial Inputs'!$B$26)</x:f>
        <x:v>31470.742312405593</x:v>
      </x:c>
      <x:c r="AB140" s="58" t="n">
        <x:f>MAX('Commercial Inputs'!$B$27,AB139*'Commercial Inputs'!$B$26)</x:f>
        <x:v>33716.98763735102</x:v>
      </x:c>
      <x:c r="AC140" s="58" t="n">
        <x:f>MAX('Commercial Inputs'!$B$27,AC139*'Commercial Inputs'!$B$26)</x:f>
        <x:v>36034.36833641667</x:v>
      </x:c>
      <x:c r="AD140" s="58" t="n">
        <x:f>MAX('Commercial Inputs'!$B$27,AD139*'Commercial Inputs'!$B$26)</x:f>
        <x:v>38435.79672979737</x:v>
      </x:c>
      <x:c r="AE140" s="58" t="n">
        <x:f>MAX('Commercial Inputs'!$B$27,AE139*'Commercial Inputs'!$B$26)</x:f>
        <x:v>40926.22874573778</x:v>
      </x:c>
      <x:c r="AF140" s="58" t="n">
        <x:f>MAX('Commercial Inputs'!$B$27,AF139*'Commercial Inputs'!$B$26)</x:f>
        <x:v>43604.38237812495</x:v>
      </x:c>
      <x:c r="AG140" s="58" t="n">
        <x:f>MAX('Commercial Inputs'!$B$27,AG139*'Commercial Inputs'!$B$26)</x:f>
        <x:v>46353.43791897539</x:v>
      </x:c>
      <x:c r="AH140" s="58" t="n">
        <x:f>MAX('Commercial Inputs'!$B$27,AH139*'Commercial Inputs'!$B$26)</x:f>
        <x:v>49195.618362928646</x:v>
      </x:c>
      <x:c r="AI140" s="58" t="n">
        <x:f>MAX('Commercial Inputs'!$B$27,AI139*'Commercial Inputs'!$B$26)</x:f>
        <x:v>52142.27012891216</x:v>
      </x:c>
      <x:c r="AJ140" s="58" t="n">
        <x:f>MAX('Commercial Inputs'!$B$27,AJ139*'Commercial Inputs'!$B$26)</x:f>
        <x:v>55198.89383010409</x:v>
      </x:c>
      <x:c r="AK140" s="58" t="n">
        <x:f>MAX('Commercial Inputs'!$B$27,AK139*'Commercial Inputs'!$B$26)</x:f>
        <x:v>58370.90202723556</x:v>
      </x:c>
    </x:row>
    <x:row r="141" ht="18" customHeight="1">
      <x:c r="A141" s="4" t="str">
        <x:v>Earned annual-plan revenue (INR)</x:v>
      </x:c>
      <x:c r="B141" s="58" t="n">
        <x:f>B129*$B$189/'Commercial Inputs'!$B$46</x:f>
        <x:v>3267.969724788136</x:v>
      </x:c>
      <x:c r="C141" s="58" t="n">
        <x:f>C129*$B$189/'Commercial Inputs'!$B$46</x:f>
        <x:v>6845.536581398307</x:v>
      </x:c>
      <x:c r="D141" s="58" t="n">
        <x:f>D129*$B$189/'Commercial Inputs'!$B$46</x:f>
        <x:v>10769.852225649154</x:v>
      </x:c>
      <x:c r="E141" s="58" t="n">
        <x:f>E129*$B$189/'Commercial Inputs'!$B$46</x:f>
        <x:v>15770.52013832875</x:v>
      </x:c>
      <x:c r="F141" s="58" t="n">
        <x:f>F129*$B$189/'Commercial Inputs'!$B$46</x:f>
        <x:v>21206.149730224814</x:v>
      </x:c>
      <x:c r="G141" s="58" t="n">
        <x:f>G129*$B$189/'Commercial Inputs'!$B$46</x:f>
        <x:v>27128.936402843316</x:v>
      </x:c>
      <x:c r="H141" s="58" t="n">
        <x:f>H129*$B$189/'Commercial Inputs'!$B$46</x:f>
        <x:v>35087.99186279186</x:v>
      </x:c>
      <x:c r="I141" s="58" t="n">
        <x:f>I129*$B$189/'Commercial Inputs'!$B$46</x:f>
        <x:v>43658.13716479864</x:v>
      </x:c>
      <x:c r="J141" s="58" t="n">
        <x:f>J129*$B$189/'Commercial Inputs'!$B$46</x:f>
        <x:v>52912.70308991064</x:v>
      </x:c>
      <x:c r="K141" s="58" t="n">
        <x:f>K129*$B$189/'Commercial Inputs'!$B$46</x:f>
        <x:v>62933.82011290048</x:v>
      </x:c>
      <x:c r="L141" s="58" t="n">
        <x:f>L129*$B$189/'Commercial Inputs'!$B$46</x:f>
        <x:v>73813.47436551351</x:v>
      </x:c>
      <x:c r="M141" s="58" t="n">
        <x:f>M129*$B$189/'Commercial Inputs'!$B$46</x:f>
        <x:v>85654.69031530451</x:v>
      </x:c>
      <x:c r="N141" s="58" t="n">
        <x:f>N129*$B$189/'Commercial Inputs'!$B$46</x:f>
        <x:v>98242.31461428055</x:v>
      </x:c>
      <x:c r="O141" s="58" t="n">
        <x:f>O129*$B$189/'Commercial Inputs'!$B$46</x:f>
        <x:v>111385.83789939906</x:v>
      </x:c>
      <x:c r="P141" s="58" t="n">
        <x:f>P129*$B$189/'Commercial Inputs'!$B$46</x:f>
        <x:v>125120.951914893</x:v>
      </x:c>
      <x:c r="Q141" s="58" t="n">
        <x:f>Q129*$B$189/'Commercial Inputs'!$B$46</x:f>
        <x:v>138997.36264254866</x:v>
      </x:c>
      <x:c r="R141" s="58" t="n">
        <x:f>R129*$B$189/'Commercial Inputs'!$B$46</x:f>
        <x:v>153542.1704477557</x:v>
      </x:c>
      <x:c r="S141" s="58" t="n">
        <x:f>S129*$B$189/'Commercial Inputs'!$B$46</x:f>
        <x:v>168796.51158349568</x:v>
      </x:c>
      <x:c r="T141" s="58" t="n">
        <x:f>T129*$B$189/'Commercial Inputs'!$B$46</x:f>
        <x:v>186352.4965289935</x:v>
      </x:c>
      <x:c r="U141" s="58" t="n">
        <x:f>U129*$B$189/'Commercial Inputs'!$B$46</x:f>
        <x:v>204705.6864466445</x:v>
      </x:c>
      <x:c r="V141" s="58" t="n">
        <x:f>V129*$B$189/'Commercial Inputs'!$B$46</x:f>
        <x:v>223902.5272263002</x:v>
      </x:c>
      <x:c r="W141" s="58" t="n">
        <x:f>W129*$B$189/'Commercial Inputs'!$B$46</x:f>
        <x:v>243991.10076804968</x:v>
      </x:c>
      <x:c r="X141" s="58" t="n">
        <x:f>X129*$B$189/'Commercial Inputs'!$B$46</x:f>
        <x:v>265021.0063037246</x:v>
      </x:c>
      <x:c r="Y141" s="58" t="n">
        <x:f>Y129*$B$189/'Commercial Inputs'!$B$46</x:f>
        <x:v>287043.202277007</x:v>
      </x:c>
      <x:c r="Z141" s="58" t="n">
        <x:f>Z129*$B$189/'Commercial Inputs'!$B$46</x:f>
        <x:v>309464.174011116</x:v>
      </x:c>
      <x:c r="AA141" s="58" t="n">
        <x:f>AA129*$B$189/'Commercial Inputs'!$B$46</x:f>
        <x:v>332730.6852460145</x:v>
      </x:c>
      <x:c r="AB141" s="58" t="n">
        <x:f>AB129*$B$189/'Commercial Inputs'!$B$46</x:f>
        <x:v>356879.95143570733</x:v>
      </x:c>
      <x:c r="AC141" s="58" t="n">
        <x:f>AC129*$B$189/'Commercial Inputs'!$B$46</x:f>
        <x:v>381856.84257353964</x:v>
      </x:c>
      <x:c r="AD141" s="58" t="n">
        <x:f>AD129*$B$189/'Commercial Inputs'!$B$46</x:f>
        <x:v>407794.028052998</x:v>
      </x:c>
      <x:c r="AE141" s="58" t="n">
        <x:f>AE129*$B$189/'Commercial Inputs'!$B$46</x:f>
        <x:v>434731.731922559</x:v>
      </x:c>
      <x:c r="AF141" s="58" t="n">
        <x:f>AF129*$B$189/'Commercial Inputs'!$B$46</x:f>
        <x:v>463030.1443162944</x:v>
      </x:c>
      <x:c r="AG141" s="58" t="n">
        <x:f>AG129*$B$189/'Commercial Inputs'!$B$46</x:f>
        <x:v>492412.07707566273</x:v>
      </x:c>
      <x:c r="AH141" s="58" t="n">
        <x:f>AH129*$B$189/'Commercial Inputs'!$B$46</x:f>
        <x:v>522920.11600927723</x:v>
      </x:c>
      <x:c r="AI141" s="58" t="n">
        <x:f>AI129*$B$189/'Commercial Inputs'!$B$46</x:f>
        <x:v>554597.4089459315</x:v>
      </x:c>
      <x:c r="AJ141" s="58" t="n">
        <x:f>AJ129*$B$189/'Commercial Inputs'!$B$46</x:f>
        <x:v>587487.5161141108</x:v>
      </x:c>
      <x:c r="AK141" s="58" t="n">
        <x:f>AK129*$B$189/'Commercial Inputs'!$B$46</x:f>
        <x:v>621634.234009967</x:v>
      </x:c>
    </x:row>
    <x:row r="142" ht="18" customHeight="1">
      <x:c r="A142" s="4" t="str">
        <x:v>Earned monthly-plan revenue (INR)</x:v>
      </x:c>
      <x:c r="B142" s="58" t="n">
        <x:f>B136*$B$190</x:f>
        <x:v>1879.2461872881356</x:v>
      </x:c>
      <x:c r="C142" s="58" t="n">
        <x:f>C136*$B$190</x:f>
        <x:v>3151.001317611864</x:v>
      </x:c>
      <x:c r="D142" s="58" t="n">
        <x:f>D136*$B$190</x:f>
        <x:v>4249.6971610866985</x:v>
      </x:c>
      <x:c r="E142" s="58" t="n">
        <x:f>E136*$B$190</x:f>
        <x:v>5739.277957436081</x:v>
      </x:c>
      <x:c r="F142" s="58" t="n">
        <x:f>F136*$B$190</x:f>
        <x:v>7078.166444223307</x:v>
      </x:c>
      <x:c r="G142" s="58" t="n">
        <x:f>G136*$B$190</x:f>
        <x:v>8387.82214914987</x:v>
      </x:c>
      <x:c r="H142" s="58" t="n">
        <x:f>H136*$B$190</x:f>
        <x:v>10582.258098259308</x:v>
      </x:c>
      <x:c r="I142" s="58" t="n">
        <x:f>I136*$B$190</x:f>
        <x:v>12468.244583301546</x:v>
      </x:c>
      <x:c r="J142" s="58" t="n">
        <x:f>J136*$B$190</x:f>
        <x:v>14290.319827362617</x:v>
      </x:c>
      <x:c r="K142" s="58" t="n">
        <x:f>K136*$B$190</x:f>
        <x:v>16153.763388000303</x:v>
      </x:c>
      <x:c r="L142" s="58" t="n">
        <x:f>L136*$B$190</x:f>
        <x:v>18089.493359544642</x:v>
      </x:c>
      <x:c r="M142" s="58" t="n">
        <x:f>M136*$B$190</x:f>
        <x:v>20128.338357220982</x:v>
      </x:c>
      <x:c r="N142" s="58" t="n">
        <x:f>N136*$B$190</x:f>
        <x:v>23443.8911160974</x:v>
      </x:c>
      <x:c r="O142" s="58" t="n">
        <x:f>O136*$B$190</x:f>
        <x:v>26200.909215150587</x:v>
      </x:c>
      <x:c r="P142" s="58" t="n">
        <x:f>P136*$B$190</x:f>
        <x:v>28785.47724211524</x:v>
      </x:c>
      <x:c r="Q142" s="58" t="n">
        <x:f>Q136*$B$190</x:f>
        <x:v>31348.239221641998</x:v>
      </x:c>
      <x:c r="R142" s="58" t="n">
        <x:f>R136*$B$190</x:f>
        <x:v>33920.91353601254</x:v>
      </x:c>
      <x:c r="S142" s="58" t="n">
        <x:f>S136*$B$190</x:f>
        <x:v>36532.85707449744</x:v>
      </x:c>
      <x:c r="T142" s="58" t="n">
        <x:f>T136*$B$190</x:f>
        <x:v>40710.19494745508</x:v>
      </x:c>
      <x:c r="U142" s="58" t="n">
        <x:f>U136*$B$190</x:f>
        <x:v>44354.06636740475</x:v>
      </x:c>
      <x:c r="V142" s="58" t="n">
        <x:f>V136*$B$190</x:f>
        <x:v>47878.41758854492</x:v>
      </x:c>
      <x:c r="W142" s="58" t="n">
        <x:f>W136*$B$190</x:f>
        <x:v>51452.64304513349</x:v>
      </x:c>
      <x:c r="X142" s="58" t="n">
        <x:f>X136*$B$190</x:f>
        <x:v>55114.70828943868</x:v>
      </x:c>
      <x:c r="Y142" s="58" t="n">
        <x:f>Y136*$B$190</x:f>
        <x:v>58900.64208810366</x:v>
      </x:c>
      <x:c r="Z142" s="58" t="n">
        <x:f>Z136*$B$190</x:f>
        <x:v>63538.848152981496</x:v>
      </x:c>
      <x:c r="AA142" s="58" t="n">
        <x:f>AA136*$B$190</x:f>
        <x:v>67783.11418499648</x:v>
      </x:c>
      <x:c r="AB142" s="58" t="n">
        <x:f>AB136*$B$190</x:f>
        <x:v>71930.44560016933</x:v>
      </x:c>
      <x:c r="AC142" s="58" t="n">
        <x:f>AC136*$B$190</x:f>
        <x:v>76100.6874844696</x:v>
      </x:c>
      <x:c r="AD142" s="58" t="n">
        <x:f>AD136*$B$190</x:f>
        <x:v>80328.29053251553</x:v>
      </x:c>
      <x:c r="AE142" s="58" t="n">
        <x:f>AE136*$B$190</x:f>
        <x:v>84644.9301444712</x:v>
      </x:c>
      <x:c r="AF142" s="58" t="n">
        <x:f>AF136*$B$190</x:f>
        <x:v>90442.41375845215</x:v>
      </x:c>
      <x:c r="AG142" s="58" t="n">
        <x:f>AG136*$B$190</x:f>
        <x:v>95816.58867149932</x:v>
      </x:c>
      <x:c r="AH142" s="58" t="n">
        <x:f>AH136*$B$190</x:f>
        <x:v>101147.18903108279</x:v>
      </x:c>
      <x:c r="AI142" s="58" t="n">
        <x:f>AI136*$B$190</x:f>
        <x:v>106591.16971998537</x:v>
      </x:c>
      <x:c r="AJ142" s="58" t="n">
        <x:f>AJ136*$B$190</x:f>
        <x:v>112185.5586713124</x:v>
      </x:c>
      <x:c r="AK142" s="58" t="n">
        <x:f>AK136*$B$190</x:f>
        <x:v>117965.18053756186</x:v>
      </x:c>
    </x:row>
    <x:row r="143" ht="18" customHeight="1">
      <x:c r="A143" s="74" t="str">
        <x:v>EARNED REVENUE, NET OF SALES TAX / REFUNDS</x:v>
      </x:c>
      <x:c r="B143" s="75" t="n">
        <x:f>SUM(B141:B142)</x:f>
        <x:v>5147.215912076272</x:v>
      </x:c>
      <x:c r="C143" s="75" t="n">
        <x:f>SUM(C141:C142)</x:f>
        <x:v>9996.53789901017</x:v>
      </x:c>
      <x:c r="D143" s="75" t="n">
        <x:f>SUM(D141:D142)</x:f>
        <x:v>15019.549386735853</x:v>
      </x:c>
      <x:c r="E143" s="75" t="n">
        <x:f>SUM(E141:E142)</x:f>
        <x:v>21509.798095764832</x:v>
      </x:c>
      <x:c r="F143" s="75" t="n">
        <x:f>SUM(F141:F142)</x:f>
        <x:v>28284.31617444812</x:v>
      </x:c>
      <x:c r="G143" s="75" t="n">
        <x:f>SUM(G141:G142)</x:f>
        <x:v>35516.75855199319</x:v>
      </x:c>
      <x:c r="H143" s="75" t="n">
        <x:f>SUM(H141:H142)</x:f>
        <x:v>45670.249961051166</x:v>
      </x:c>
      <x:c r="I143" s="75" t="n">
        <x:f>SUM(I141:I142)</x:f>
        <x:v>56126.38174810018</x:v>
      </x:c>
      <x:c r="J143" s="75" t="n">
        <x:f>SUM(J141:J142)</x:f>
        <x:v>67203.02291727325</x:v>
      </x:c>
      <x:c r="K143" s="75" t="n">
        <x:f>SUM(K141:K142)</x:f>
        <x:v>79087.58350090079</x:v>
      </x:c>
      <x:c r="L143" s="75" t="n">
        <x:f>SUM(L141:L142)</x:f>
        <x:v>91902.96772505814</x:v>
      </x:c>
      <x:c r="M143" s="75" t="n">
        <x:f>SUM(M141:M142)</x:f>
        <x:v>105783.0286725255</x:v>
      </x:c>
      <x:c r="N143" s="75" t="n">
        <x:f>SUM(N141:N142)</x:f>
        <x:v>121686.20573037794</x:v>
      </x:c>
      <x:c r="O143" s="75" t="n">
        <x:f>SUM(O141:O142)</x:f>
        <x:v>137586.74711454965</x:v>
      </x:c>
      <x:c r="P143" s="75" t="n">
        <x:f>SUM(P141:P142)</x:f>
        <x:v>153906.42915700824</x:v>
      </x:c>
      <x:c r="Q143" s="75" t="n">
        <x:f>SUM(Q141:Q142)</x:f>
        <x:v>170345.60186419066</x:v>
      </x:c>
      <x:c r="R143" s="75" t="n">
        <x:f>SUM(R141:R142)</x:f>
        <x:v>187463.08398376824</x:v>
      </x:c>
      <x:c r="S143" s="75" t="n">
        <x:f>SUM(S141:S142)</x:f>
        <x:v>205329.36865799312</x:v>
      </x:c>
      <x:c r="T143" s="75" t="n">
        <x:f>SUM(T141:T142)</x:f>
        <x:v>227062.69147644858</x:v>
      </x:c>
      <x:c r="U143" s="75" t="n">
        <x:f>SUM(U141:U142)</x:f>
        <x:v>249059.75281404925</x:v>
      </x:c>
      <x:c r="V143" s="75" t="n">
        <x:f>SUM(V141:V142)</x:f>
        <x:v>271780.9448148451</x:v>
      </x:c>
      <x:c r="W143" s="75" t="n">
        <x:f>SUM(W141:W142)</x:f>
        <x:v>295443.74381318316</x:v>
      </x:c>
      <x:c r="X143" s="75" t="n">
        <x:f>SUM(X141:X142)</x:f>
        <x:v>320135.7145931633</x:v>
      </x:c>
      <x:c r="Y143" s="75" t="n">
        <x:f>SUM(Y141:Y142)</x:f>
        <x:v>345943.8443651106</x:v>
      </x:c>
      <x:c r="Z143" s="75" t="n">
        <x:f>SUM(Z141:Z142)</x:f>
        <x:v>373003.02216409746</x:v>
      </x:c>
      <x:c r="AA143" s="75" t="n">
        <x:f>SUM(AA141:AA142)</x:f>
        <x:v>400513.79943101096</x:v>
      </x:c>
      <x:c r="AB143" s="75" t="n">
        <x:f>SUM(AB141:AB142)</x:f>
        <x:v>428810.39703587664</x:v>
      </x:c>
      <x:c r="AC143" s="75" t="n">
        <x:f>SUM(AC141:AC142)</x:f>
        <x:v>457957.53005800926</x:v>
      </x:c>
      <x:c r="AD143" s="75" t="n">
        <x:f>SUM(AD141:AD142)</x:f>
        <x:v>488122.3185855135</x:v>
      </x:c>
      <x:c r="AE143" s="75" t="n">
        <x:f>SUM(AE141:AE142)</x:f>
        <x:v>519376.6620670302</x:v>
      </x:c>
      <x:c r="AF143" s="75" t="n">
        <x:f>SUM(AF141:AF142)</x:f>
        <x:v>553472.5580747465</x:v>
      </x:c>
      <x:c r="AG143" s="75" t="n">
        <x:f>SUM(AG141:AG142)</x:f>
        <x:v>588228.6657471621</x:v>
      </x:c>
      <x:c r="AH143" s="75" t="n">
        <x:f>SUM(AH141:AH142)</x:f>
        <x:v>624067.30504036</x:v>
      </x:c>
      <x:c r="AI143" s="75" t="n">
        <x:f>SUM(AI141:AI142)</x:f>
        <x:v>661188.5786659168</x:v>
      </x:c>
      <x:c r="AJ143" s="75" t="n">
        <x:f>SUM(AJ141:AJ142)</x:f>
        <x:v>699673.0747854232</x:v>
      </x:c>
      <x:c r="AK143" s="75" t="n">
        <x:f>SUM(AK141:AK142)</x:f>
        <x:v>739599.4145475288</x:v>
      </x:c>
    </x:row>
    <x:row r="144" ht="18" customHeight="1">
      <x:c r="A144" s="4" t="str">
        <x:v>Annual gross billings, ex-tax (INR)</x:v>
      </x:c>
      <x:c r="B144" s="58" t="n">
        <x:f>B130*$B$189</x:f>
        <x:v>40428.49144067797</x:v>
      </x:c>
      <x:c r="C144" s="58" t="n">
        <x:f>C130*$B$189</x:f>
        <x:v>44258.55905084747</x:v>
      </x:c>
      <x:c r="D144" s="58" t="n">
        <x:f>D130*$B$189</x:f>
        <x:v>48548.23477423729</x:v>
      </x:c>
      <x:c r="E144" s="58" t="n">
        <x:f>E130*$B$189</x:f>
        <x:v>61863.932940366125</x:v>
      </x:c>
      <x:c r="F144" s="58" t="n">
        <x:f>F130*$B$189</x:f>
        <x:v>67244.90216778633</x:v>
      </x:c>
      <x:c r="G144" s="58" t="n">
        <x:f>G130*$B$189</x:f>
        <x:v>73271.58770249695</x:v>
      </x:c>
      <x:c r="H144" s="58" t="n">
        <x:f>H130*$B$189</x:f>
        <x:v>98462.54177255934</x:v>
      </x:c>
      <x:c r="I144" s="58" t="n">
        <x:f>I130*$B$189</x:f>
        <x:v>106022.41610730035</x:v>
      </x:c>
      <x:c r="J144" s="58" t="n">
        <x:f>J130*$B$189</x:f>
        <x:v>114489.47536221029</x:v>
      </x:c>
      <x:c r="K144" s="58" t="n">
        <x:f>K130*$B$189</x:f>
        <x:v>123972.58172770942</x:v>
      </x:c>
      <x:c r="L144" s="58" t="n">
        <x:f>L130*$B$189</x:f>
        <x:v>134593.66085706843</x:v>
      </x:c>
      <x:c r="M144" s="58" t="n">
        <x:f>M130*$B$189</x:f>
        <x:v>146489.2694819506</x:v>
      </x:c>
      <x:c r="N144" s="58" t="n">
        <x:f>N130*$B$189</x:f>
        <x:v>196151.6786445051</x:v>
      </x:c>
      <x:c r="O144" s="58" t="n">
        <x:f>O130*$B$189</x:f>
        <x:v>206858.8471141694</x:v>
      </x:c>
      <x:c r="P144" s="58" t="n">
        <x:f>P130*$B$189</x:f>
        <x:v>218467.17104838917</x:v>
      </x:c>
      <x:c r="Q144" s="58" t="n">
        <x:f>Q130*$B$189</x:f>
        <x:v>233530.86977734306</x:v>
      </x:c>
      <x:c r="R144" s="58" t="n">
        <x:f>R130*$B$189</x:f>
        <x:v>247180.6688301416</x:v>
      </x:c>
      <x:c r="S144" s="58" t="n">
        <x:f>S130*$B$189</x:f>
        <x:v>261985.08628897113</x:v>
      </x:c>
      <x:c r="T144" s="58" t="n">
        <x:f>T130*$B$189</x:f>
        <x:v>315649.98439727444</x:v>
      </x:c>
      <x:c r="U144" s="58" t="n">
        <x:f>U130*$B$189</x:f>
        <x:v>333072.18828442617</x:v>
      </x:c>
      <x:c r="V144" s="58" t="n">
        <x:f>V130*$B$189</x:f>
        <x:v>351976.16541980626</x:v>
      </x:c>
      <x:c r="W144" s="58" t="n">
        <x:f>W130*$B$189</x:f>
        <x:v>372491.01729574415</x:v>
      </x:c>
      <x:c r="X144" s="58" t="n">
        <x:f>X130*$B$189</x:f>
        <x:v>394757.4406798513</x:v>
      </x:c>
      <x:c r="Y144" s="58" t="n">
        <x:f>Y130*$B$189</x:f>
        <x:v>418928.8072957528</x:v>
      </x:c>
      <x:c r="Z144" s="58" t="n">
        <x:f>Z130*$B$189</x:f>
        <x:v>473524.5248396687</x:v>
      </x:c>
      <x:c r="AA144" s="58" t="n">
        <x:f>AA130*$B$189</x:f>
        <x:v>494691.97579332563</x:v>
      </x:c>
      <x:c r="AB144" s="58" t="n">
        <x:f>AB130*$B$189</x:f>
        <x:v>517220.97958067205</x:v>
      </x:c>
      <x:c r="AC144" s="58" t="n">
        <x:f>AC130*$B$189</x:f>
        <x:v>542523.3374618666</x:v>
      </x:c>
      <x:c r="AD144" s="58" t="n">
        <x:f>AD130*$B$189</x:f>
        <x:v>568053.0665141615</x:v>
      </x:c>
      <x:c r="AE144" s="58" t="n">
        <x:f>AE130*$B$189</x:f>
        <x:v>595235.0310670447</x:v>
      </x:c>
      <x:c r="AF144" s="58" t="n">
        <x:f>AF130*$B$189</x:f>
        <x:v>665733.4366909085</x:v>
      </x:c>
      <x:c r="AG144" s="58" t="n">
        <x:f>AG130*$B$189</x:f>
        <x:v>696560.016235374</x:v>
      </x:c>
      <x:c r="AH144" s="58" t="n">
        <x:f>AH130*$B$189</x:f>
        <x:v>729395.2037737991</x:v>
      </x:c>
      <x:c r="AI144" s="58" t="n">
        <x:f>AI130*$B$189</x:f>
        <x:v>764375.0536254867</x:v>
      </x:c>
      <x:c r="AJ144" s="58" t="n">
        <x:f>AJ130*$B$189</x:f>
        <x:v>801645.3644099059</x:v>
      </x:c>
      <x:c r="AK144" s="58" t="n">
        <x:f>AK130*$B$189</x:f>
        <x:v>841362.4307496434</x:v>
      </x:c>
    </x:row>
    <x:row r="145" ht="18" customHeight="1">
      <x:c r="A145" s="4" t="str">
        <x:v>Monthly gross billings, ex-tax (INR)</x:v>
      </x:c>
      <x:c r="B145" s="58" t="n">
        <x:f>B137*$B$190</x:f>
        <x:v>1937.3672033898306</x:v>
      </x:c>
      <x:c r="C145" s="58" t="n">
        <x:f>C137*$B$190</x:f>
        <x:v>3248.4549666101693</x:v>
      </x:c>
      <x:c r="D145" s="58" t="n">
        <x:f>D137*$B$190</x:f>
        <x:v>4381.131093903813</x:v>
      </x:c>
      <x:c r="E145" s="58" t="n">
        <x:f>E137*$B$190</x:f>
        <x:v>5916.781399418641</x:v>
      </x:c>
      <x:c r="F145" s="58" t="n">
        <x:f>F137*$B$190</x:f>
        <x:v>7297.078808477636</x:v>
      </x:c>
      <x:c r="G145" s="58" t="n">
        <x:f>G137*$B$190</x:f>
        <x:v>8647.239329020484</x:v>
      </x:c>
      <x:c r="H145" s="58" t="n">
        <x:f>H137*$B$190</x:f>
        <x:v>10909.544431195163</x:v>
      </x:c>
      <x:c r="I145" s="58" t="n">
        <x:f>I137*$B$190</x:f>
        <x:v>12853.860395156235</x:v>
      </x:c>
      <x:c r="J145" s="58" t="n">
        <x:f>J137*$B$190</x:f>
        <x:v>14732.288481817131</x:v>
      </x:c>
      <x:c r="K145" s="58" t="n">
        <x:f>K137*$B$190</x:f>
        <x:v>16653.364317526088</x:v>
      </x:c>
      <x:c r="L145" s="58" t="n">
        <x:f>L137*$B$190</x:f>
        <x:v>18648.962226334683</x:v>
      </x:c>
      <x:c r="M145" s="58" t="n">
        <x:f>M137*$B$190</x:f>
        <x:v>20750.864285794825</x:v>
      </x:c>
      <x:c r="N145" s="58" t="n">
        <x:f>N137*$B$190</x:f>
        <x:v>24168.959913502473</x:v>
      </x:c>
      <x:c r="O145" s="58" t="n">
        <x:f>O137*$B$190</x:f>
        <x:v>27011.24661355731</x:v>
      </x:c>
      <x:c r="P145" s="58" t="n">
        <x:f>P137*$B$190</x:f>
        <x:v>29675.749734139423</x:v>
      </x:c>
      <x:c r="Q145" s="58" t="n">
        <x:f>Q137*$B$190</x:f>
        <x:v>32317.77239344536</x:v>
      </x:c>
      <x:c r="R145" s="58" t="n">
        <x:f>R137*$B$190</x:f>
        <x:v>34970.0139546521</x:v>
      </x:c>
      <x:c r="S145" s="58" t="n">
        <x:f>S137*$B$190</x:f>
        <x:v>37662.73925205922</x:v>
      </x:c>
      <x:c r="T145" s="58" t="n">
        <x:f>T137*$B$190</x:f>
        <x:v>41969.27314170627</x:v>
      </x:c>
      <x:c r="U145" s="58" t="n">
        <x:f>U137*$B$190</x:f>
        <x:v>45725.84161588118</x:v>
      </x:c>
      <x:c r="V145" s="58" t="n">
        <x:f>V137*$B$190</x:f>
        <x:v>49359.1933902525</x:v>
      </x:c>
      <x:c r="W145" s="58" t="n">
        <x:f>W137*$B$190</x:f>
        <x:v>53043.96190219948</x:v>
      </x:c>
      <x:c r="X145" s="58" t="n">
        <x:f>X137*$B$190</x:f>
        <x:v>56819.28689632854</x:v>
      </x:c>
      <x:c r="Y145" s="58" t="n">
        <x:f>Y137*$B$190</x:f>
        <x:v>60722.31143103471</x:v>
      </x:c>
      <x:c r="Z145" s="58" t="n">
        <x:f>Z137*$B$190</x:f>
        <x:v>65503.967168022165</x:v>
      </x:c>
      <x:c r="AA145" s="58" t="n">
        <x:f>AA137*$B$190</x:f>
        <x:v>69879.49915979018</x:v>
      </x:c>
      <x:c r="AB145" s="58" t="n">
        <x:f>AB137*$B$190</x:f>
        <x:v>74155.0985568756</x:v>
      </x:c>
      <x:c r="AC145" s="58" t="n">
        <x:f>AC137*$B$190</x:f>
        <x:v>78454.31699429857</x:v>
      </x:c>
      <x:c r="AD145" s="58" t="n">
        <x:f>AD137*$B$190</x:f>
        <x:v>82812.67065207787</x:v>
      </x:c>
      <x:c r="AE145" s="58" t="n">
        <x:f>AE137*$B$190</x:f>
        <x:v>87262.81458192908</x:v>
      </x:c>
      <x:c r="AF145" s="58" t="n">
        <x:f>AF137*$B$190</x:f>
        <x:v>93239.60181283728</x:v>
      </x:c>
      <x:c r="AG145" s="58" t="n">
        <x:f>AG137*$B$190</x:f>
        <x:v>98779.98832113332</x:v>
      </x:c>
      <x:c r="AH145" s="58" t="n">
        <x:f>AH137*$B$190</x:f>
        <x:v>104275.45260936371</x:v>
      </x:c>
      <x:c r="AI145" s="58" t="n">
        <x:f>AI137*$B$190</x:f>
        <x:v>109887.80383503647</x:v>
      </x:c>
      <x:c r="AJ145" s="58" t="n">
        <x:f>AJ137*$B$190</x:f>
        <x:v>115655.21512506435</x:v>
      </x:c>
      <x:c r="AK145" s="58" t="n">
        <x:f>AK137*$B$190</x:f>
        <x:v>121613.58818305345</x:v>
      </x:c>
    </x:row>
    <x:row r="146" ht="18" customHeight="1">
      <x:c r="A146" s="4" t="str">
        <x:v>Total gross billings, ex-tax (INR)</x:v>
      </x:c>
      <x:c r="B146" s="58" t="n">
        <x:f>SUM(B144:B145)</x:f>
        <x:v>42365.858644067805</x:v>
      </x:c>
      <x:c r="C146" s="58" t="n">
        <x:f>SUM(C144:C145)</x:f>
        <x:v>47507.01401745764</x:v>
      </x:c>
      <x:c r="D146" s="58" t="n">
        <x:f>SUM(D144:D145)</x:f>
        <x:v>52929.3658681411</x:v>
      </x:c>
      <x:c r="E146" s="58" t="n">
        <x:f>SUM(E144:E145)</x:f>
        <x:v>67780.71433978477</x:v>
      </x:c>
      <x:c r="F146" s="58" t="n">
        <x:f>SUM(F144:F145)</x:f>
        <x:v>74541.98097626396</x:v>
      </x:c>
      <x:c r="G146" s="58" t="n">
        <x:f>SUM(G144:G145)</x:f>
        <x:v>81918.82703151743</x:v>
      </x:c>
      <x:c r="H146" s="58" t="n">
        <x:f>SUM(H144:H145)</x:f>
        <x:v>109372.0862037545</x:v>
      </x:c>
      <x:c r="I146" s="58" t="n">
        <x:f>SUM(I144:I145)</x:f>
        <x:v>118876.27650245659</x:v>
      </x:c>
      <x:c r="J146" s="58" t="n">
        <x:f>SUM(J144:J145)</x:f>
        <x:v>129221.76384402742</x:v>
      </x:c>
      <x:c r="K146" s="58" t="n">
        <x:f>SUM(K144:K145)</x:f>
        <x:v>140625.9460452355</x:v>
      </x:c>
      <x:c r="L146" s="58" t="n">
        <x:f>SUM(L144:L145)</x:f>
        <x:v>153242.6230834031</x:v>
      </x:c>
      <x:c r="M146" s="58" t="n">
        <x:f>SUM(M144:M145)</x:f>
        <x:v>167240.13376774543</x:v>
      </x:c>
      <x:c r="N146" s="58" t="n">
        <x:f>SUM(N144:N145)</x:f>
        <x:v>220320.63855800757</x:v>
      </x:c>
      <x:c r="O146" s="58" t="n">
        <x:f>SUM(O144:O145)</x:f>
        <x:v>233870.0937277267</x:v>
      </x:c>
      <x:c r="P146" s="58" t="n">
        <x:f>SUM(P144:P145)</x:f>
        <x:v>248142.92078252858</x:v>
      </x:c>
      <x:c r="Q146" s="58" t="n">
        <x:f>SUM(Q144:Q145)</x:f>
        <x:v>265848.64217078843</x:v>
      </x:c>
      <x:c r="R146" s="58" t="n">
        <x:f>SUM(R144:R145)</x:f>
        <x:v>282150.6827847937</x:v>
      </x:c>
      <x:c r="S146" s="58" t="n">
        <x:f>SUM(S144:S145)</x:f>
        <x:v>299647.8255410303</x:v>
      </x:c>
      <x:c r="T146" s="58" t="n">
        <x:f>SUM(T144:T145)</x:f>
        <x:v>357619.2575389807</x:v>
      </x:c>
      <x:c r="U146" s="58" t="n">
        <x:f>SUM(U144:U145)</x:f>
        <x:v>378798.02990030736</x:v>
      </x:c>
      <x:c r="V146" s="58" t="n">
        <x:f>SUM(V144:V145)</x:f>
        <x:v>401335.35881005874</x:v>
      </x:c>
      <x:c r="W146" s="58" t="n">
        <x:f>SUM(W144:W145)</x:f>
        <x:v>425534.97919794364</x:v>
      </x:c>
      <x:c r="X146" s="58" t="n">
        <x:f>SUM(X144:X145)</x:f>
        <x:v>451576.72757617984</x:v>
      </x:c>
      <x:c r="Y146" s="58" t="n">
        <x:f>SUM(Y144:Y145)</x:f>
        <x:v>479651.1187267875</x:v>
      </x:c>
      <x:c r="Z146" s="58" t="n">
        <x:f>SUM(Z144:Z145)</x:f>
        <x:v>539028.4920076908</x:v>
      </x:c>
      <x:c r="AA146" s="58" t="n">
        <x:f>SUM(AA144:AA145)</x:f>
        <x:v>564571.4749531158</x:v>
      </x:c>
      <x:c r="AB146" s="58" t="n">
        <x:f>SUM(AB144:AB145)</x:f>
        <x:v>591376.0781375477</x:v>
      </x:c>
      <x:c r="AC146" s="58" t="n">
        <x:f>SUM(AC144:AC145)</x:f>
        <x:v>620977.6544561652</x:v>
      </x:c>
      <x:c r="AD146" s="58" t="n">
        <x:f>SUM(AD144:AD145)</x:f>
        <x:v>650865.7371662394</x:v>
      </x:c>
      <x:c r="AE146" s="58" t="n">
        <x:f>SUM(AE144:AE145)</x:f>
        <x:v>682497.8456489738</x:v>
      </x:c>
      <x:c r="AF146" s="58" t="n">
        <x:f>SUM(AF144:AF145)</x:f>
        <x:v>758973.0385037458</x:v>
      </x:c>
      <x:c r="AG146" s="58" t="n">
        <x:f>SUM(AG144:AG145)</x:f>
        <x:v>795340.0045565073</x:v>
      </x:c>
      <x:c r="AH146" s="58" t="n">
        <x:f>SUM(AH144:AH145)</x:f>
        <x:v>833670.6563831628</x:v>
      </x:c>
      <x:c r="AI146" s="58" t="n">
        <x:f>SUM(AI144:AI145)</x:f>
        <x:v>874262.8574605231</x:v>
      </x:c>
      <x:c r="AJ146" s="58" t="n">
        <x:f>SUM(AJ144:AJ145)</x:f>
        <x:v>917300.5795349702</x:v>
      </x:c>
      <x:c r="AK146" s="58" t="n">
        <x:f>SUM(AK144:AK145)</x:f>
        <x:v>962976.0189326968</x:v>
      </x:c>
    </x:row>
    <x:row r="147" ht="18" customHeight="1">
      <x:c r="A147" s="4" t="str">
        <x:v>Refunds (INR)</x:v>
      </x:c>
      <x:c r="B147" s="58" t="n">
        <x:f>B146*'Scenario Inputs'!$C$29</x:f>
        <x:v>1270.975759322034</x:v>
      </x:c>
      <x:c r="C147" s="58" t="n">
        <x:f>C146*'Scenario Inputs'!$C$29</x:f>
        <x:v>1425.210420523729</x:v>
      </x:c>
      <x:c r="D147" s="58" t="n">
        <x:f>D146*'Scenario Inputs'!$C$29</x:f>
        <x:v>1587.880976044233</x:v>
      </x:c>
      <x:c r="E147" s="58" t="n">
        <x:f>E146*'Scenario Inputs'!$C$29</x:f>
        <x:v>2033.421430193543</x:v>
      </x:c>
      <x:c r="F147" s="58" t="n">
        <x:f>F146*'Scenario Inputs'!$C$29</x:f>
        <x:v>2236.259429287919</x:v>
      </x:c>
      <x:c r="G147" s="58" t="n">
        <x:f>G146*'Scenario Inputs'!$C$29</x:f>
        <x:v>2457.564810945523</x:v>
      </x:c>
      <x:c r="H147" s="58" t="n">
        <x:f>H146*'Scenario Inputs'!$C$29</x:f>
        <x:v>3281.162586112635</x:v>
      </x:c>
      <x:c r="I147" s="58" t="n">
        <x:f>I146*'Scenario Inputs'!$C$29</x:f>
        <x:v>3566.2882950736976</x:v>
      </x:c>
      <x:c r="J147" s="58" t="n">
        <x:f>J146*'Scenario Inputs'!$C$29</x:f>
        <x:v>3876.6529153208226</x:v>
      </x:c>
      <x:c r="K147" s="58" t="n">
        <x:f>K146*'Scenario Inputs'!$C$29</x:f>
        <x:v>4218.778381357065</x:v>
      </x:c>
      <x:c r="L147" s="58" t="n">
        <x:f>L146*'Scenario Inputs'!$C$29</x:f>
        <x:v>4597.278692502093</x:v>
      </x:c>
      <x:c r="M147" s="58" t="n">
        <x:f>M146*'Scenario Inputs'!$C$29</x:f>
        <x:v>5017.204013032363</x:v>
      </x:c>
      <x:c r="N147" s="58" t="n">
        <x:f>N146*'Scenario Inputs'!$C$29</x:f>
        <x:v>6609.619156740227</x:v>
      </x:c>
      <x:c r="O147" s="58" t="n">
        <x:f>O146*'Scenario Inputs'!$C$29</x:f>
        <x:v>7016.102811831801</x:v>
      </x:c>
      <x:c r="P147" s="58" t="n">
        <x:f>P146*'Scenario Inputs'!$C$29</x:f>
        <x:v>7444.287623475857</x:v>
      </x:c>
      <x:c r="Q147" s="58" t="n">
        <x:f>Q146*'Scenario Inputs'!$C$29</x:f>
        <x:v>7975.459265123653</x:v>
      </x:c>
      <x:c r="R147" s="58" t="n">
        <x:f>R146*'Scenario Inputs'!$C$29</x:f>
        <x:v>8464.52048354381</x:v>
      </x:c>
      <x:c r="S147" s="58" t="n">
        <x:f>S146*'Scenario Inputs'!$C$29</x:f>
        <x:v>8989.43476623091</x:v>
      </x:c>
      <x:c r="T147" s="58" t="n">
        <x:f>T146*'Scenario Inputs'!$C$29</x:f>
        <x:v>10728.57772616942</x:v>
      </x:c>
      <x:c r="U147" s="58" t="n">
        <x:f>U146*'Scenario Inputs'!$C$29</x:f>
        <x:v>11363.94089700922</x:v>
      </x:c>
      <x:c r="V147" s="58" t="n">
        <x:f>V146*'Scenario Inputs'!$C$29</x:f>
        <x:v>12040.060764301761</x:v>
      </x:c>
      <x:c r="W147" s="58" t="n">
        <x:f>W146*'Scenario Inputs'!$C$29</x:f>
        <x:v>12766.049375938308</x:v>
      </x:c>
      <x:c r="X147" s="58" t="n">
        <x:f>X146*'Scenario Inputs'!$C$29</x:f>
        <x:v>13547.301827285395</x:v>
      </x:c>
      <x:c r="Y147" s="58" t="n">
        <x:f>Y146*'Scenario Inputs'!$C$29</x:f>
        <x:v>14389.533561803624</x:v>
      </x:c>
      <x:c r="Z147" s="58" t="n">
        <x:f>Z146*'Scenario Inputs'!$C$29</x:f>
        <x:v>16170.854760230724</x:v>
      </x:c>
      <x:c r="AA147" s="58" t="n">
        <x:f>AA146*'Scenario Inputs'!$C$29</x:f>
        <x:v>16937.144248593475</x:v>
      </x:c>
      <x:c r="AB147" s="58" t="n">
        <x:f>AB146*'Scenario Inputs'!$C$29</x:f>
        <x:v>17741.28234412643</x:v>
      </x:c>
      <x:c r="AC147" s="58" t="n">
        <x:f>AC146*'Scenario Inputs'!$C$29</x:f>
        <x:v>18629.329633684953</x:v>
      </x:c>
      <x:c r="AD147" s="58" t="n">
        <x:f>AD146*'Scenario Inputs'!$C$29</x:f>
        <x:v>19525.97211498718</x:v>
      </x:c>
      <x:c r="AE147" s="58" t="n">
        <x:f>AE146*'Scenario Inputs'!$C$29</x:f>
        <x:v>20474.935369469214</x:v>
      </x:c>
      <x:c r="AF147" s="58" t="n">
        <x:f>AF146*'Scenario Inputs'!$C$29</x:f>
        <x:v>22769.191155112374</x:v>
      </x:c>
      <x:c r="AG147" s="58" t="n">
        <x:f>AG146*'Scenario Inputs'!$C$29</x:f>
        <x:v>23860.20013669522</x:v>
      </x:c>
      <x:c r="AH147" s="58" t="n">
        <x:f>AH146*'Scenario Inputs'!$C$29</x:f>
        <x:v>25010.119691494885</x:v>
      </x:c>
      <x:c r="AI147" s="58" t="n">
        <x:f>AI146*'Scenario Inputs'!$C$29</x:f>
        <x:v>26227.885723815692</x:v>
      </x:c>
      <x:c r="AJ147" s="58" t="n">
        <x:f>AJ146*'Scenario Inputs'!$C$29</x:f>
        <x:v>27519.017386049105</x:v>
      </x:c>
      <x:c r="AK147" s="58" t="n">
        <x:f>AK146*'Scenario Inputs'!$C$29</x:f>
        <x:v>28889.280567980903</x:v>
      </x:c>
    </x:row>
    <x:row r="148" ht="18" customHeight="1">
      <x:c r="A148" s="4" t="str">
        <x:v>Net billings, ex-tax (INR)</x:v>
      </x:c>
      <x:c r="B148" s="58" t="n">
        <x:f>B146-B147</x:f>
        <x:v>41094.88288474577</x:v>
      </x:c>
      <x:c r="C148" s="58" t="n">
        <x:f>C146-C147</x:f>
        <x:v>46081.80359693391</x:v>
      </x:c>
      <x:c r="D148" s="58" t="n">
        <x:f>D146-D147</x:f>
        <x:v>51341.48489209687</x:v>
      </x:c>
      <x:c r="E148" s="58" t="n">
        <x:f>E146-E147</x:f>
        <x:v>65747.29290959123</x:v>
      </x:c>
      <x:c r="F148" s="58" t="n">
        <x:f>F146-F147</x:f>
        <x:v>72305.72154697604</x:v>
      </x:c>
      <x:c r="G148" s="58" t="n">
        <x:f>G146-G147</x:f>
        <x:v>79461.26222057191</x:v>
      </x:c>
      <x:c r="H148" s="58" t="n">
        <x:f>H146-H147</x:f>
        <x:v>106090.92361764186</x:v>
      </x:c>
      <x:c r="I148" s="58" t="n">
        <x:f>I146-I147</x:f>
        <x:v>115309.98820738289</x:v>
      </x:c>
      <x:c r="J148" s="58" t="n">
        <x:f>J146-J147</x:f>
        <x:v>125345.11092870659</x:v>
      </x:c>
      <x:c r="K148" s="58" t="n">
        <x:f>K146-K147</x:f>
        <x:v>136407.16766387844</x:v>
      </x:c>
      <x:c r="L148" s="58" t="n">
        <x:f>L146-L147</x:f>
        <x:v>148645.344390901</x:v>
      </x:c>
      <x:c r="M148" s="58" t="n">
        <x:f>M146-M147</x:f>
        <x:v>162222.92975471306</x:v>
      </x:c>
      <x:c r="N148" s="58" t="n">
        <x:f>N146-N147</x:f>
        <x:v>213711.01940126735</x:v>
      </x:c>
      <x:c r="O148" s="58" t="n">
        <x:f>O146-O147</x:f>
        <x:v>226853.9909158949</x:v>
      </x:c>
      <x:c r="P148" s="58" t="n">
        <x:f>P146-P147</x:f>
        <x:v>240698.63315905273</x:v>
      </x:c>
      <x:c r="Q148" s="58" t="n">
        <x:f>Q146-Q147</x:f>
        <x:v>257873.18290566478</x:v>
      </x:c>
      <x:c r="R148" s="58" t="n">
        <x:f>R146-R147</x:f>
        <x:v>273686.1623012499</x:v>
      </x:c>
      <x:c r="S148" s="58" t="n">
        <x:f>S146-S147</x:f>
        <x:v>290658.3907747994</x:v>
      </x:c>
      <x:c r="T148" s="58" t="n">
        <x:f>T146-T147</x:f>
        <x:v>346890.67981281126</x:v>
      </x:c>
      <x:c r="U148" s="58" t="n">
        <x:f>U146-U147</x:f>
        <x:v>367434.08900329814</x:v>
      </x:c>
      <x:c r="V148" s="58" t="n">
        <x:f>V146-V147</x:f>
        <x:v>389295.298045757</x:v>
      </x:c>
      <x:c r="W148" s="58" t="n">
        <x:f>W146-W147</x:f>
        <x:v>412768.92982200533</x:v>
      </x:c>
      <x:c r="X148" s="58" t="n">
        <x:f>X146-X147</x:f>
        <x:v>438029.42574889446</x:v>
      </x:c>
      <x:c r="Y148" s="58" t="n">
        <x:f>Y146-Y147</x:f>
        <x:v>465261.5851649839</x:v>
      </x:c>
      <x:c r="Z148" s="58" t="n">
        <x:f>Z146-Z147</x:f>
        <x:v>522857.6372474601</x:v>
      </x:c>
      <x:c r="AA148" s="58" t="n">
        <x:f>AA146-AA147</x:f>
        <x:v>547634.3307045223</x:v>
      </x:c>
      <x:c r="AB148" s="58" t="n">
        <x:f>AB146-AB147</x:f>
        <x:v>573634.7957934213</x:v>
      </x:c>
      <x:c r="AC148" s="58" t="n">
        <x:f>AC146-AC147</x:f>
        <x:v>602348.3248224802</x:v>
      </x:c>
      <x:c r="AD148" s="58" t="n">
        <x:f>AD146-AD147</x:f>
        <x:v>631339.7650512522</x:v>
      </x:c>
      <x:c r="AE148" s="58" t="n">
        <x:f>AE146-AE147</x:f>
        <x:v>662022.9102795046</x:v>
      </x:c>
      <x:c r="AF148" s="58" t="n">
        <x:f>AF146-AF147</x:f>
        <x:v>736203.8473486335</x:v>
      </x:c>
      <x:c r="AG148" s="58" t="n">
        <x:f>AG146-AG147</x:f>
        <x:v>771479.8044198122</x:v>
      </x:c>
      <x:c r="AH148" s="58" t="n">
        <x:f>AH146-AH147</x:f>
        <x:v>808660.536691668</x:v>
      </x:c>
      <x:c r="AI148" s="58" t="n">
        <x:f>AI146-AI147</x:f>
        <x:v>848034.9717367075</x:v>
      </x:c>
      <x:c r="AJ148" s="58" t="n">
        <x:f>AJ146-AJ147</x:f>
        <x:v>889781.5621489211</x:v>
      </x:c>
      <x:c r="AK148" s="58" t="n">
        <x:f>AK146-AK147</x:f>
        <x:v>934086.7383647158</x:v>
      </x:c>
    </x:row>
    <x:row r="149" ht="18" customHeight="1">
      <x:c r="A149" s="4" t="str">
        <x:v>Payment / store fees (INR)</x:v>
      </x:c>
      <x:c r="B149" s="58" t="n">
        <x:f>B130*$B$191+B137*$B$192</x:f>
        <x:v>4381.693218305084</x:v>
      </x:c>
      <x:c r="C149" s="58" t="n">
        <x:f>C130*$B$191+C137*$B$192</x:f>
        <x:v>4944.292016119322</x:v>
      </x:c>
      <x:c r="D149" s="58" t="n">
        <x:f>D130*$B$191+D137*$B$192</x:f>
        <x:v>5530.485278021856</x:v>
      </x:c>
      <x:c r="E149" s="58" t="n">
        <x:f>E130*$B$191+E137*$B$192</x:f>
        <x:v>7091.064053347341</x:v>
      </x:c>
      <x:c r="F149" s="58" t="n">
        <x:f>F130*$B$191+F137*$B$192</x:f>
        <x:v>7821.083077996205</x:v>
      </x:c>
      <x:c r="G149" s="58" t="n">
        <x:f>G130*$B$191+G137*$B$192</x:f>
        <x:v>8613.095981902854</x:v>
      </x:c>
      <x:c r="H149" s="58" t="n">
        <x:f>H130*$B$191+H137*$B$192</x:f>
        <x:v>11481.343541151506</x:v>
      </x:c>
      <x:c r="I149" s="58" t="n">
        <x:f>I130*$B$191+I137*$B$192</x:f>
        <x:v>12507.634495701292</x:v>
      </x:c>
      <x:c r="J149" s="58" t="n">
        <x:f>J130*$B$191+J137*$B$192</x:f>
        <x:v>13617.94218298567</x:v>
      </x:c>
      <x:c r="K149" s="58" t="n">
        <x:f>K130*$B$191+K137*$B$192</x:f>
        <x:v>14837.580050264967</x:v>
      </x:c>
      <x:c r="L149" s="58" t="n">
        <x:f>L130*$B$191+L137*$B$192</x:f>
        <x:v>16183.167666237527</x:v>
      </x:c>
      <x:c r="M149" s="58" t="n">
        <x:f>M130*$B$191+M137*$B$192</x:f>
        <x:v>17672.806555590214</x:v>
      </x:c>
      <x:c r="N149" s="58" t="n">
        <x:f>N130*$B$191+N137*$B$192</x:f>
        <x:v>23191.09177635469</x:v>
      </x:c>
      <x:c r="O149" s="58" t="n">
        <x:f>O130*$B$191+O137*$B$192</x:f>
        <x:v>24656.222963017743</x:v>
      </x:c>
      <x:c r="P149" s="58" t="n">
        <x:f>P130*$B$191+P137*$B$192</x:f>
        <x:v>26190.11846719707</x:v>
      </x:c>
      <x:c r="Q149" s="58" t="n">
        <x:f>Q130*$B$191+Q137*$B$192</x:f>
        <x:v>28073.91185979238</x:v>
      </x:c>
      <x:c r="R149" s="58" t="n">
        <x:f>R130*$B$191+R137*$B$192</x:f>
        <x:v>29814.664498877828</x:v>
      </x:c>
      <x:c r="S149" s="58" t="n">
        <x:f>S130*$B$191+S137*$B$192</x:f>
        <x:v>31678.61417287687</x:v>
      </x:c>
      <x:c r="T149" s="58" t="n">
        <x:f>T130*$B$191+T137*$B$192</x:f>
        <x:v>37721.8191709445</x:v>
      </x:c>
      <x:c r="U149" s="58" t="n">
        <x:f>U130*$B$191+U137*$B$192</x:f>
        <x:v>39992.236746565286</x:v>
      </x:c>
      <x:c r="V149" s="58" t="n">
        <x:f>V130*$B$191+V137*$B$192</x:f>
        <x:v>42397.84495437215</x:v>
      </x:c>
      <x:c r="W149" s="58" t="n">
        <x:f>W130*$B$191+W137*$B$192</x:f>
        <x:v>44974.66998596092</x:v>
      </x:c>
      <x:c r="X149" s="58" t="n">
        <x:f>X130*$B$191+X137*$B$192</x:f>
        <x:v>47742.19855087938</x:v>
      </x:c>
      <x:c r="Y149" s="58" t="n">
        <x:f>Y130*$B$191+Y137*$B$192</x:f>
        <x:v>50720.950455399594</x:v>
      </x:c>
      <x:c r="Z149" s="58" t="n">
        <x:f>Z130*$B$191+Z137*$B$192</x:f>
        <x:v>56921.35338029202</x:v>
      </x:c>
      <x:c r="AA149" s="58" t="n">
        <x:f>AA130*$B$191+AA137*$B$192</x:f>
        <x:v>59655.17385243533</x:v>
      </x:c>
      <x:c r="AB149" s="58" t="n">
        <x:f>AB130*$B$191+AB137*$B$192</x:f>
        <x:v>62514.954618060714</x:v>
      </x:c>
      <x:c r="AC149" s="58" t="n">
        <x:f>AC130*$B$191+AC137*$B$192</x:f>
        <x:v>65661.02026429975</x:v>
      </x:c>
      <x:c r="AD149" s="58" t="n">
        <x:f>AD130*$B$191+AD137*$B$192</x:f>
        <x:v>68838.038744637</x:v>
      </x:c>
      <x:c r="AE149" s="58" t="n">
        <x:f>AE130*$B$191+AE137*$B$192</x:f>
        <x:v>72195.77865449965</x:v>
      </x:c>
      <x:c r="AF149" s="58" t="n">
        <x:f>AF130*$B$191+AF137*$B$192</x:f>
        <x:v>80176.3832974655</x:v>
      </x:c>
      <x:c r="AG149" s="58" t="n">
        <x:f>AG130*$B$191+AG137*$B$192</x:f>
        <x:v>84048.8968188754</x:v>
      </x:c>
      <x:c r="AH149" s="58" t="n">
        <x:f>AH130*$B$191+AH137*$B$192</x:f>
        <x:v>88120.63907665412</x:v>
      </x:c>
      <x:c r="AI149" s="58" t="n">
        <x:f>AI130*$B$191+AI137*$B$192</x:f>
        <x:v>92426.6687317424</x:v>
      </x:c>
      <x:c r="AJ149" s="58" t="n">
        <x:f>AJ130*$B$191+AJ137*$B$192</x:f>
        <x:v>96986.86701853093</x:v>
      </x:c>
      <x:c r="AK149" s="58" t="n">
        <x:f>AK130*$B$191+AK137*$B$192</x:f>
        <x:v>101821.88983133555</x:v>
      </x:c>
    </x:row>
    <x:row r="150" ht="18" customHeight="1">
      <x:c r="A150" s="4" t="str">
        <x:v>Billing / entitlement reserve (INR)</x:v>
      </x:c>
      <x:c r="B150" s="58" t="n">
        <x:f>B130*$B$193+B137*$B$194</x:f>
        <x:v>441.7614</x:v>
      </x:c>
      <x:c r="C150" s="58" t="n">
        <x:f>C130*$B$193+C137*$B$194</x:f>
        <x:v>495.3079737</x:v>
      </x:c>
      <x:c r="D150" s="58" t="n">
        <x:f>D130*$B$193+D137*$B$194</x:f>
        <x:v>551.79764910675</x:v>
      </x:c>
      <x:c r="E150" s="58" t="n">
        <x:f>E130*$B$193+E137*$B$194</x:f>
        <x:v>706.6078944471378</x:v>
      </x:c>
      <x:c r="F150" s="58" t="n">
        <x:f>F130*$B$193+F137*$B$194</x:f>
        <x:v>777.0481298524613</x:v>
      </x:c>
      <x:c r="G150" s="58" t="n">
        <x:f>G130*$B$193+G137*$B$194</x:f>
        <x:v>853.9105415678257</x:v>
      </x:c>
      <x:c r="H150" s="58" t="n">
        <x:f>H130*$B$193+H137*$B$194</x:f>
        <x:v>1140.116020923982</x:v>
      </x:c>
      <x:c r="I150" s="58" t="n">
        <x:f>I130*$B$193+I137*$B$194</x:f>
        <x:v>1239.1323536642276</x:v>
      </x:c>
      <x:c r="J150" s="58" t="n">
        <x:f>J130*$B$193+J137*$B$194</x:f>
        <x:v>1346.927132904692</x:v>
      </x:c>
      <x:c r="K150" s="58" t="n">
        <x:f>K130*$B$193+K137*$B$194</x:f>
        <x:v>1465.7615691724413</x:v>
      </x:c>
      <x:c r="L150" s="58" t="n">
        <x:f>L130*$B$193+L137*$B$194</x:f>
        <x:v>1597.2379542036517</x:v>
      </x:c>
      <x:c r="M150" s="58" t="n">
        <x:f>M130*$B$193+M137*$B$194</x:f>
        <x:v>1743.11022392732</x:v>
      </x:c>
      <x:c r="N150" s="58" t="n">
        <x:f>N130*$B$193+N137*$B$194</x:f>
        <x:v>2296.5395363482617</x:v>
      </x:c>
      <x:c r="O150" s="58" t="n">
        <x:f>O130*$B$193+O137*$B$194</x:f>
        <x:v>2437.6961098460265</x:v>
      </x:c>
      <x:c r="P150" s="58" t="n">
        <x:f>P130*$B$193+P137*$B$194</x:f>
        <x:v>2586.4076044143617</x:v>
      </x:c>
      <x:c r="Q150" s="58" t="n">
        <x:f>Q130*$B$193+Q137*$B$194</x:f>
        <x:v>2770.9252131090375</x:v>
      </x:c>
      <x:c r="R150" s="58" t="n">
        <x:f>R130*$B$193+R137*$B$194</x:f>
        <x:v>2940.801952753013</x:v>
      </x:c>
      <x:c r="S150" s="58" t="n">
        <x:f>S130*$B$193+S137*$B$194</x:f>
        <x:v>3123.141191123416</x:v>
      </x:c>
      <x:c r="T150" s="58" t="n">
        <x:f>T130*$B$193+T137*$B$194</x:f>
        <x:v>3727.531484640098</x:v>
      </x:c>
      <x:c r="U150" s="58" t="n">
        <x:f>U130*$B$193+U137*$B$194</x:f>
        <x:v>3948.2087518303456</x:v>
      </x:c>
      <x:c r="V150" s="58" t="n">
        <x:f>V130*$B$193+V137*$B$194</x:f>
        <x:v>4183.062734031985</x:v>
      </x:c>
      <x:c r="W150" s="58" t="n">
        <x:f>W130*$B$193+W137*$B$194</x:f>
        <x:v>4435.251335972354</x:v>
      </x:c>
      <x:c r="X150" s="58" t="n">
        <x:f>X130*$B$193+X137*$B$194</x:f>
        <x:v>4706.647991270827</x:v>
      </x:c>
      <x:c r="Y150" s="58" t="n">
        <x:f>Y130*$B$193+Y137*$B$194</x:f>
        <x:v>4999.237621724494</x:v>
      </x:c>
      <x:c r="Z150" s="58" t="n">
        <x:f>Z130*$B$193+Z137*$B$194</x:f>
        <x:v>5618.264493709536</x:v>
      </x:c>
      <x:c r="AA150" s="58" t="n">
        <x:f>AA130*$B$193+AA137*$B$194</x:f>
        <x:v>5884.424601026566</x:v>
      </x:c>
      <x:c r="AB150" s="58" t="n">
        <x:f>AB130*$B$193+AB137*$B$194</x:f>
        <x:v>6163.749048181167</x:v>
      </x:c>
      <x:c r="AC150" s="58" t="n">
        <x:f>AC130*$B$193+AC137*$B$194</x:f>
        <x:v>6472.244353400653</x:v>
      </x:c>
      <x:c r="AD150" s="58" t="n">
        <x:f>AD130*$B$193+AD137*$B$194</x:f>
        <x:v>6783.7245027499475</x:v>
      </x:c>
      <x:c r="AE150" s="58" t="n">
        <x:f>AE130*$B$193+AE137*$B$194</x:f>
        <x:v>7113.389436045022</x:v>
      </x:c>
      <x:c r="AF150" s="58" t="n">
        <x:f>AF130*$B$193+AF137*$B$194</x:f>
        <x:v>7910.6766258991265</x:v>
      </x:c>
      <x:c r="AG150" s="58" t="n">
        <x:f>AG130*$B$193+AG137*$B$194</x:f>
        <x:v>8289.663158705862</x:v>
      </x:c>
      <x:c r="AH150" s="58" t="n">
        <x:f>AH130*$B$193+AH137*$B$194</x:f>
        <x:v>8689.133362162062</x:v>
      </x:c>
      <x:c r="AI150" s="58" t="n">
        <x:f>AI130*$B$193+AI137*$B$194</x:f>
        <x:v>9112.18463854412</x:v>
      </x:c>
      <x:c r="AJ150" s="58" t="n">
        <x:f>AJ130*$B$193+AJ137*$B$194</x:f>
        <x:v>9560.733607146743</x:v>
      </x:c>
      <x:c r="AK150" s="58" t="n">
        <x:f>AK130*$B$193+AK137*$B$194</x:f>
        <x:v>10036.782799419814</x:v>
      </x:c>
    </x:row>
    <x:row r="151" ht="18" customHeight="1">
      <x:c r="A151" s="4" t="str">
        <x:v>Paid users: AI cost (INR)</x:v>
      </x:c>
      <x:c r="B151" s="58" t="n">
        <x:f>B139*'Commercial Inputs'!$B$24*$B$195</x:f>
        <x:v>118.59705000000001</x:v>
      </x:c>
      <x:c r="C151" s="58" t="n">
        <x:f>C139*'Commercial Inputs'!$B$24*$B$195</x:f>
        <x:v>236.036218275</x:v>
      </x:c>
      <x:c r="D151" s="58" t="n">
        <x:f>D139*'Commercial Inputs'!$B$24*$B$195</x:f>
        <x:v>360.1828221688125</x:v>
      </x:c>
      <x:c r="E151" s="58" t="n">
        <x:f>E139*'Commercial Inputs'!$B$24*$B$195</x:f>
        <x:v>519.7927180163504</x:v>
      </x:c>
      <x:c r="F151" s="58" t="n">
        <x:f>F139*'Commercial Inputs'!$B$24*$B$195</x:f>
        <x:v>688.8639215344418</x:v>
      </x:c>
      <x:c r="G151" s="58" t="n">
        <x:f>G139*'Commercial Inputs'!$B$24*$B$195</x:f>
        <x:v>870.7333826807438</x:v>
      </x:c>
      <x:c r="H151" s="58" t="n">
        <x:f>H139*'Commercial Inputs'!$B$24*$B$195</x:f>
        <x:v>1121.985488605634</x:v>
      </x:c>
      <x:c r="I151" s="58" t="n">
        <x:f>I139*'Commercial Inputs'!$B$24*$B$195</x:f>
        <x:v>1385.003800824776</x:v>
      </x:c>
      <x:c r="J151" s="58" t="n">
        <x:f>J139*'Commercial Inputs'!$B$24*$B$195</x:f>
        <x:v>1665.6423717424948</x:v>
      </x:c>
      <x:c r="K151" s="58" t="n">
        <x:f>K139*'Commercial Inputs'!$B$24*$B$195</x:f>
        <x:v>1967.7976510651208</x:v>
      </x:c>
      <x:c r="L151" s="58" t="n">
        <x:f>L139*'Commercial Inputs'!$B$24*$B$195</x:f>
        <x:v>2294.4611238846464</x:v>
      </x:c>
      <x:c r="M151" s="58" t="n">
        <x:f>M139*'Commercial Inputs'!$B$24*$B$195</x:f>
        <x:v>2648.923305619894</x:v>
      </x:c>
      <x:c r="N151" s="58" t="n">
        <x:f>N139*'Commercial Inputs'!$B$24*$B$195</x:f>
        <x:v>3043.8441596099037</x:v>
      </x:c>
      <x:c r="O151" s="58" t="n">
        <x:f>O139*'Commercial Inputs'!$B$24*$B$195</x:f>
        <x:v>3445.0833852580863</x:v>
      </x:c>
      <x:c r="P151" s="58" t="n">
        <x:f>P139*'Commercial Inputs'!$B$24*$B$195</x:f>
        <x:v>3859.7037802820164</x:v>
      </x:c>
      <x:c r="Q151" s="58" t="n">
        <x:f>Q139*'Commercial Inputs'!$B$24*$B$195</x:f>
        <x:v>4277.825958727268</x:v>
      </x:c>
      <x:c r="R151" s="58" t="n">
        <x:f>R139*'Commercial Inputs'!$B$24*$B$195</x:f>
        <x:v>4714.296996177364</x:v>
      </x:c>
      <x:c r="S151" s="58" t="n">
        <x:f>S139*'Commercial Inputs'!$B$24*$B$195</x:f>
        <x:v>5170.699711345403</x:v>
      </x:c>
      <x:c r="T151" s="58" t="n">
        <x:f>T139*'Commercial Inputs'!$B$24*$B$195</x:f>
        <x:v>5714.4462555881155</x:v>
      </x:c>
      <x:c r="U151" s="58" t="n">
        <x:f>U139*'Commercial Inputs'!$B$24*$B$195</x:f>
        <x:v>6271.474558036862</x:v>
      </x:c>
      <x:c r="V151" s="58" t="n">
        <x:f>V139*'Commercial Inputs'!$B$24*$B$195</x:f>
        <x:v>6849.579702735823</x:v>
      </x:c>
      <x:c r="W151" s="58" t="n">
        <x:f>W139*'Commercial Inputs'!$B$24*$B$195</x:f>
        <x:v>7452.742957231534</x:v>
      </x:c>
      <x:c r="X151" s="58" t="n">
        <x:f>X139*'Commercial Inputs'!$B$24*$B$195</x:f>
        <x:v>8082.9133067685</x:v>
      </x:c>
      <x:c r="Y151" s="58" t="n">
        <x:f>Y139*'Commercial Inputs'!$B$24*$B$195</x:f>
        <x:v>8742.046174623049</x:v>
      </x:c>
      <x:c r="Z151" s="58" t="n">
        <x:f>Z139*'Commercial Inputs'!$B$24*$B$195</x:f>
        <x:v>9425.479422885865</x:v>
      </x:c>
      <x:c r="AA151" s="58" t="n">
        <x:f>AA139*'Commercial Inputs'!$B$24*$B$195</x:f>
        <x:v>10125.7113390165</x:v>
      </x:c>
      <x:c r="AB151" s="58" t="n">
        <x:f>AB139*'Commercial Inputs'!$B$24*$B$195</x:f>
        <x:v>10848.44077231769</x:v>
      </x:c>
      <x:c r="AC151" s="58" t="n">
        <x:f>AC139*'Commercial Inputs'!$B$24*$B$195</x:f>
        <x:v>11594.058012242067</x:v>
      </x:c>
      <x:c r="AD151" s="58" t="n">
        <x:f>AD139*'Commercial Inputs'!$B$24*$B$195</x:f>
        <x:v>12366.717597812305</x:v>
      </x:c>
      <x:c r="AE151" s="58" t="n">
        <x:f>AE139*'Commercial Inputs'!$B$24*$B$195</x:f>
        <x:v>13168.014098941132</x:v>
      </x:c>
      <x:c r="AF151" s="58" t="n">
        <x:f>AF139*'Commercial Inputs'!$B$24*$B$195</x:f>
        <x:v>14029.710030161707</x:v>
      </x:c>
      <x:c r="AG151" s="58" t="n">
        <x:f>AG139*'Commercial Inputs'!$B$24*$B$195</x:f>
        <x:v>14914.218650430332</x:v>
      </x:c>
      <x:c r="AH151" s="58" t="n">
        <x:f>AH139*'Commercial Inputs'!$B$24*$B$195</x:f>
        <x:v>15828.690208272292</x:v>
      </x:c>
      <x:c r="AI151" s="58" t="n">
        <x:f>AI139*'Commercial Inputs'!$B$24*$B$195</x:f>
        <x:v>16776.775413977488</x:v>
      </x:c>
      <x:c r="AJ151" s="58" t="n">
        <x:f>AJ139*'Commercial Inputs'!$B$24*$B$195</x:f>
        <x:v>17760.244089835993</x:v>
      </x:c>
      <x:c r="AK151" s="58" t="n">
        <x:f>AK139*'Commercial Inputs'!$B$24*$B$195</x:f>
        <x:v>18780.837727263042</x:v>
      </x:c>
    </x:row>
    <x:row r="152" ht="18" customHeight="1">
      <x:c r="A152" s="4" t="str">
        <x:v>Free users: AI cost (INR)</x:v>
      </x:c>
      <x:c r="B152" s="58" t="n">
        <x:f>B140*'Commercial Inputs'!$B$25*$B$195</x:f>
        <x:v>193.05</x:v>
      </x:c>
      <x:c r="C152" s="58" t="n">
        <x:f>C140*'Commercial Inputs'!$B$25*$B$195</x:f>
        <x:v>283.24346193</x:v>
      </x:c>
      <x:c r="D152" s="58" t="n">
        <x:f>D140*'Commercial Inputs'!$B$25*$B$195</x:f>
        <x:v>432.219386602575</x:v>
      </x:c>
      <x:c r="E152" s="58" t="n">
        <x:f>E140*'Commercial Inputs'!$B$25*$B$195</x:f>
        <x:v>623.7512616196204</x:v>
      </x:c>
      <x:c r="F152" s="58" t="n">
        <x:f>F140*'Commercial Inputs'!$B$25*$B$195</x:f>
        <x:v>826.6367058413301</x:v>
      </x:c>
      <x:c r="G152" s="58" t="n">
        <x:f>G140*'Commercial Inputs'!$B$25*$B$195</x:f>
        <x:v>1044.8800592168925</x:v>
      </x:c>
      <x:c r="H152" s="58" t="n">
        <x:f>H140*'Commercial Inputs'!$B$25*$B$195</x:f>
        <x:v>1346.3825863267607</x:v>
      </x:c>
      <x:c r="I152" s="58" t="n">
        <x:f>I140*'Commercial Inputs'!$B$25*$B$195</x:f>
        <x:v>1662.004560989731</x:v>
      </x:c>
      <x:c r="J152" s="58" t="n">
        <x:f>J140*'Commercial Inputs'!$B$25*$B$195</x:f>
        <x:v>1998.7708460909942</x:v>
      </x:c>
      <x:c r="K152" s="58" t="n">
        <x:f>K140*'Commercial Inputs'!$B$25*$B$195</x:f>
        <x:v>2361.3571812781447</x:v>
      </x:c>
      <x:c r="L152" s="58" t="n">
        <x:f>L140*'Commercial Inputs'!$B$25*$B$195</x:f>
        <x:v>2753.3533486615765</x:v>
      </x:c>
      <x:c r="M152" s="58" t="n">
        <x:f>M140*'Commercial Inputs'!$B$25*$B$195</x:f>
        <x:v>3178.707966743873</x:v>
      </x:c>
      <x:c r="N152" s="58" t="n">
        <x:f>N140*'Commercial Inputs'!$B$25*$B$195</x:f>
        <x:v>3652.6129915318843</x:v>
      </x:c>
      <x:c r="O152" s="58" t="n">
        <x:f>O140*'Commercial Inputs'!$B$25*$B$195</x:f>
        <x:v>4134.100062309703</x:v>
      </x:c>
      <x:c r="P152" s="58" t="n">
        <x:f>P140*'Commercial Inputs'!$B$25*$B$195</x:f>
        <x:v>4631.64453633842</x:v>
      </x:c>
      <x:c r="Q152" s="58" t="n">
        <x:f>Q140*'Commercial Inputs'!$B$25*$B$195</x:f>
        <x:v>5133.391150472721</x:v>
      </x:c>
      <x:c r="R152" s="58" t="n">
        <x:f>R140*'Commercial Inputs'!$B$25*$B$195</x:f>
        <x:v>5657.156395412837</x:v>
      </x:c>
      <x:c r="S152" s="58" t="n">
        <x:f>S140*'Commercial Inputs'!$B$25*$B$195</x:f>
        <x:v>6204.839653614484</x:v>
      </x:c>
      <x:c r="T152" s="58" t="n">
        <x:f>T140*'Commercial Inputs'!$B$25*$B$195</x:f>
        <x:v>6857.335506705739</x:v>
      </x:c>
      <x:c r="U152" s="58" t="n">
        <x:f>U140*'Commercial Inputs'!$B$25*$B$195</x:f>
        <x:v>7525.769469644235</x:v>
      </x:c>
      <x:c r="V152" s="58" t="n">
        <x:f>V140*'Commercial Inputs'!$B$25*$B$195</x:f>
        <x:v>8219.495643282988</x:v>
      </x:c>
      <x:c r="W152" s="58" t="n">
        <x:f>W140*'Commercial Inputs'!$B$25*$B$195</x:f>
        <x:v>8943.291548677842</x:v>
      </x:c>
      <x:c r="X152" s="58" t="n">
        <x:f>X140*'Commercial Inputs'!$B$25*$B$195</x:f>
        <x:v>9699.4959681222</x:v>
      </x:c>
      <x:c r="Y152" s="58" t="n">
        <x:f>Y140*'Commercial Inputs'!$B$25*$B$195</x:f>
        <x:v>10490.455409547658</x:v>
      </x:c>
      <x:c r="Z152" s="58" t="n">
        <x:f>Z140*'Commercial Inputs'!$B$25*$B$195</x:f>
        <x:v>11310.57530746304</x:v>
      </x:c>
      <x:c r="AA152" s="58" t="n">
        <x:f>AA140*'Commercial Inputs'!$B$25*$B$195</x:f>
        <x:v>12150.853606819801</x:v>
      </x:c>
      <x:c r="AB152" s="58" t="n">
        <x:f>AB140*'Commercial Inputs'!$B$25*$B$195</x:f>
        <x:v>13018.12892678123</x:v>
      </x:c>
      <x:c r="AC152" s="58" t="n">
        <x:f>AC140*'Commercial Inputs'!$B$25*$B$195</x:f>
        <x:v>13912.869614690479</x:v>
      </x:c>
      <x:c r="AD152" s="58" t="n">
        <x:f>AD140*'Commercial Inputs'!$B$25*$B$195</x:f>
        <x:v>14840.061117374764</x:v>
      </x:c>
      <x:c r="AE152" s="58" t="n">
        <x:f>AE140*'Commercial Inputs'!$B$25*$B$195</x:f>
        <x:v>15801.616918729358</x:v>
      </x:c>
      <x:c r="AF152" s="58" t="n">
        <x:f>AF140*'Commercial Inputs'!$B$25*$B$195</x:f>
        <x:v>16835.652036194046</x:v>
      </x:c>
      <x:c r="AG152" s="58" t="n">
        <x:f>AG140*'Commercial Inputs'!$B$25*$B$195</x:f>
        <x:v>17897.0623805164</x:v>
      </x:c>
      <x:c r="AH152" s="58" t="n">
        <x:f>AH140*'Commercial Inputs'!$B$25*$B$195</x:f>
        <x:v>18994.42824992675</x:v>
      </x:c>
      <x:c r="AI152" s="58" t="n">
        <x:f>AI140*'Commercial Inputs'!$B$25*$B$195</x:f>
        <x:v>20132.130496772985</x:v>
      </x:c>
      <x:c r="AJ152" s="58" t="n">
        <x:f>AJ140*'Commercial Inputs'!$B$25*$B$195</x:f>
        <x:v>21312.292907803192</x:v>
      </x:c>
      <x:c r="AK152" s="58" t="n">
        <x:f>AK140*'Commercial Inputs'!$B$25*$B$195</x:f>
        <x:v>22537.00527271565</x:v>
      </x:c>
    </x:row>
    <x:row r="153" ht="18" customHeight="1">
      <x:c r="A153" s="4" t="str">
        <x:v>Variable support/tools (INR)</x:v>
      </x:c>
      <x:c r="B153" s="58" t="n">
        <x:f>B139*'Commercial Inputs'!$B$28</x:f>
        <x:v>92.15</x:v>
      </x:c>
      <x:c r="C153" s="58" t="n">
        <x:f>C139*'Commercial Inputs'!$B$28</x:f>
        <x:v>183.400325</x:v>
      </x:c>
      <x:c r="D153" s="58" t="n">
        <x:f>D139*'Commercial Inputs'!$B$28</x:f>
        <x:v>279.8623326875</x:v>
      </x:c>
      <x:c r="E153" s="58" t="n">
        <x:f>E139*'Commercial Inputs'!$B$28</x:f>
        <x:v>403.87934577805</x:v>
      </x:c>
      <x:c r="F153" s="58" t="n">
        <x:f>F139*'Commercial Inputs'!$B$28</x:f>
        <x:v>535.2478022800635</x:v>
      </x:c>
      <x:c r="G153" s="58" t="n">
        <x:f>G139*'Commercial Inputs'!$B$28</x:f>
        <x:v>676.5605149034527</x:v>
      </x:c>
      <x:c r="H153" s="58" t="n">
        <x:f>H139*'Commercial Inputs'!$B$28</x:f>
        <x:v>871.7835964301739</x:v>
      </x:c>
      <x:c r="I153" s="58" t="n">
        <x:f>I139*'Commercial Inputs'!$B$28</x:f>
        <x:v>1076.1490293898803</x:v>
      </x:c>
      <x:c r="J153" s="58" t="n">
        <x:f>J139*'Commercial Inputs'!$B$28</x:f>
        <x:v>1294.2054170493357</x:v>
      </x:c>
      <x:c r="K153" s="58" t="n">
        <x:f>K139*'Commercial Inputs'!$B$28</x:f>
        <x:v>1528.9803038579025</x:v>
      </x:c>
      <x:c r="L153" s="58" t="n">
        <x:f>L139*'Commercial Inputs'!$B$28</x:f>
        <x:v>1782.7980760564465</x:v>
      </x:c>
      <x:c r="M153" s="58" t="n">
        <x:f>M139*'Commercial Inputs'!$B$28</x:f>
        <x:v>2058.2154666821243</x:v>
      </x:c>
      <x:c r="N153" s="58" t="n">
        <x:f>N139*'Commercial Inputs'!$B$28</x:f>
        <x:v>2365.069277086172</x:v>
      </x:c>
      <x:c r="O153" s="58" t="n">
        <x:f>O139*'Commercial Inputs'!$B$28</x:f>
        <x:v>2676.832467178</x:v>
      </x:c>
      <x:c r="P153" s="58" t="n">
        <x:f>P139*'Commercial Inputs'!$B$28</x:f>
        <x:v>2998.992836271963</x:v>
      </x:c>
      <x:c r="Q153" s="58" t="n">
        <x:f>Q139*'Commercial Inputs'!$B$28</x:f>
        <x:v>3323.8740938051806</x:v>
      </x:c>
      <x:c r="R153" s="58" t="n">
        <x:f>R139*'Commercial Inputs'!$B$28</x:f>
        <x:v>3663.012429042241</x:v>
      </x:c>
      <x:c r="S153" s="58" t="n">
        <x:f>S139*'Commercial Inputs'!$B$28</x:f>
        <x:v>4017.637693353071</x:v>
      </x:c>
      <x:c r="T153" s="58" t="n">
        <x:f>T139*'Commercial Inputs'!$B$28</x:f>
        <x:v>4440.129180721146</x:v>
      </x:c>
      <x:c r="U153" s="58" t="n">
        <x:f>U139*'Commercial Inputs'!$B$28</x:f>
        <x:v>4872.940604535246</x:v>
      </x:c>
      <x:c r="V153" s="58" t="n">
        <x:f>V139*'Commercial Inputs'!$B$28</x:f>
        <x:v>5322.128751154486</x:v>
      </x:c>
      <x:c r="W153" s="58" t="n">
        <x:f>W139*'Commercial Inputs'!$B$28</x:f>
        <x:v>5790.78706855597</x:v>
      </x:c>
      <x:c r="X153" s="58" t="n">
        <x:f>X139*'Commercial Inputs'!$B$28</x:f>
        <x:v>6280.429919789044</x:v>
      </x:c>
      <x:c r="Y153" s="58" t="n">
        <x:f>Y139*'Commercial Inputs'!$B$28</x:f>
        <x:v>6792.576670258778</x:v>
      </x:c>
      <x:c r="Z153" s="58" t="n">
        <x:f>Z139*'Commercial Inputs'!$B$28</x:f>
        <x:v>7323.604835187152</x:v>
      </x:c>
      <x:c r="AA153" s="58" t="n">
        <x:f>AA139*'Commercial Inputs'!$B$28</x:f>
        <x:v>7867.685578101398</x:v>
      </x:c>
      <x:c r="AB153" s="58" t="n">
        <x:f>AB139*'Commercial Inputs'!$B$28</x:f>
        <x:v>8429.246909337755</x:v>
      </x:c>
      <x:c r="AC153" s="58" t="n">
        <x:f>AC139*'Commercial Inputs'!$B$28</x:f>
        <x:v>9008.592084104168</x:v>
      </x:c>
      <x:c r="AD153" s="58" t="n">
        <x:f>AD139*'Commercial Inputs'!$B$28</x:f>
        <x:v>9608.949182449342</x:v>
      </x:c>
      <x:c r="AE153" s="58" t="n">
        <x:f>AE139*'Commercial Inputs'!$B$28</x:f>
        <x:v>10231.557186434446</x:v>
      </x:c>
      <x:c r="AF153" s="58" t="n">
        <x:f>AF139*'Commercial Inputs'!$B$28</x:f>
        <x:v>10901.095594531238</x:v>
      </x:c>
      <x:c r="AG153" s="58" t="n">
        <x:f>AG139*'Commercial Inputs'!$B$28</x:f>
        <x:v>11588.359479743847</x:v>
      </x:c>
      <x:c r="AH153" s="58" t="n">
        <x:f>AH139*'Commercial Inputs'!$B$28</x:f>
        <x:v>12298.904590732162</x:v>
      </x:c>
      <x:c r="AI153" s="58" t="n">
        <x:f>AI139*'Commercial Inputs'!$B$28</x:f>
        <x:v>13035.56753222804</x:v>
      </x:c>
      <x:c r="AJ153" s="58" t="n">
        <x:f>AJ139*'Commercial Inputs'!$B$28</x:f>
        <x:v>13799.723457526023</x:v>
      </x:c>
      <x:c r="AK153" s="58" t="n">
        <x:f>AK139*'Commercial Inputs'!$B$28</x:f>
        <x:v>14592.72550680889</x:v>
      </x:c>
    </x:row>
    <x:row r="154" ht="18" customHeight="1">
      <x:c r="A154" s="4" t="str">
        <x:v>Total direct costs (INR)</x:v>
      </x:c>
      <x:c r="B154" s="58" t="n">
        <x:f>SUM(B149:B153)</x:f>
        <x:v>5227.251668305084</x:v>
      </x:c>
      <x:c r="C154" s="58" t="n">
        <x:f>SUM(C149:C153)</x:f>
        <x:v>6142.279995024322</x:v>
      </x:c>
      <x:c r="D154" s="58" t="n">
        <x:f>SUM(D149:D153)</x:f>
        <x:v>7154.547468587494</x:v>
      </x:c>
      <x:c r="E154" s="58" t="n">
        <x:f>SUM(E149:E153)</x:f>
        <x:v>9345.095273208499</x:v>
      </x:c>
      <x:c r="F154" s="58" t="n">
        <x:f>SUM(F149:F153)</x:f>
        <x:v>10648.879637504502</x:v>
      </x:c>
      <x:c r="G154" s="58" t="n">
        <x:f>SUM(G149:G153)</x:f>
        <x:v>12059.180480271769</x:v>
      </x:c>
      <x:c r="H154" s="58" t="n">
        <x:f>SUM(H149:H153)</x:f>
        <x:v>15961.611233438058</x:v>
      </x:c>
      <x:c r="I154" s="58" t="n">
        <x:f>SUM(I149:I153)</x:f>
        <x:v>17869.924240569904</x:v>
      </x:c>
      <x:c r="J154" s="58" t="n">
        <x:f>SUM(J149:J153)</x:f>
        <x:v>19923.487950773182</x:v>
      </x:c>
      <x:c r="K154" s="58" t="n">
        <x:f>SUM(K149:K153)</x:f>
        <x:v>22161.476755638574</x:v>
      </x:c>
      <x:c r="L154" s="58" t="n">
        <x:f>SUM(L149:L153)</x:f>
        <x:v>24611.018169043848</x:v>
      </x:c>
      <x:c r="M154" s="58" t="n">
        <x:f>SUM(M149:M153)</x:f>
        <x:v>27301.763518563428</x:v>
      </x:c>
      <x:c r="N154" s="58" t="n">
        <x:f>SUM(N149:N153)</x:f>
        <x:v>34549.15774093091</x:v>
      </x:c>
      <x:c r="O154" s="58" t="n">
        <x:f>SUM(O149:O153)</x:f>
        <x:v>37349.93498760956</x:v>
      </x:c>
      <x:c r="P154" s="58" t="n">
        <x:f>SUM(P149:P153)</x:f>
        <x:v>40266.86722450383</x:v>
      </x:c>
      <x:c r="Q154" s="58" t="n">
        <x:f>SUM(Q149:Q153)</x:f>
        <x:v>43579.92827590658</x:v>
      </x:c>
      <x:c r="R154" s="58" t="n">
        <x:f>SUM(R149:R153)</x:f>
        <x:v>46789.93227226328</x:v>
      </x:c>
      <x:c r="S154" s="58" t="n">
        <x:f>SUM(S149:S153)</x:f>
        <x:v>50194.93242231325</x:v>
      </x:c>
      <x:c r="T154" s="58" t="n">
        <x:f>SUM(T149:T153)</x:f>
        <x:v>58461.2615985996</x:v>
      </x:c>
      <x:c r="U154" s="58" t="n">
        <x:f>SUM(U149:U153)</x:f>
        <x:v>62610.63013061197</x:v>
      </x:c>
      <x:c r="V154" s="58" t="n">
        <x:f>SUM(V149:V153)</x:f>
        <x:v>66972.11178557742</x:v>
      </x:c>
      <x:c r="W154" s="58" t="n">
        <x:f>SUM(W149:W153)</x:f>
        <x:v>71596.74289639862</x:v>
      </x:c>
      <x:c r="X154" s="58" t="n">
        <x:f>SUM(X149:X153)</x:f>
        <x:v>76511.68573682995</x:v>
      </x:c>
      <x:c r="Y154" s="58" t="n">
        <x:f>SUM(Y149:Y153)</x:f>
        <x:v>81745.26633155358</x:v>
      </x:c>
      <x:c r="Z154" s="58" t="n">
        <x:f>SUM(Z149:Z153)</x:f>
        <x:v>90599.27743953762</x:v>
      </x:c>
      <x:c r="AA154" s="58" t="n">
        <x:f>SUM(AA149:AA153)</x:f>
        <x:v>95683.8489773996</x:v>
      </x:c>
      <x:c r="AB154" s="58" t="n">
        <x:f>SUM(AB149:AB153)</x:f>
        <x:v>100974.52027467855</x:v>
      </x:c>
      <x:c r="AC154" s="58" t="n">
        <x:f>SUM(AC149:AC153)</x:f>
        <x:v>106648.78432873712</x:v>
      </x:c>
      <x:c r="AD154" s="58" t="n">
        <x:f>SUM(AD149:AD153)</x:f>
        <x:v>112437.49114502336</x:v>
      </x:c>
      <x:c r="AE154" s="58" t="n">
        <x:f>SUM(AE149:AE153)</x:f>
        <x:v>118510.3562946496</x:v>
      </x:c>
      <x:c r="AF154" s="58" t="n">
        <x:f>SUM(AF149:AF153)</x:f>
        <x:v>129853.51758425162</x:v>
      </x:c>
      <x:c r="AG154" s="58" t="n">
        <x:f>SUM(AG149:AG153)</x:f>
        <x:v>136738.20048827183</x:v>
      </x:c>
      <x:c r="AH154" s="58" t="n">
        <x:f>SUM(AH149:AH153)</x:f>
        <x:v>143931.79548774738</x:v>
      </x:c>
      <x:c r="AI154" s="58" t="n">
        <x:f>SUM(AI149:AI153)</x:f>
        <x:v>151483.32681326504</x:v>
      </x:c>
      <x:c r="AJ154" s="58" t="n">
        <x:f>SUM(AJ149:AJ153)</x:f>
        <x:v>159419.8610808429</x:v>
      </x:c>
      <x:c r="AK154" s="58" t="n">
        <x:f>SUM(AK149:AK153)</x:f>
        <x:v>167769.24113754297</x:v>
      </x:c>
    </x:row>
    <x:row r="155" ht="18" customHeight="1">
      <x:c r="A155" s="74" t="str">
        <x:v>CONTRIBUTION BEFORE ACQUISITION / FIXED</x:v>
      </x:c>
      <x:c r="B155" s="75" t="n">
        <x:f>B143-B154</x:f>
        <x:v>-80.03575622881272</x:v>
      </x:c>
      <x:c r="C155" s="75" t="n">
        <x:f>C143-C154</x:f>
        <x:v>3854.257903985849</x:v>
      </x:c>
      <x:c r="D155" s="75" t="n">
        <x:f>D143-D154</x:f>
        <x:v>7865.0019181483585</x:v>
      </x:c>
      <x:c r="E155" s="75" t="n">
        <x:f>E143-E154</x:f>
        <x:v>12164.702822556334</x:v>
      </x:c>
      <x:c r="F155" s="75" t="n">
        <x:f>F143-F154</x:f>
        <x:v>17635.436536943616</x:v>
      </x:c>
      <x:c r="G155" s="75" t="n">
        <x:f>G143-G154</x:f>
        <x:v>23457.578071721422</x:v>
      </x:c>
      <x:c r="H155" s="75" t="n">
        <x:f>H143-H154</x:f>
        <x:v>29708.638727613106</x:v>
      </x:c>
      <x:c r="I155" s="75" t="n">
        <x:f>I143-I154</x:f>
        <x:v>38256.45750753028</x:v>
      </x:c>
      <x:c r="J155" s="75" t="n">
        <x:f>J143-J154</x:f>
        <x:v>47279.53496650007</x:v>
      </x:c>
      <x:c r="K155" s="75" t="n">
        <x:f>K143-K154</x:f>
        <x:v>56926.10674526221</x:v>
      </x:c>
      <x:c r="L155" s="75" t="n">
        <x:f>L143-L154</x:f>
        <x:v>67291.9495560143</x:v>
      </x:c>
      <x:c r="M155" s="75" t="n">
        <x:f>M143-M154</x:f>
        <x:v>78481.26515396207</x:v>
      </x:c>
      <x:c r="N155" s="75" t="n">
        <x:f>N143-N154</x:f>
        <x:v>87137.04798944703</x:v>
      </x:c>
      <x:c r="O155" s="75" t="n">
        <x:f>O143-O154</x:f>
        <x:v>100236.81212694009</x:v>
      </x:c>
      <x:c r="P155" s="75" t="n">
        <x:f>P143-P154</x:f>
        <x:v>113639.56193250441</x:v>
      </x:c>
      <x:c r="Q155" s="75" t="n">
        <x:f>Q143-Q154</x:f>
        <x:v>126765.67358828407</x:v>
      </x:c>
      <x:c r="R155" s="75" t="n">
        <x:f>R143-R154</x:f>
        <x:v>140673.15171150496</x:v>
      </x:c>
      <x:c r="S155" s="75" t="n">
        <x:f>S143-S154</x:f>
        <x:v>155134.43623567987</x:v>
      </x:c>
      <x:c r="T155" s="75" t="n">
        <x:f>T143-T154</x:f>
        <x:v>168601.42987784898</x:v>
      </x:c>
      <x:c r="U155" s="75" t="n">
        <x:f>U143-U154</x:f>
        <x:v>186449.12268343728</x:v>
      </x:c>
      <x:c r="V155" s="75" t="n">
        <x:f>V143-V154</x:f>
        <x:v>204808.83302926767</x:v>
      </x:c>
      <x:c r="W155" s="75" t="n">
        <x:f>W143-W154</x:f>
        <x:v>223847.00091678454</x:v>
      </x:c>
      <x:c r="X155" s="75" t="n">
        <x:f>X143-X154</x:f>
        <x:v>243624.02885633335</x:v>
      </x:c>
      <x:c r="Y155" s="75" t="n">
        <x:f>Y143-Y154</x:f>
        <x:v>264198.57803355705</x:v>
      </x:c>
      <x:c r="Z155" s="75" t="n">
        <x:f>Z143-Z154</x:f>
        <x:v>282403.74472455983</x:v>
      </x:c>
      <x:c r="AA155" s="75" t="n">
        <x:f>AA143-AA154</x:f>
        <x:v>304829.9504536114</x:v>
      </x:c>
      <x:c r="AB155" s="75" t="n">
        <x:f>AB143-AB154</x:f>
        <x:v>327835.8767611981</x:v>
      </x:c>
      <x:c r="AC155" s="75" t="n">
        <x:f>AC143-AC154</x:f>
        <x:v>351308.74572927214</x:v>
      </x:c>
      <x:c r="AD155" s="75" t="n">
        <x:f>AD143-AD154</x:f>
        <x:v>375684.82744049013</x:v>
      </x:c>
      <x:c r="AE155" s="75" t="n">
        <x:f>AE143-AE154</x:f>
        <x:v>400866.3057723806</x:v>
      </x:c>
      <x:c r="AF155" s="75" t="n">
        <x:f>AF143-AF154</x:f>
        <x:v>423619.0404904949</x:v>
      </x:c>
      <x:c r="AG155" s="75" t="n">
        <x:f>AG143-AG154</x:f>
        <x:v>451490.46525889024</x:v>
      </x:c>
      <x:c r="AH155" s="75" t="n">
        <x:f>AH143-AH154</x:f>
        <x:v>480135.50955261255</x:v>
      </x:c>
      <x:c r="AI155" s="75" t="n">
        <x:f>AI143-AI154</x:f>
        <x:v>509705.25185265177</x:v>
      </x:c>
      <x:c r="AJ155" s="75" t="n">
        <x:f>AJ143-AJ154</x:f>
        <x:v>540253.2137045803</x:v>
      </x:c>
      <x:c r="AK155" s="75" t="n">
        <x:f>AK143-AK154</x:f>
        <x:v>571830.1734099858</x:v>
      </x:c>
    </x:row>
    <x:row r="156" ht="18" customHeight="1">
      <x:c r="A156" s="4" t="str">
        <x:v>Contribution margin (%)</x:v>
      </x:c>
      <x:c r="B156" s="62" t="n">
        <x:f>IFERROR(B155/B143,0)</x:f>
        <x:v>-0.015549329500834576</x:v>
      </x:c>
      <x:c r="C156" s="62" t="n">
        <x:f>IFERROR(C155/C143,0)</x:f>
        <x:v>0.38555927491331643</x:v>
      </x:c>
      <x:c r="D156" s="62" t="n">
        <x:f>IFERROR(D155/D143,0)</x:f>
        <x:v>0.5236509908276038</x:v>
      </x:c>
      <x:c r="E156" s="62" t="n">
        <x:f>IFERROR(E155/E143,0)</x:f>
        <x:v>0.5655423992543891</x:v>
      </x:c>
      <x:c r="F156" s="62" t="n">
        <x:f>IFERROR(F155/F143,0)</x:f>
        <x:v>0.6235058478406971</x:v>
      </x:c>
      <x:c r="G156" s="62" t="n">
        <x:f>IFERROR(G155/G143,0)</x:f>
        <x:v>0.6604650601034364</x:v>
      </x:c>
      <x:c r="H156" s="62" t="n">
        <x:f>IFERROR(H155/H143,0)</x:f>
        <x:v>0.6505030901505782</x:v>
      </x:c>
      <x:c r="I156" s="62" t="n">
        <x:f>IFERROR(I155/I143,0)</x:f>
        <x:v>0.6816127517221474</x:v>
      </x:c>
      <x:c r="J156" s="62" t="n">
        <x:f>IFERROR(J155/J143,0)</x:f>
        <x:v>0.7035328607866502</x:v>
      </x:c>
      <x:c r="K156" s="62" t="n">
        <x:f>IFERROR(K155/K143,0)</x:f>
        <x:v>0.7197856379644453</x:v>
      </x:c>
      <x:c r="L156" s="62" t="n">
        <x:f>IFERROR(L155/L143,0)</x:f>
        <x:v>0.7322064914957753</x:v>
      </x:c>
      <x:c r="M156" s="62" t="n">
        <x:f>IFERROR(M155/M143,0)</x:f>
        <x:v>0.7419079046877926</x:v>
      </x:c>
      <x:c r="N156" s="62" t="n">
        <x:f>IFERROR(N155/N143,0)</x:f>
        <x:v>0.7160799160959787</x:v>
      </x:c>
      <x:c r="O156" s="62" t="n">
        <x:f>IFERROR(O155/O143,0)</x:f>
        <x:v>0.7285353729853545</x:v>
      </x:c>
      <x:c r="P156" s="62" t="n">
        <x:f>IFERROR(P155/P143,0)</x:f>
        <x:v>0.7383678677683735</x:v>
      </x:c>
      <x:c r="Q156" s="62" t="n">
        <x:f>IFERROR(Q155/Q143,0)</x:f>
        <x:v>0.7441675758047982</x:v>
      </x:c>
      <x:c r="R156" s="62" t="n">
        <x:f>IFERROR(R155/R143,0)</x:f>
        <x:v>0.7504045528435099</x:v>
      </x:c>
      <x:c r="S156" s="62" t="n">
        <x:f>IFERROR(S155/S143,0)</x:f>
        <x:v>0.7555394401181817</x:v>
      </x:c>
      <x:c r="T156" s="62" t="n">
        <x:f>IFERROR(T155/T143,0)</x:f>
        <x:v>0.7425325084519078</x:v>
      </x:c>
      <x:c r="U156" s="62" t="n">
        <x:f>IFERROR(U155/U143,0)</x:f>
        <x:v>0.7486120120846753</x:v>
      </x:c>
      <x:c r="V156" s="62" t="n">
        <x:f>IFERROR(V155/V143,0)</x:f>
        <x:v>0.7535805468952093</x:v>
      </x:c>
      <x:c r="W156" s="62" t="n">
        <x:f>IFERROR(W155/W143,0)</x:f>
        <x:v>0.7576637028345027</x:v>
      </x:c>
      <x:c r="X156" s="62" t="n">
        <x:f>IFERROR(X155/X143,0)</x:f>
        <x:v>0.7610023429155258</x:v>
      </x:c>
      <x:c r="Y156" s="62" t="n">
        <x:f>IFERROR(Y155/Y143,0)</x:f>
        <x:v>0.7637036540379101</x:v>
      </x:c>
      <x:c r="Z156" s="62" t="n">
        <x:f>IFERROR(Z155/Z143,0)</x:f>
        <x:v>0.7571084627843049</x:v>
      </x:c>
      <x:c r="AA156" s="62" t="n">
        <x:f>IFERROR(AA155/AA143,0)</x:f>
        <x:v>0.7610972478018669</x:v>
      </x:c>
      <x:c r="AB156" s="62" t="n">
        <x:f>IFERROR(AB155/AB143,0)</x:f>
        <x:v>0.7645240857669072</x:v>
      </x:c>
      <x:c r="AC156" s="62" t="n">
        <x:f>IFERROR(AC155/AC143,0)</x:f>
        <x:v>0.7671207976092719</x:v>
      </x:c>
      <x:c r="AD156" s="62" t="n">
        <x:f>IFERROR(AD155/AD143,0)</x:f>
        <x:v>0.7696530421496685</x:v>
      </x:c>
      <x:c r="AE156" s="62" t="n">
        <x:f>IFERROR(AE155/AE143,0)</x:f>
        <x:v>0.7718219455163837</x:v>
      </x:c>
      <x:c r="AF156" s="62" t="n">
        <x:f>IFERROR(AF155/AF143,0)</x:f>
        <x:v>0.765384000182508</x:v>
      </x:c>
      <x:c r="AG156" s="62" t="n">
        <x:f>IFERROR(AG155/AG143,0)</x:f>
        <x:v>0.7675424397847249</x:v>
      </x:c>
      <x:c r="AH156" s="62" t="n">
        <x:f>IFERROR(AH155/AH143,0)</x:f>
        <x:v>0.7693649477784468</x:v>
      </x:c>
      <x:c r="AI156" s="62" t="n">
        <x:f>IFERROR(AI155/AI143,0)</x:f>
        <x:v>0.7708924024082303</x:v>
      </x:c>
      <x:c r="AJ156" s="62" t="n">
        <x:f>IFERROR(AJ155/AJ143,0)</x:f>
        <x:v>0.7721509275889543</x:v>
      </x:c>
      <x:c r="AK156" s="62" t="n">
        <x:f>IFERROR(AK155/AK143,0)</x:f>
        <x:v>0.7731620146830691</x:v>
      </x:c>
    </x:row>
    <x:row r="157" ht="18" customHeight="1">
      <x:c r="A157" s="4" t="str">
        <x:v>Core operating overhead (INR)</x:v>
      </x:c>
      <x:c r="B157" s="60" t="n">
        <x:f>'Scenario Inputs'!$C$24</x:f>
        <x:v>10000</x:v>
      </x:c>
      <x:c r="C157" s="60" t="n">
        <x:f>'Scenario Inputs'!$C$24</x:f>
        <x:v>10000</x:v>
      </x:c>
      <x:c r="D157" s="60" t="n">
        <x:f>'Scenario Inputs'!$C$24</x:f>
        <x:v>10000</x:v>
      </x:c>
      <x:c r="E157" s="60" t="n">
        <x:f>'Scenario Inputs'!$C$24</x:f>
        <x:v>10000</x:v>
      </x:c>
      <x:c r="F157" s="60" t="n">
        <x:f>'Scenario Inputs'!$C$24</x:f>
        <x:v>10000</x:v>
      </x:c>
      <x:c r="G157" s="60" t="n">
        <x:f>'Scenario Inputs'!$C$24</x:f>
        <x:v>10000</x:v>
      </x:c>
      <x:c r="H157" s="60" t="n">
        <x:f>'Scenario Inputs'!$C$24</x:f>
        <x:v>10000</x:v>
      </x:c>
      <x:c r="I157" s="60" t="n">
        <x:f>'Scenario Inputs'!$C$24</x:f>
        <x:v>10000</x:v>
      </x:c>
      <x:c r="J157" s="60" t="n">
        <x:f>'Scenario Inputs'!$C$24</x:f>
        <x:v>10000</x:v>
      </x:c>
      <x:c r="K157" s="60" t="n">
        <x:f>'Scenario Inputs'!$C$24</x:f>
        <x:v>10000</x:v>
      </x:c>
      <x:c r="L157" s="60" t="n">
        <x:f>'Scenario Inputs'!$C$24</x:f>
        <x:v>10000</x:v>
      </x:c>
      <x:c r="M157" s="60" t="n">
        <x:f>'Scenario Inputs'!$C$24</x:f>
        <x:v>10000</x:v>
      </x:c>
      <x:c r="N157" s="60" t="n">
        <x:f>'Scenario Inputs'!$C$25</x:f>
        <x:v>15000</x:v>
      </x:c>
      <x:c r="O157" s="60" t="n">
        <x:f>'Scenario Inputs'!$C$25</x:f>
        <x:v>15000</x:v>
      </x:c>
      <x:c r="P157" s="60" t="n">
        <x:f>'Scenario Inputs'!$C$25</x:f>
        <x:v>15000</x:v>
      </x:c>
      <x:c r="Q157" s="60" t="n">
        <x:f>'Scenario Inputs'!$C$25</x:f>
        <x:v>15000</x:v>
      </x:c>
      <x:c r="R157" s="60" t="n">
        <x:f>'Scenario Inputs'!$C$25</x:f>
        <x:v>15000</x:v>
      </x:c>
      <x:c r="S157" s="60" t="n">
        <x:f>'Scenario Inputs'!$C$25</x:f>
        <x:v>15000</x:v>
      </x:c>
      <x:c r="T157" s="60" t="n">
        <x:f>'Scenario Inputs'!$C$25</x:f>
        <x:v>15000</x:v>
      </x:c>
      <x:c r="U157" s="60" t="n">
        <x:f>'Scenario Inputs'!$C$25</x:f>
        <x:v>15000</x:v>
      </x:c>
      <x:c r="V157" s="60" t="n">
        <x:f>'Scenario Inputs'!$C$25</x:f>
        <x:v>15000</x:v>
      </x:c>
      <x:c r="W157" s="60" t="n">
        <x:f>'Scenario Inputs'!$C$25</x:f>
        <x:v>15000</x:v>
      </x:c>
      <x:c r="X157" s="60" t="n">
        <x:f>'Scenario Inputs'!$C$25</x:f>
        <x:v>15000</x:v>
      </x:c>
      <x:c r="Y157" s="60" t="n">
        <x:f>'Scenario Inputs'!$C$25</x:f>
        <x:v>15000</x:v>
      </x:c>
      <x:c r="Z157" s="60" t="n">
        <x:f>'Scenario Inputs'!$C$26</x:f>
        <x:v>25000</x:v>
      </x:c>
      <x:c r="AA157" s="60" t="n">
        <x:f>'Scenario Inputs'!$C$26</x:f>
        <x:v>25000</x:v>
      </x:c>
      <x:c r="AB157" s="60" t="n">
        <x:f>'Scenario Inputs'!$C$26</x:f>
        <x:v>25000</x:v>
      </x:c>
      <x:c r="AC157" s="60" t="n">
        <x:f>'Scenario Inputs'!$C$26</x:f>
        <x:v>25000</x:v>
      </x:c>
      <x:c r="AD157" s="60" t="n">
        <x:f>'Scenario Inputs'!$C$26</x:f>
        <x:v>25000</x:v>
      </x:c>
      <x:c r="AE157" s="60" t="n">
        <x:f>'Scenario Inputs'!$C$26</x:f>
        <x:v>25000</x:v>
      </x:c>
      <x:c r="AF157" s="60" t="n">
        <x:f>'Scenario Inputs'!$C$26</x:f>
        <x:v>25000</x:v>
      </x:c>
      <x:c r="AG157" s="60" t="n">
        <x:f>'Scenario Inputs'!$C$26</x:f>
        <x:v>25000</x:v>
      </x:c>
      <x:c r="AH157" s="60" t="n">
        <x:f>'Scenario Inputs'!$C$26</x:f>
        <x:v>25000</x:v>
      </x:c>
      <x:c r="AI157" s="60" t="n">
        <x:f>'Scenario Inputs'!$C$26</x:f>
        <x:v>25000</x:v>
      </x:c>
      <x:c r="AJ157" s="60" t="n">
        <x:f>'Scenario Inputs'!$C$26</x:f>
        <x:v>25000</x:v>
      </x:c>
      <x:c r="AK157" s="60" t="n">
        <x:f>'Scenario Inputs'!$C$26</x:f>
        <x:v>25000</x:v>
      </x:c>
    </x:row>
    <x:row r="158" ht="18" customHeight="1">
      <x:c r="A158" s="4" t="str">
        <x:v>Scaled technical QA reserve (INR)</x:v>
      </x:c>
      <x:c r="B158" s="58" t="n">
        <x:f>IF(B139&gt;='Commercial Inputs'!$B$38,'Commercial Inputs'!$B$42,IF(B139&gt;='Commercial Inputs'!$B$37,'Commercial Inputs'!$B$41,IF(B139&gt;='Commercial Inputs'!$B$36,'Commercial Inputs'!$B$40,IF(B139&gt;='Commercial Inputs'!$B$35,'Commercial Inputs'!$B$39,0))))</x:f>
        <x:v>0</x:v>
      </x:c>
      <x:c r="C158" s="58" t="n">
        <x:f>IF(C139&gt;='Commercial Inputs'!$B$38,'Commercial Inputs'!$B$42,IF(C139&gt;='Commercial Inputs'!$B$37,'Commercial Inputs'!$B$41,IF(C139&gt;='Commercial Inputs'!$B$36,'Commercial Inputs'!$B$40,IF(C139&gt;='Commercial Inputs'!$B$35,'Commercial Inputs'!$B$39,0))))</x:f>
        <x:v>0</x:v>
      </x:c>
      <x:c r="D158" s="58" t="n">
        <x:f>IF(D139&gt;='Commercial Inputs'!$B$38,'Commercial Inputs'!$B$42,IF(D139&gt;='Commercial Inputs'!$B$37,'Commercial Inputs'!$B$41,IF(D139&gt;='Commercial Inputs'!$B$36,'Commercial Inputs'!$B$40,IF(D139&gt;='Commercial Inputs'!$B$35,'Commercial Inputs'!$B$39,0))))</x:f>
        <x:v>0</x:v>
      </x:c>
      <x:c r="E158" s="58" t="n">
        <x:f>IF(E139&gt;='Commercial Inputs'!$B$38,'Commercial Inputs'!$B$42,IF(E139&gt;='Commercial Inputs'!$B$37,'Commercial Inputs'!$B$41,IF(E139&gt;='Commercial Inputs'!$B$36,'Commercial Inputs'!$B$40,IF(E139&gt;='Commercial Inputs'!$B$35,'Commercial Inputs'!$B$39,0))))</x:f>
        <x:v>0</x:v>
      </x:c>
      <x:c r="F158" s="58" t="n">
        <x:f>IF(F139&gt;='Commercial Inputs'!$B$38,'Commercial Inputs'!$B$42,IF(F139&gt;='Commercial Inputs'!$B$37,'Commercial Inputs'!$B$41,IF(F139&gt;='Commercial Inputs'!$B$36,'Commercial Inputs'!$B$40,IF(F139&gt;='Commercial Inputs'!$B$35,'Commercial Inputs'!$B$39,0))))</x:f>
        <x:v>0</x:v>
      </x:c>
      <x:c r="G158" s="58" t="n">
        <x:f>IF(G139&gt;='Commercial Inputs'!$B$38,'Commercial Inputs'!$B$42,IF(G139&gt;='Commercial Inputs'!$B$37,'Commercial Inputs'!$B$41,IF(G139&gt;='Commercial Inputs'!$B$36,'Commercial Inputs'!$B$40,IF(G139&gt;='Commercial Inputs'!$B$35,'Commercial Inputs'!$B$39,0))))</x:f>
        <x:v>0</x:v>
      </x:c>
      <x:c r="H158" s="58" t="n">
        <x:f>IF(H139&gt;='Commercial Inputs'!$B$38,'Commercial Inputs'!$B$42,IF(H139&gt;='Commercial Inputs'!$B$37,'Commercial Inputs'!$B$41,IF(H139&gt;='Commercial Inputs'!$B$36,'Commercial Inputs'!$B$40,IF(H139&gt;='Commercial Inputs'!$B$35,'Commercial Inputs'!$B$39,0))))</x:f>
        <x:v>0</x:v>
      </x:c>
      <x:c r="I158" s="58" t="n">
        <x:f>IF(I139&gt;='Commercial Inputs'!$B$38,'Commercial Inputs'!$B$42,IF(I139&gt;='Commercial Inputs'!$B$37,'Commercial Inputs'!$B$41,IF(I139&gt;='Commercial Inputs'!$B$36,'Commercial Inputs'!$B$40,IF(I139&gt;='Commercial Inputs'!$B$35,'Commercial Inputs'!$B$39,0))))</x:f>
        <x:v>0</x:v>
      </x:c>
      <x:c r="J158" s="58" t="n">
        <x:f>IF(J139&gt;='Commercial Inputs'!$B$38,'Commercial Inputs'!$B$42,IF(J139&gt;='Commercial Inputs'!$B$37,'Commercial Inputs'!$B$41,IF(J139&gt;='Commercial Inputs'!$B$36,'Commercial Inputs'!$B$40,IF(J139&gt;='Commercial Inputs'!$B$35,'Commercial Inputs'!$B$39,0))))</x:f>
        <x:v>0</x:v>
      </x:c>
      <x:c r="K158" s="58" t="n">
        <x:f>IF(K139&gt;='Commercial Inputs'!$B$38,'Commercial Inputs'!$B$42,IF(K139&gt;='Commercial Inputs'!$B$37,'Commercial Inputs'!$B$41,IF(K139&gt;='Commercial Inputs'!$B$36,'Commercial Inputs'!$B$40,IF(K139&gt;='Commercial Inputs'!$B$35,'Commercial Inputs'!$B$39,0))))</x:f>
        <x:v>0</x:v>
      </x:c>
      <x:c r="L158" s="58" t="n">
        <x:f>IF(L139&gt;='Commercial Inputs'!$B$38,'Commercial Inputs'!$B$42,IF(L139&gt;='Commercial Inputs'!$B$37,'Commercial Inputs'!$B$41,IF(L139&gt;='Commercial Inputs'!$B$36,'Commercial Inputs'!$B$40,IF(L139&gt;='Commercial Inputs'!$B$35,'Commercial Inputs'!$B$39,0))))</x:f>
        <x:v>0</x:v>
      </x:c>
      <x:c r="M158" s="58" t="n">
        <x:f>IF(M139&gt;='Commercial Inputs'!$B$38,'Commercial Inputs'!$B$42,IF(M139&gt;='Commercial Inputs'!$B$37,'Commercial Inputs'!$B$41,IF(M139&gt;='Commercial Inputs'!$B$36,'Commercial Inputs'!$B$40,IF(M139&gt;='Commercial Inputs'!$B$35,'Commercial Inputs'!$B$39,0))))</x:f>
        <x:v>0</x:v>
      </x:c>
      <x:c r="N158" s="58" t="n">
        <x:f>IF(N139&gt;='Commercial Inputs'!$B$38,'Commercial Inputs'!$B$42,IF(N139&gt;='Commercial Inputs'!$B$37,'Commercial Inputs'!$B$41,IF(N139&gt;='Commercial Inputs'!$B$36,'Commercial Inputs'!$B$40,IF(N139&gt;='Commercial Inputs'!$B$35,'Commercial Inputs'!$B$39,0))))</x:f>
        <x:v>0</x:v>
      </x:c>
      <x:c r="O158" s="58" t="n">
        <x:f>IF(O139&gt;='Commercial Inputs'!$B$38,'Commercial Inputs'!$B$42,IF(O139&gt;='Commercial Inputs'!$B$37,'Commercial Inputs'!$B$41,IF(O139&gt;='Commercial Inputs'!$B$36,'Commercial Inputs'!$B$40,IF(O139&gt;='Commercial Inputs'!$B$35,'Commercial Inputs'!$B$39,0))))</x:f>
        <x:v>10000</x:v>
      </x:c>
      <x:c r="P158" s="58" t="n">
        <x:f>IF(P139&gt;='Commercial Inputs'!$B$38,'Commercial Inputs'!$B$42,IF(P139&gt;='Commercial Inputs'!$B$37,'Commercial Inputs'!$B$41,IF(P139&gt;='Commercial Inputs'!$B$36,'Commercial Inputs'!$B$40,IF(P139&gt;='Commercial Inputs'!$B$35,'Commercial Inputs'!$B$39,0))))</x:f>
        <x:v>10000</x:v>
      </x:c>
      <x:c r="Q158" s="58" t="n">
        <x:f>IF(Q139&gt;='Commercial Inputs'!$B$38,'Commercial Inputs'!$B$42,IF(Q139&gt;='Commercial Inputs'!$B$37,'Commercial Inputs'!$B$41,IF(Q139&gt;='Commercial Inputs'!$B$36,'Commercial Inputs'!$B$40,IF(Q139&gt;='Commercial Inputs'!$B$35,'Commercial Inputs'!$B$39,0))))</x:f>
        <x:v>10000</x:v>
      </x:c>
      <x:c r="R158" s="58" t="n">
        <x:f>IF(R139&gt;='Commercial Inputs'!$B$38,'Commercial Inputs'!$B$42,IF(R139&gt;='Commercial Inputs'!$B$37,'Commercial Inputs'!$B$41,IF(R139&gt;='Commercial Inputs'!$B$36,'Commercial Inputs'!$B$40,IF(R139&gt;='Commercial Inputs'!$B$35,'Commercial Inputs'!$B$39,0))))</x:f>
        <x:v>10000</x:v>
      </x:c>
      <x:c r="S158" s="58" t="n">
        <x:f>IF(S139&gt;='Commercial Inputs'!$B$38,'Commercial Inputs'!$B$42,IF(S139&gt;='Commercial Inputs'!$B$37,'Commercial Inputs'!$B$41,IF(S139&gt;='Commercial Inputs'!$B$36,'Commercial Inputs'!$B$40,IF(S139&gt;='Commercial Inputs'!$B$35,'Commercial Inputs'!$B$39,0))))</x:f>
        <x:v>10000</x:v>
      </x:c>
      <x:c r="T158" s="58" t="n">
        <x:f>IF(T139&gt;='Commercial Inputs'!$B$38,'Commercial Inputs'!$B$42,IF(T139&gt;='Commercial Inputs'!$B$37,'Commercial Inputs'!$B$41,IF(T139&gt;='Commercial Inputs'!$B$36,'Commercial Inputs'!$B$40,IF(T139&gt;='Commercial Inputs'!$B$35,'Commercial Inputs'!$B$39,0))))</x:f>
        <x:v>10000</x:v>
      </x:c>
      <x:c r="U158" s="58" t="n">
        <x:f>IF(U139&gt;='Commercial Inputs'!$B$38,'Commercial Inputs'!$B$42,IF(U139&gt;='Commercial Inputs'!$B$37,'Commercial Inputs'!$B$41,IF(U139&gt;='Commercial Inputs'!$B$36,'Commercial Inputs'!$B$40,IF(U139&gt;='Commercial Inputs'!$B$35,'Commercial Inputs'!$B$39,0))))</x:f>
        <x:v>10000</x:v>
      </x:c>
      <x:c r="V158" s="58" t="n">
        <x:f>IF(V139&gt;='Commercial Inputs'!$B$38,'Commercial Inputs'!$B$42,IF(V139&gt;='Commercial Inputs'!$B$37,'Commercial Inputs'!$B$41,IF(V139&gt;='Commercial Inputs'!$B$36,'Commercial Inputs'!$B$40,IF(V139&gt;='Commercial Inputs'!$B$35,'Commercial Inputs'!$B$39,0))))</x:f>
        <x:v>10000</x:v>
      </x:c>
      <x:c r="W158" s="58" t="n">
        <x:f>IF(W139&gt;='Commercial Inputs'!$B$38,'Commercial Inputs'!$B$42,IF(W139&gt;='Commercial Inputs'!$B$37,'Commercial Inputs'!$B$41,IF(W139&gt;='Commercial Inputs'!$B$36,'Commercial Inputs'!$B$40,IF(W139&gt;='Commercial Inputs'!$B$35,'Commercial Inputs'!$B$39,0))))</x:f>
        <x:v>10000</x:v>
      </x:c>
      <x:c r="X158" s="58" t="n">
        <x:f>IF(X139&gt;='Commercial Inputs'!$B$38,'Commercial Inputs'!$B$42,IF(X139&gt;='Commercial Inputs'!$B$37,'Commercial Inputs'!$B$41,IF(X139&gt;='Commercial Inputs'!$B$36,'Commercial Inputs'!$B$40,IF(X139&gt;='Commercial Inputs'!$B$35,'Commercial Inputs'!$B$39,0))))</x:f>
        <x:v>10000</x:v>
      </x:c>
      <x:c r="Y158" s="58" t="n">
        <x:f>IF(Y139&gt;='Commercial Inputs'!$B$38,'Commercial Inputs'!$B$42,IF(Y139&gt;='Commercial Inputs'!$B$37,'Commercial Inputs'!$B$41,IF(Y139&gt;='Commercial Inputs'!$B$36,'Commercial Inputs'!$B$40,IF(Y139&gt;='Commercial Inputs'!$B$35,'Commercial Inputs'!$B$39,0))))</x:f>
        <x:v>10000</x:v>
      </x:c>
      <x:c r="Z158" s="58" t="n">
        <x:f>IF(Z139&gt;='Commercial Inputs'!$B$38,'Commercial Inputs'!$B$42,IF(Z139&gt;='Commercial Inputs'!$B$37,'Commercial Inputs'!$B$41,IF(Z139&gt;='Commercial Inputs'!$B$36,'Commercial Inputs'!$B$40,IF(Z139&gt;='Commercial Inputs'!$B$35,'Commercial Inputs'!$B$39,0))))</x:f>
        <x:v>10000</x:v>
      </x:c>
      <x:c r="AA158" s="58" t="n">
        <x:f>IF(AA139&gt;='Commercial Inputs'!$B$38,'Commercial Inputs'!$B$42,IF(AA139&gt;='Commercial Inputs'!$B$37,'Commercial Inputs'!$B$41,IF(AA139&gt;='Commercial Inputs'!$B$36,'Commercial Inputs'!$B$40,IF(AA139&gt;='Commercial Inputs'!$B$35,'Commercial Inputs'!$B$39,0))))</x:f>
        <x:v>25000</x:v>
      </x:c>
      <x:c r="AB158" s="58" t="n">
        <x:f>IF(AB139&gt;='Commercial Inputs'!$B$38,'Commercial Inputs'!$B$42,IF(AB139&gt;='Commercial Inputs'!$B$37,'Commercial Inputs'!$B$41,IF(AB139&gt;='Commercial Inputs'!$B$36,'Commercial Inputs'!$B$40,IF(AB139&gt;='Commercial Inputs'!$B$35,'Commercial Inputs'!$B$39,0))))</x:f>
        <x:v>25000</x:v>
      </x:c>
      <x:c r="AC158" s="58" t="n">
        <x:f>IF(AC139&gt;='Commercial Inputs'!$B$38,'Commercial Inputs'!$B$42,IF(AC139&gt;='Commercial Inputs'!$B$37,'Commercial Inputs'!$B$41,IF(AC139&gt;='Commercial Inputs'!$B$36,'Commercial Inputs'!$B$40,IF(AC139&gt;='Commercial Inputs'!$B$35,'Commercial Inputs'!$B$39,0))))</x:f>
        <x:v>25000</x:v>
      </x:c>
      <x:c r="AD158" s="58" t="n">
        <x:f>IF(AD139&gt;='Commercial Inputs'!$B$38,'Commercial Inputs'!$B$42,IF(AD139&gt;='Commercial Inputs'!$B$37,'Commercial Inputs'!$B$41,IF(AD139&gt;='Commercial Inputs'!$B$36,'Commercial Inputs'!$B$40,IF(AD139&gt;='Commercial Inputs'!$B$35,'Commercial Inputs'!$B$39,0))))</x:f>
        <x:v>25000</x:v>
      </x:c>
      <x:c r="AE158" s="58" t="n">
        <x:f>IF(AE139&gt;='Commercial Inputs'!$B$38,'Commercial Inputs'!$B$42,IF(AE139&gt;='Commercial Inputs'!$B$37,'Commercial Inputs'!$B$41,IF(AE139&gt;='Commercial Inputs'!$B$36,'Commercial Inputs'!$B$40,IF(AE139&gt;='Commercial Inputs'!$B$35,'Commercial Inputs'!$B$39,0))))</x:f>
        <x:v>25000</x:v>
      </x:c>
      <x:c r="AF158" s="58" t="n">
        <x:f>IF(AF139&gt;='Commercial Inputs'!$B$38,'Commercial Inputs'!$B$42,IF(AF139&gt;='Commercial Inputs'!$B$37,'Commercial Inputs'!$B$41,IF(AF139&gt;='Commercial Inputs'!$B$36,'Commercial Inputs'!$B$40,IF(AF139&gt;='Commercial Inputs'!$B$35,'Commercial Inputs'!$B$39,0))))</x:f>
        <x:v>25000</x:v>
      </x:c>
      <x:c r="AG158" s="58" t="n">
        <x:f>IF(AG139&gt;='Commercial Inputs'!$B$38,'Commercial Inputs'!$B$42,IF(AG139&gt;='Commercial Inputs'!$B$37,'Commercial Inputs'!$B$41,IF(AG139&gt;='Commercial Inputs'!$B$36,'Commercial Inputs'!$B$40,IF(AG139&gt;='Commercial Inputs'!$B$35,'Commercial Inputs'!$B$39,0))))</x:f>
        <x:v>25000</x:v>
      </x:c>
      <x:c r="AH158" s="58" t="n">
        <x:f>IF(AH139&gt;='Commercial Inputs'!$B$38,'Commercial Inputs'!$B$42,IF(AH139&gt;='Commercial Inputs'!$B$37,'Commercial Inputs'!$B$41,IF(AH139&gt;='Commercial Inputs'!$B$36,'Commercial Inputs'!$B$40,IF(AH139&gt;='Commercial Inputs'!$B$35,'Commercial Inputs'!$B$39,0))))</x:f>
        <x:v>25000</x:v>
      </x:c>
      <x:c r="AI158" s="58" t="n">
        <x:f>IF(AI139&gt;='Commercial Inputs'!$B$38,'Commercial Inputs'!$B$42,IF(AI139&gt;='Commercial Inputs'!$B$37,'Commercial Inputs'!$B$41,IF(AI139&gt;='Commercial Inputs'!$B$36,'Commercial Inputs'!$B$40,IF(AI139&gt;='Commercial Inputs'!$B$35,'Commercial Inputs'!$B$39,0))))</x:f>
        <x:v>25000</x:v>
      </x:c>
      <x:c r="AJ158" s="58" t="n">
        <x:f>IF(AJ139&gt;='Commercial Inputs'!$B$38,'Commercial Inputs'!$B$42,IF(AJ139&gt;='Commercial Inputs'!$B$37,'Commercial Inputs'!$B$41,IF(AJ139&gt;='Commercial Inputs'!$B$36,'Commercial Inputs'!$B$40,IF(AJ139&gt;='Commercial Inputs'!$B$35,'Commercial Inputs'!$B$39,0))))</x:f>
        <x:v>25000</x:v>
      </x:c>
      <x:c r="AK158" s="58" t="n">
        <x:f>IF(AK139&gt;='Commercial Inputs'!$B$38,'Commercial Inputs'!$B$42,IF(AK139&gt;='Commercial Inputs'!$B$37,'Commercial Inputs'!$B$41,IF(AK139&gt;='Commercial Inputs'!$B$36,'Commercial Inputs'!$B$40,IF(AK139&gt;='Commercial Inputs'!$B$35,'Commercial Inputs'!$B$39,0))))</x:f>
        <x:v>25000</x:v>
      </x:c>
    </x:row>
    <x:row r="159" ht="18" customHeight="1">
      <x:c r="A159" s="4" t="str">
        <x:v>Founder cash pay (INR)</x:v>
      </x:c>
      <x:c r="B159" s="60" t="n">
        <x:f>'Commercial Inputs'!$B$32</x:f>
        <x:v>0</x:v>
      </x:c>
      <x:c r="C159" s="60" t="n">
        <x:f>'Commercial Inputs'!$B$32</x:f>
        <x:v>0</x:v>
      </x:c>
      <x:c r="D159" s="60" t="n">
        <x:f>'Commercial Inputs'!$B$32</x:f>
        <x:v>0</x:v>
      </x:c>
      <x:c r="E159" s="60" t="n">
        <x:f>'Commercial Inputs'!$B$32</x:f>
        <x:v>0</x:v>
      </x:c>
      <x:c r="F159" s="60" t="n">
        <x:f>'Commercial Inputs'!$B$32</x:f>
        <x:v>0</x:v>
      </x:c>
      <x:c r="G159" s="60" t="n">
        <x:f>'Commercial Inputs'!$B$32</x:f>
        <x:v>0</x:v>
      </x:c>
      <x:c r="H159" s="60" t="n">
        <x:f>'Commercial Inputs'!$B$32</x:f>
        <x:v>0</x:v>
      </x:c>
      <x:c r="I159" s="60" t="n">
        <x:f>'Commercial Inputs'!$B$32</x:f>
        <x:v>0</x:v>
      </x:c>
      <x:c r="J159" s="60" t="n">
        <x:f>'Commercial Inputs'!$B$32</x:f>
        <x:v>0</x:v>
      </x:c>
      <x:c r="K159" s="60" t="n">
        <x:f>'Commercial Inputs'!$B$32</x:f>
        <x:v>0</x:v>
      </x:c>
      <x:c r="L159" s="60" t="n">
        <x:f>'Commercial Inputs'!$B$32</x:f>
        <x:v>0</x:v>
      </x:c>
      <x:c r="M159" s="60" t="n">
        <x:f>'Commercial Inputs'!$B$32</x:f>
        <x:v>0</x:v>
      </x:c>
      <x:c r="N159" s="60" t="n">
        <x:f>'Commercial Inputs'!$B$32</x:f>
        <x:v>0</x:v>
      </x:c>
      <x:c r="O159" s="60" t="n">
        <x:f>'Commercial Inputs'!$B$32</x:f>
        <x:v>0</x:v>
      </x:c>
      <x:c r="P159" s="60" t="n">
        <x:f>'Commercial Inputs'!$B$32</x:f>
        <x:v>0</x:v>
      </x:c>
      <x:c r="Q159" s="60" t="n">
        <x:f>'Commercial Inputs'!$B$32</x:f>
        <x:v>0</x:v>
      </x:c>
      <x:c r="R159" s="60" t="n">
        <x:f>'Commercial Inputs'!$B$32</x:f>
        <x:v>0</x:v>
      </x:c>
      <x:c r="S159" s="60" t="n">
        <x:f>'Commercial Inputs'!$B$32</x:f>
        <x:v>0</x:v>
      </x:c>
      <x:c r="T159" s="60" t="n">
        <x:f>'Commercial Inputs'!$B$32</x:f>
        <x:v>0</x:v>
      </x:c>
      <x:c r="U159" s="60" t="n">
        <x:f>'Commercial Inputs'!$B$32</x:f>
        <x:v>0</x:v>
      </x:c>
      <x:c r="V159" s="60" t="n">
        <x:f>'Commercial Inputs'!$B$32</x:f>
        <x:v>0</x:v>
      </x:c>
      <x:c r="W159" s="60" t="n">
        <x:f>'Commercial Inputs'!$B$32</x:f>
        <x:v>0</x:v>
      </x:c>
      <x:c r="X159" s="60" t="n">
        <x:f>'Commercial Inputs'!$B$32</x:f>
        <x:v>0</x:v>
      </x:c>
      <x:c r="Y159" s="60" t="n">
        <x:f>'Commercial Inputs'!$B$32</x:f>
        <x:v>0</x:v>
      </x:c>
      <x:c r="Z159" s="60" t="n">
        <x:f>'Commercial Inputs'!$B$32</x:f>
        <x:v>0</x:v>
      </x:c>
      <x:c r="AA159" s="60" t="n">
        <x:f>'Commercial Inputs'!$B$32</x:f>
        <x:v>0</x:v>
      </x:c>
      <x:c r="AB159" s="60" t="n">
        <x:f>'Commercial Inputs'!$B$32</x:f>
        <x:v>0</x:v>
      </x:c>
      <x:c r="AC159" s="60" t="n">
        <x:f>'Commercial Inputs'!$B$32</x:f>
        <x:v>0</x:v>
      </x:c>
      <x:c r="AD159" s="60" t="n">
        <x:f>'Commercial Inputs'!$B$32</x:f>
        <x:v>0</x:v>
      </x:c>
      <x:c r="AE159" s="60" t="n">
        <x:f>'Commercial Inputs'!$B$32</x:f>
        <x:v>0</x:v>
      </x:c>
      <x:c r="AF159" s="60" t="n">
        <x:f>'Commercial Inputs'!$B$32</x:f>
        <x:v>0</x:v>
      </x:c>
      <x:c r="AG159" s="60" t="n">
        <x:f>'Commercial Inputs'!$B$32</x:f>
        <x:v>0</x:v>
      </x:c>
      <x:c r="AH159" s="60" t="n">
        <x:f>'Commercial Inputs'!$B$32</x:f>
        <x:v>0</x:v>
      </x:c>
      <x:c r="AI159" s="60" t="n">
        <x:f>'Commercial Inputs'!$B$32</x:f>
        <x:v>0</x:v>
      </x:c>
      <x:c r="AJ159" s="60" t="n">
        <x:f>'Commercial Inputs'!$B$32</x:f>
        <x:v>0</x:v>
      </x:c>
      <x:c r="AK159" s="60" t="n">
        <x:f>'Commercial Inputs'!$B$32</x:f>
        <x:v>0</x:v>
      </x:c>
    </x:row>
    <x:row r="160" ht="18" customHeight="1">
      <x:c r="A160" s="4" t="str">
        <x:v>One-time launch expense (INR)</x:v>
      </x:c>
      <x:c r="B160" s="60" t="n">
        <x:f>'Commercial Inputs'!$B$30</x:f>
        <x:v>20000</x:v>
      </x:c>
      <x:c r="C160" s="60" t="n">
        <x:f>0</x:f>
        <x:v>0</x:v>
      </x:c>
      <x:c r="D160" s="60" t="n">
        <x:f>0</x:f>
        <x:v>0</x:v>
      </x:c>
      <x:c r="E160" s="60" t="n">
        <x:f>0</x:f>
        <x:v>0</x:v>
      </x:c>
      <x:c r="F160" s="60" t="n">
        <x:f>0</x:f>
        <x:v>0</x:v>
      </x:c>
      <x:c r="G160" s="60" t="n">
        <x:f>0</x:f>
        <x:v>0</x:v>
      </x:c>
      <x:c r="H160" s="60" t="n">
        <x:f>0</x:f>
        <x:v>0</x:v>
      </x:c>
      <x:c r="I160" s="60" t="n">
        <x:f>0</x:f>
        <x:v>0</x:v>
      </x:c>
      <x:c r="J160" s="60" t="n">
        <x:f>0</x:f>
        <x:v>0</x:v>
      </x:c>
      <x:c r="K160" s="60" t="n">
        <x:f>0</x:f>
        <x:v>0</x:v>
      </x:c>
      <x:c r="L160" s="60" t="n">
        <x:f>0</x:f>
        <x:v>0</x:v>
      </x:c>
      <x:c r="M160" s="60" t="n">
        <x:f>0</x:f>
        <x:v>0</x:v>
      </x:c>
      <x:c r="N160" s="60" t="n">
        <x:f>0</x:f>
        <x:v>0</x:v>
      </x:c>
      <x:c r="O160" s="60" t="n">
        <x:f>0</x:f>
        <x:v>0</x:v>
      </x:c>
      <x:c r="P160" s="60" t="n">
        <x:f>0</x:f>
        <x:v>0</x:v>
      </x:c>
      <x:c r="Q160" s="60" t="n">
        <x:f>0</x:f>
        <x:v>0</x:v>
      </x:c>
      <x:c r="R160" s="60" t="n">
        <x:f>0</x:f>
        <x:v>0</x:v>
      </x:c>
      <x:c r="S160" s="60" t="n">
        <x:f>0</x:f>
        <x:v>0</x:v>
      </x:c>
      <x:c r="T160" s="60" t="n">
        <x:f>0</x:f>
        <x:v>0</x:v>
      </x:c>
      <x:c r="U160" s="60" t="n">
        <x:f>0</x:f>
        <x:v>0</x:v>
      </x:c>
      <x:c r="V160" s="60" t="n">
        <x:f>0</x:f>
        <x:v>0</x:v>
      </x:c>
      <x:c r="W160" s="60" t="n">
        <x:f>0</x:f>
        <x:v>0</x:v>
      </x:c>
      <x:c r="X160" s="60" t="n">
        <x:f>0</x:f>
        <x:v>0</x:v>
      </x:c>
      <x:c r="Y160" s="60" t="n">
        <x:f>0</x:f>
        <x:v>0</x:v>
      </x:c>
      <x:c r="Z160" s="60" t="n">
        <x:f>0</x:f>
        <x:v>0</x:v>
      </x:c>
      <x:c r="AA160" s="60" t="n">
        <x:f>0</x:f>
        <x:v>0</x:v>
      </x:c>
      <x:c r="AB160" s="60" t="n">
        <x:f>0</x:f>
        <x:v>0</x:v>
      </x:c>
      <x:c r="AC160" s="60" t="n">
        <x:f>0</x:f>
        <x:v>0</x:v>
      </x:c>
      <x:c r="AD160" s="60" t="n">
        <x:f>0</x:f>
        <x:v>0</x:v>
      </x:c>
      <x:c r="AE160" s="60" t="n">
        <x:f>0</x:f>
        <x:v>0</x:v>
      </x:c>
      <x:c r="AF160" s="60" t="n">
        <x:f>0</x:f>
        <x:v>0</x:v>
      </x:c>
      <x:c r="AG160" s="60" t="n">
        <x:f>0</x:f>
        <x:v>0</x:v>
      </x:c>
      <x:c r="AH160" s="60" t="n">
        <x:f>0</x:f>
        <x:v>0</x:v>
      </x:c>
      <x:c r="AI160" s="60" t="n">
        <x:f>0</x:f>
        <x:v>0</x:v>
      </x:c>
      <x:c r="AJ160" s="60" t="n">
        <x:f>0</x:f>
        <x:v>0</x:v>
      </x:c>
      <x:c r="AK160" s="60" t="n">
        <x:f>0</x:f>
        <x:v>0</x:v>
      </x:c>
    </x:row>
    <x:row r="161" ht="18" customHeight="1">
      <x:c r="A161" s="74" t="str">
        <x:v>OPERATING PROFIT BEFORE INCOME TAX</x:v>
      </x:c>
      <x:c r="B161" s="75" t="n">
        <x:f>B155-B121-SUM(B157:B160)</x:f>
        <x:v>-42580.03575622881</x:v>
      </x:c>
      <x:c r="C161" s="75" t="n">
        <x:f>C155-C121-SUM(C157:C160)</x:f>
        <x:v>-18645.74209601415</x:v>
      </x:c>
      <x:c r="D161" s="75" t="n">
        <x:f>D155-D121-SUM(D157:D160)</x:f>
        <x:v>-14634.998081851641</x:v>
      </x:c>
      <x:c r="E161" s="75" t="n">
        <x:f>E155-E121-SUM(E157:E160)</x:f>
        <x:v>-17835.297177443666</x:v>
      </x:c>
      <x:c r="F161" s="75" t="n">
        <x:f>F155-F121-SUM(F157:F160)</x:f>
        <x:v>-12364.563463056384</x:v>
      </x:c>
      <x:c r="G161" s="75" t="n">
        <x:f>G155-G121-SUM(G157:G160)</x:f>
        <x:v>-6542.421928278578</x:v>
      </x:c>
      <x:c r="H161" s="75" t="n">
        <x:f>H155-H121-SUM(H157:H160)</x:f>
        <x:v>-16541.361272386894</x:v>
      </x:c>
      <x:c r="I161" s="75" t="n">
        <x:f>I155-I121-SUM(I157:I160)</x:f>
        <x:v>-7993.542492469722</x:v>
      </x:c>
      <x:c r="J161" s="75" t="n">
        <x:f>J155-J121-SUM(J157:J160)</x:f>
        <x:v>1029.5349665000685</x:v>
      </x:c>
      <x:c r="K161" s="75" t="n">
        <x:f>K155-K121-SUM(K157:K160)</x:f>
        <x:v>10676.106745262208</x:v>
      </x:c>
      <x:c r="L161" s="75" t="n">
        <x:f>L155-L121-SUM(L157:L160)</x:f>
        <x:v>21041.949556014297</x:v>
      </x:c>
      <x:c r="M161" s="75" t="n">
        <x:f>M155-M121-SUM(M157:M160)</x:f>
        <x:v>32231.26515396207</x:v>
      </x:c>
      <x:c r="N161" s="75" t="n">
        <x:f>N155-N121-SUM(N157:N160)</x:f>
        <x:v>-362.9520105529664</x:v>
      </x:c>
      <x:c r="O161" s="75" t="n">
        <x:f>O155-O121-SUM(O157:O160)</x:f>
        <x:v>2736.812126940087</x:v>
      </x:c>
      <x:c r="P161" s="75" t="n">
        <x:f>P155-P121-SUM(P157:P160)</x:f>
        <x:v>16139.56193250441</x:v>
      </x:c>
      <x:c r="Q161" s="75" t="n">
        <x:f>Q155-Q121-SUM(Q157:Q160)</x:f>
        <x:v>29265.673588284073</x:v>
      </x:c>
      <x:c r="R161" s="75" t="n">
        <x:f>R155-R121-SUM(R157:R160)</x:f>
        <x:v>43173.151711504965</x:v>
      </x:c>
      <x:c r="S161" s="75" t="n">
        <x:f>S155-S121-SUM(S157:S160)</x:f>
        <x:v>57634.43623567987</x:v>
      </x:c>
      <x:c r="T161" s="75" t="n">
        <x:f>T155-T121-SUM(T157:T160)</x:f>
        <x:v>39851.429877848976</x:v>
      </x:c>
      <x:c r="U161" s="75" t="n">
        <x:f>U155-U121-SUM(U157:U160)</x:f>
        <x:v>57699.12268343728</x:v>
      </x:c>
      <x:c r="V161" s="75" t="n">
        <x:f>V155-V121-SUM(V157:V160)</x:f>
        <x:v>76058.83302926767</x:v>
      </x:c>
      <x:c r="W161" s="75" t="n">
        <x:f>W155-W121-SUM(W157:W160)</x:f>
        <x:v>95097.00091678454</x:v>
      </x:c>
      <x:c r="X161" s="75" t="n">
        <x:f>X155-X121-SUM(X157:X160)</x:f>
        <x:v>114874.02885633335</x:v>
      </x:c>
      <x:c r="Y161" s="75" t="n">
        <x:f>Y155-Y121-SUM(Y157:Y160)</x:f>
        <x:v>135448.57803355705</x:v>
      </x:c>
      <x:c r="Z161" s="75" t="n">
        <x:f>Z155-Z121-SUM(Z157:Z160)</x:f>
        <x:v>107403.74472455983</x:v>
      </x:c>
      <x:c r="AA161" s="75" t="n">
        <x:f>AA155-AA121-SUM(AA157:AA160)</x:f>
        <x:v>114829.95045361138</x:v>
      </x:c>
      <x:c r="AB161" s="75" t="n">
        <x:f>AB155-AB121-SUM(AB157:AB160)</x:f>
        <x:v>137835.8767611981</x:v>
      </x:c>
      <x:c r="AC161" s="75" t="n">
        <x:f>AC155-AC121-SUM(AC157:AC160)</x:f>
        <x:v>161308.74572927214</x:v>
      </x:c>
      <x:c r="AD161" s="75" t="n">
        <x:f>AD155-AD121-SUM(AD157:AD160)</x:f>
        <x:v>185684.82744049013</x:v>
      </x:c>
      <x:c r="AE161" s="75" t="n">
        <x:f>AE155-AE121-SUM(AE157:AE160)</x:f>
        <x:v>210866.3057723806</x:v>
      </x:c>
      <x:c r="AF161" s="75" t="n">
        <x:f>AF155-AF121-SUM(AF157:AF160)</x:f>
        <x:v>202369.04049049492</x:v>
      </x:c>
      <x:c r="AG161" s="75" t="n">
        <x:f>AG155-AG121-SUM(AG157:AG160)</x:f>
        <x:v>230240.46525889024</x:v>
      </x:c>
      <x:c r="AH161" s="75" t="n">
        <x:f>AH155-AH121-SUM(AH157:AH160)</x:f>
        <x:v>258885.50955261255</x:v>
      </x:c>
      <x:c r="AI161" s="75" t="n">
        <x:f>AI155-AI121-SUM(AI157:AI160)</x:f>
        <x:v>288455.25185265177</x:v>
      </x:c>
      <x:c r="AJ161" s="75" t="n">
        <x:f>AJ155-AJ121-SUM(AJ157:AJ160)</x:f>
        <x:v>319003.2137045803</x:v>
      </x:c>
      <x:c r="AK161" s="75" t="n">
        <x:f>AK155-AK121-SUM(AK157:AK160)</x:f>
        <x:v>350580.17340998584</x:v>
      </x:c>
    </x:row>
    <x:row r="162" ht="18" customHeight="1">
      <x:c r="A162" s="4" t="str">
        <x:v>Operating margin (%)</x:v>
      </x:c>
      <x:c r="B162" s="62" t="n">
        <x:f>IFERROR(B161/B143,0)</x:f>
        <x:v>-8.272440185834943</x:v>
      </x:c>
      <x:c r="C162" s="62" t="n">
        <x:f>IFERROR(C161/C143,0)</x:f>
        <x:v>-1.8652199675910195</x:v>
      </x:c>
      <x:c r="D162" s="62" t="n">
        <x:f>IFERROR(D161/D143,0)</x:f>
        <x:v>-0.974396615039342</x:v>
      </x:c>
      <x:c r="E162" s="62" t="n">
        <x:f>IFERROR(E161/E143,0)</x:f>
        <x:v>-0.8291708317315792</x:v>
      </x:c>
      <x:c r="F162" s="62" t="n">
        <x:f>IFERROR(F161/F143,0)</x:f>
        <x:v>-0.4371526391798171</x:v>
      </x:c>
      <x:c r="G162" s="62" t="n">
        <x:f>IFERROR(G161/G143,0)</x:f>
        <x:v>-0.18420661667930896</x:v>
      </x:c>
      <x:c r="H162" s="62" t="n">
        <x:f>IFERROR(H161/H143,0)</x:f>
        <x:v>-0.3621911701051301</x:v>
      </x:c>
      <x:c r="I162" s="62" t="n">
        <x:f>IFERROR(I161/I143,0)</x:f>
        <x:v>-0.14242041342243292</x:v>
      </x:c>
      <x:c r="J162" s="62" t="n">
        <x:f>IFERROR(J161/J143,0)</x:f>
        <x:v>0.0153197716681201</x:v>
      </x:c>
      <x:c r="K162" s="62" t="n">
        <x:f>IFERROR(K161/K143,0)</x:f>
        <x:v>0.13499093375562057</x:v>
      </x:c>
      <x:c r="L162" s="62" t="n">
        <x:f>IFERROR(L161/L143,0)</x:f>
        <x:v>0.22895832503433974</x:v>
      </x:c>
      <x:c r="M162" s="62" t="n">
        <x:f>IFERROR(M161/M143,0)</x:f>
        <x:v>0.3046922134716052</x:v>
      </x:c>
      <x:c r="N162" s="62" t="n">
        <x:f>IFERROR(N161/N143,0)</x:f>
        <x:v>-0.0029826882050802447</x:v>
      </x:c>
      <x:c r="O162" s="62" t="n">
        <x:f>IFERROR(O161/O143,0)</x:f>
        <x:v>0.01989153886065435</x:v>
      </x:c>
      <x:c r="P162" s="62" t="n">
        <x:f>IFERROR(P161/P143,0)</x:f>
        <x:v>0.10486606713511346</x:v>
      </x:c>
      <x:c r="Q162" s="62" t="n">
        <x:f>IFERROR(Q161/Q143,0)</x:f>
        <x:v>0.17180175635891295</x:v>
      </x:c>
      <x:c r="R162" s="62" t="n">
        <x:f>IFERROR(R161/R143,0)</x:f>
        <x:v>0.23030215226397946</x:v>
      </x:c>
      <x:c r="S162" s="62" t="n">
        <x:f>IFERROR(S161/S143,0)</x:f>
        <x:v>0.28069260920817746</x:v>
      </x:c>
      <x:c r="T162" s="62" t="n">
        <x:f>IFERROR(T161/T143,0)</x:f>
        <x:v>0.17550848894954832</x:v>
      </x:c>
      <x:c r="U162" s="62" t="n">
        <x:f>IFERROR(U161/U143,0)</x:f>
        <x:v>0.23166779068682397</x:v>
      </x:c>
      <x:c r="V162" s="62" t="n">
        <x:f>IFERROR(V161/V143,0)</x:f>
        <x:v>0.27985344256229555</x:v>
      </x:c>
      <x:c r="W162" s="62" t="n">
        <x:f>IFERROR(W161/W143,0)</x:f>
        <x:v>0.3218785400205221</x:v>
      </x:c>
      <x:c r="X162" s="62" t="n">
        <x:f>IFERROR(X161/X143,0)</x:f>
        <x:v>0.3588291578223886</x:v>
      </x:c>
      <x:c r="Y162" s="62" t="n">
        <x:f>IFERROR(Y161/Y143,0)</x:f>
        <x:v>0.3915334243976431</x:v>
      </x:c>
      <x:c r="Z162" s="62" t="n">
        <x:f>IFERROR(Z161/Z143,0)</x:f>
        <x:v>0.2879433633041961</x:v>
      </x:c>
      <x:c r="AA162" s="62" t="n">
        <x:f>IFERROR(AA161/AA143,0)</x:f>
        <x:v>0.28670660191170516</x:v>
      </x:c>
      <x:c r="AB162" s="62" t="n">
        <x:f>IFERROR(AB161/AB143,0)</x:f>
        <x:v>0.32143781427404616</x:v>
      </x:c>
      <x:c r="AC162" s="62" t="n">
        <x:f>IFERROR(AC161/AC143,0)</x:f>
        <x:v>0.35223516405296196</x:v>
      </x:c>
      <x:c r="AD162" s="62" t="n">
        <x:f>IFERROR(AD161/AD143,0)</x:f>
        <x:v>0.380406345644202</x:v>
      </x:c>
      <x:c r="AE162" s="62" t="n">
        <x:f>IFERROR(AE161/AE143,0)</x:f>
        <x:v>0.405998808135061</x:v>
      </x:c>
      <x:c r="AF162" s="62" t="n">
        <x:f>IFERROR(AF161/AF143,0)</x:f>
        <x:v>0.36563518378297805</x:v>
      </x:c>
      <x:c r="AG162" s="62" t="n">
        <x:f>IFERROR(AG161/AG143,0)</x:f>
        <x:v>0.391413201474024</x:v>
      </x:c>
      <x:c r="AH162" s="62" t="n">
        <x:f>IFERROR(AH161/AH143,0)</x:f>
        <x:v>0.41483587981887593</x:v>
      </x:c>
      <x:c r="AI162" s="62" t="n">
        <x:f>IFERROR(AI161/AI143,0)</x:f>
        <x:v>0.43626774744758784</x:v>
      </x:c>
      <x:c r="AJ162" s="62" t="n">
        <x:f>IFERROR(AJ161/AJ143,0)</x:f>
        <x:v>0.45593181330068006</x:v>
      </x:c>
      <x:c r="AK162" s="62" t="n">
        <x:f>IFERROR(AK161/AK143,0)</x:f>
        <x:v>0.4740135896733549</x:v>
      </x:c>
    </x:row>
    <x:row r="163" ht="18" customHeight="1">
      <x:c r="A163" s="4" t="str">
        <x:v>After imputed founder time (INR)</x:v>
      </x:c>
      <x:c r="B163" s="58" t="n">
        <x:f>B161-'Commercial Inputs'!$B$33</x:f>
        <x:v>-142580.0357562288</x:v>
      </x:c>
      <x:c r="C163" s="58" t="n">
        <x:f>C161-'Commercial Inputs'!$B$33</x:f>
        <x:v>-118645.74209601415</x:v>
      </x:c>
      <x:c r="D163" s="58" t="n">
        <x:f>D161-'Commercial Inputs'!$B$33</x:f>
        <x:v>-114634.99808185163</x:v>
      </x:c>
      <x:c r="E163" s="58" t="n">
        <x:f>E161-'Commercial Inputs'!$B$33</x:f>
        <x:v>-117835.29717744366</x:v>
      </x:c>
      <x:c r="F163" s="58" t="n">
        <x:f>F161-'Commercial Inputs'!$B$33</x:f>
        <x:v>-112364.56346305639</x:v>
      </x:c>
      <x:c r="G163" s="58" t="n">
        <x:f>G161-'Commercial Inputs'!$B$33</x:f>
        <x:v>-106542.42192827858</x:v>
      </x:c>
      <x:c r="H163" s="58" t="n">
        <x:f>H161-'Commercial Inputs'!$B$33</x:f>
        <x:v>-116541.36127238689</x:v>
      </x:c>
      <x:c r="I163" s="58" t="n">
        <x:f>I161-'Commercial Inputs'!$B$33</x:f>
        <x:v>-107993.54249246971</x:v>
      </x:c>
      <x:c r="J163" s="58" t="n">
        <x:f>J161-'Commercial Inputs'!$B$33</x:f>
        <x:v>-98970.46503349993</x:v>
      </x:c>
      <x:c r="K163" s="58" t="n">
        <x:f>K161-'Commercial Inputs'!$B$33</x:f>
        <x:v>-89323.89325473779</x:v>
      </x:c>
      <x:c r="L163" s="58" t="n">
        <x:f>L161-'Commercial Inputs'!$B$33</x:f>
        <x:v>-78958.0504439857</x:v>
      </x:c>
      <x:c r="M163" s="58" t="n">
        <x:f>M161-'Commercial Inputs'!$B$33</x:f>
        <x:v>-67768.73484603793</x:v>
      </x:c>
      <x:c r="N163" s="58" t="n">
        <x:f>N161-'Commercial Inputs'!$B$33</x:f>
        <x:v>-100362.95201055297</x:v>
      </x:c>
      <x:c r="O163" s="58" t="n">
        <x:f>O161-'Commercial Inputs'!$B$33</x:f>
        <x:v>-97263.18787305991</x:v>
      </x:c>
      <x:c r="P163" s="58" t="n">
        <x:f>P161-'Commercial Inputs'!$B$33</x:f>
        <x:v>-83860.43806749559</x:v>
      </x:c>
      <x:c r="Q163" s="58" t="n">
        <x:f>Q161-'Commercial Inputs'!$B$33</x:f>
        <x:v>-70734.32641171593</x:v>
      </x:c>
      <x:c r="R163" s="58" t="n">
        <x:f>R161-'Commercial Inputs'!$B$33</x:f>
        <x:v>-56826.848288495035</x:v>
      </x:c>
      <x:c r="S163" s="58" t="n">
        <x:f>S161-'Commercial Inputs'!$B$33</x:f>
        <x:v>-42365.56376432013</x:v>
      </x:c>
      <x:c r="T163" s="58" t="n">
        <x:f>T161-'Commercial Inputs'!$B$33</x:f>
        <x:v>-60148.570122151024</x:v>
      </x:c>
      <x:c r="U163" s="58" t="n">
        <x:f>U161-'Commercial Inputs'!$B$33</x:f>
        <x:v>-42300.87731656272</x:v>
      </x:c>
      <x:c r="V163" s="58" t="n">
        <x:f>V161-'Commercial Inputs'!$B$33</x:f>
        <x:v>-23941.16697073233</x:v>
      </x:c>
      <x:c r="W163" s="58" t="n">
        <x:f>W161-'Commercial Inputs'!$B$33</x:f>
        <x:v>-4902.999083215458</x:v>
      </x:c>
      <x:c r="X163" s="58" t="n">
        <x:f>X161-'Commercial Inputs'!$B$33</x:f>
        <x:v>14874.028856333345</x:v>
      </x:c>
      <x:c r="Y163" s="58" t="n">
        <x:f>Y161-'Commercial Inputs'!$B$33</x:f>
        <x:v>35448.578033557045</x:v>
      </x:c>
      <x:c r="Z163" s="58" t="n">
        <x:f>Z161-'Commercial Inputs'!$B$33</x:f>
        <x:v>7403.7447245598305</x:v>
      </x:c>
      <x:c r="AA163" s="58" t="n">
        <x:f>AA161-'Commercial Inputs'!$B$33</x:f>
        <x:v>14829.950453611382</x:v>
      </x:c>
      <x:c r="AB163" s="58" t="n">
        <x:f>AB161-'Commercial Inputs'!$B$33</x:f>
        <x:v>37835.8767611981</x:v>
      </x:c>
      <x:c r="AC163" s="58" t="n">
        <x:f>AC161-'Commercial Inputs'!$B$33</x:f>
        <x:v>61308.74572927214</x:v>
      </x:c>
      <x:c r="AD163" s="58" t="n">
        <x:f>AD161-'Commercial Inputs'!$B$33</x:f>
        <x:v>85684.82744049013</x:v>
      </x:c>
      <x:c r="AE163" s="58" t="n">
        <x:f>AE161-'Commercial Inputs'!$B$33</x:f>
        <x:v>110866.30577238061</x:v>
      </x:c>
      <x:c r="AF163" s="58" t="n">
        <x:f>AF161-'Commercial Inputs'!$B$33</x:f>
        <x:v>102369.04049049492</x:v>
      </x:c>
      <x:c r="AG163" s="58" t="n">
        <x:f>AG161-'Commercial Inputs'!$B$33</x:f>
        <x:v>130240.46525889024</x:v>
      </x:c>
      <x:c r="AH163" s="58" t="n">
        <x:f>AH161-'Commercial Inputs'!$B$33</x:f>
        <x:v>158885.50955261255</x:v>
      </x:c>
      <x:c r="AI163" s="58" t="n">
        <x:f>AI161-'Commercial Inputs'!$B$33</x:f>
        <x:v>188455.25185265177</x:v>
      </x:c>
      <x:c r="AJ163" s="58" t="n">
        <x:f>AJ161-'Commercial Inputs'!$B$33</x:f>
        <x:v>219003.21370458032</x:v>
      </x:c>
      <x:c r="AK163" s="58" t="n">
        <x:f>AK161-'Commercial Inputs'!$B$33</x:f>
        <x:v>250580.17340998584</x:v>
      </x:c>
    </x:row>
    <x:row r="164" ht="18" customHeight="1">
      <x:c r="A164" s="4" t="str">
        <x:v>Net proceeds awaiting payout (INR)</x:v>
      </x:c>
      <x:c r="B164" s="58" t="n">
        <x:f>B148-B149</x:f>
        <x:v>36713.18966644069</x:v>
      </x:c>
      <x:c r="C164" s="58" t="n">
        <x:f>C148-C149</x:f>
        <x:v>41137.511580814586</x:v>
      </x:c>
      <x:c r="D164" s="58" t="n">
        <x:f>D148-D149</x:f>
        <x:v>45810.999614075015</x:v>
      </x:c>
      <x:c r="E164" s="58" t="n">
        <x:f>E148-E149</x:f>
        <x:v>58656.228856243884</x:v>
      </x:c>
      <x:c r="F164" s="58" t="n">
        <x:f>F148-F149</x:f>
        <x:v>64484.638468979836</x:v>
      </x:c>
      <x:c r="G164" s="58" t="n">
        <x:f>G148-G149</x:f>
        <x:v>70848.16623866906</x:v>
      </x:c>
      <x:c r="H164" s="58" t="n">
        <x:f>H148-H149</x:f>
        <x:v>94609.58007649035</x:v>
      </x:c>
      <x:c r="I164" s="58" t="n">
        <x:f>I148-I149</x:f>
        <x:v>102802.3537116816</x:v>
      </x:c>
      <x:c r="J164" s="58" t="n">
        <x:f>J148-J149</x:f>
        <x:v>111727.16874572092</x:v>
      </x:c>
      <x:c r="K164" s="58" t="n">
        <x:f>K148-K149</x:f>
        <x:v>121569.58761361348</x:v>
      </x:c>
      <x:c r="L164" s="58" t="n">
        <x:f>L148-L149</x:f>
        <x:v>132462.17672466347</x:v>
      </x:c>
      <x:c r="M164" s="58" t="n">
        <x:f>M148-M149</x:f>
        <x:v>144550.12319912284</x:v>
      </x:c>
      <x:c r="N164" s="58" t="n">
        <x:f>N148-N149</x:f>
        <x:v>190519.92762491264</x:v>
      </x:c>
      <x:c r="O164" s="58" t="n">
        <x:f>O148-O149</x:f>
        <x:v>202197.76795287716</x:v>
      </x:c>
      <x:c r="P164" s="58" t="n">
        <x:f>P148-P149</x:f>
        <x:v>214508.51469185564</x:v>
      </x:c>
      <x:c r="Q164" s="58" t="n">
        <x:f>Q148-Q149</x:f>
        <x:v>229799.27104587242</x:v>
      </x:c>
      <x:c r="R164" s="58" t="n">
        <x:f>R148-R149</x:f>
        <x:v>243871.4978023721</x:v>
      </x:c>
      <x:c r="S164" s="58" t="n">
        <x:f>S148-S149</x:f>
        <x:v>258979.77660192252</x:v>
      </x:c>
      <x:c r="T164" s="58" t="n">
        <x:f>T148-T149</x:f>
        <x:v>309168.86064186675</x:v>
      </x:c>
      <x:c r="U164" s="58" t="n">
        <x:f>U148-U149</x:f>
        <x:v>327441.8522567329</x:v>
      </x:c>
      <x:c r="V164" s="58" t="n">
        <x:f>V148-V149</x:f>
        <x:v>346897.45309138484</x:v>
      </x:c>
      <x:c r="W164" s="58" t="n">
        <x:f>W148-W149</x:f>
        <x:v>367794.2598360444</x:v>
      </x:c>
      <x:c r="X164" s="58" t="n">
        <x:f>X148-X149</x:f>
        <x:v>390287.2271980151</x:v>
      </x:c>
      <x:c r="Y164" s="58" t="n">
        <x:f>Y148-Y149</x:f>
        <x:v>414540.6347095843</x:v>
      </x:c>
      <x:c r="Z164" s="58" t="n">
        <x:f>Z148-Z149</x:f>
        <x:v>465936.28386716807</x:v>
      </x:c>
      <x:c r="AA164" s="58" t="n">
        <x:f>AA148-AA149</x:f>
        <x:v>487979.156852087</x:v>
      </x:c>
      <x:c r="AB164" s="58" t="n">
        <x:f>AB148-AB149</x:f>
        <x:v>511119.8411753606</x:v>
      </x:c>
      <x:c r="AC164" s="58" t="n">
        <x:f>AC148-AC149</x:f>
        <x:v>536687.3045581805</x:v>
      </x:c>
      <x:c r="AD164" s="58" t="n">
        <x:f>AD148-AD149</x:f>
        <x:v>562501.7263066152</x:v>
      </x:c>
      <x:c r="AE164" s="58" t="n">
        <x:f>AE148-AE149</x:f>
        <x:v>589827.1316250049</x:v>
      </x:c>
      <x:c r="AF164" s="58" t="n">
        <x:f>AF148-AF149</x:f>
        <x:v>656027.464051168</x:v>
      </x:c>
      <x:c r="AG164" s="58" t="n">
        <x:f>AG148-AG149</x:f>
        <x:v>687430.9076009367</x:v>
      </x:c>
      <x:c r="AH164" s="58" t="n">
        <x:f>AH148-AH149</x:f>
        <x:v>720539.8976150139</x:v>
      </x:c>
      <x:c r="AI164" s="58" t="n">
        <x:f>AI148-AI149</x:f>
        <x:v>755608.3030049651</x:v>
      </x:c>
      <x:c r="AJ164" s="58" t="n">
        <x:f>AJ148-AJ149</x:f>
        <x:v>792794.6951303901</x:v>
      </x:c>
      <x:c r="AK164" s="58" t="n">
        <x:f>AK148-AK149</x:f>
        <x:v>832264.8485333803</x:v>
      </x:c>
    </x:row>
    <x:row r="165" ht="18" customHeight="1">
      <x:c r="A165" s="4" t="str">
        <x:v>Payouts received this month (INR)</x:v>
      </x:c>
      <x:c r="B165" s="58" t="n">
        <x:f>B164*(1-'Commercial Inputs'!$B$31)+0*'Commercial Inputs'!$B$31</x:f>
        <x:v>18356.594833220344</x:v>
      </x:c>
      <x:c r="C165" s="58" t="n">
        <x:f>C164*(1-'Commercial Inputs'!$B$31)+B164*'Commercial Inputs'!$B$31</x:f>
        <x:v>38925.35062362764</x:v>
      </x:c>
      <x:c r="D165" s="58" t="n">
        <x:f>D164*(1-'Commercial Inputs'!$B$31)+C164*'Commercial Inputs'!$B$31</x:f>
        <x:v>43474.255597444804</x:v>
      </x:c>
      <x:c r="E165" s="58" t="n">
        <x:f>E164*(1-'Commercial Inputs'!$B$31)+D164*'Commercial Inputs'!$B$31</x:f>
        <x:v>52233.614235159446</x:v>
      </x:c>
      <x:c r="F165" s="58" t="n">
        <x:f>F164*(1-'Commercial Inputs'!$B$31)+E164*'Commercial Inputs'!$B$31</x:f>
        <x:v>61570.43366261186</x:v>
      </x:c>
      <x:c r="G165" s="58" t="n">
        <x:f>G164*(1-'Commercial Inputs'!$B$31)+F164*'Commercial Inputs'!$B$31</x:f>
        <x:v>67666.40235382445</x:v>
      </x:c>
      <x:c r="H165" s="58" t="n">
        <x:f>H164*(1-'Commercial Inputs'!$B$31)+G164*'Commercial Inputs'!$B$31</x:f>
        <x:v>82728.87315757971</x:v>
      </x:c>
      <x:c r="I165" s="58" t="n">
        <x:f>I164*(1-'Commercial Inputs'!$B$31)+H164*'Commercial Inputs'!$B$31</x:f>
        <x:v>98705.96689408598</x:v>
      </x:c>
      <x:c r="J165" s="58" t="n">
        <x:f>J164*(1-'Commercial Inputs'!$B$31)+I164*'Commercial Inputs'!$B$31</x:f>
        <x:v>107264.76122870126</x:v>
      </x:c>
      <x:c r="K165" s="58" t="n">
        <x:f>K164*(1-'Commercial Inputs'!$B$31)+J164*'Commercial Inputs'!$B$31</x:f>
        <x:v>116648.3781796672</x:v>
      </x:c>
      <x:c r="L165" s="58" t="n">
        <x:f>L164*(1-'Commercial Inputs'!$B$31)+K164*'Commercial Inputs'!$B$31</x:f>
        <x:v>127015.88216913847</x:v>
      </x:c>
      <x:c r="M165" s="58" t="n">
        <x:f>M164*(1-'Commercial Inputs'!$B$31)+L164*'Commercial Inputs'!$B$31</x:f>
        <x:v>138506.14996189316</x:v>
      </x:c>
      <x:c r="N165" s="58" t="n">
        <x:f>N164*(1-'Commercial Inputs'!$B$31)+M164*'Commercial Inputs'!$B$31</x:f>
        <x:v>167535.02541201774</x:v>
      </x:c>
      <x:c r="O165" s="58" t="n">
        <x:f>O164*(1-'Commercial Inputs'!$B$31)+N164*'Commercial Inputs'!$B$31</x:f>
        <x:v>196358.8477888949</x:v>
      </x:c>
      <x:c r="P165" s="58" t="n">
        <x:f>P164*(1-'Commercial Inputs'!$B$31)+O164*'Commercial Inputs'!$B$31</x:f>
        <x:v>208353.1413223664</x:v>
      </x:c>
      <x:c r="Q165" s="58" t="n">
        <x:f>Q164*(1-'Commercial Inputs'!$B$31)+P164*'Commercial Inputs'!$B$31</x:f>
        <x:v>222153.89286886403</x:v>
      </x:c>
      <x:c r="R165" s="58" t="n">
        <x:f>R164*(1-'Commercial Inputs'!$B$31)+Q164*'Commercial Inputs'!$B$31</x:f>
        <x:v>236835.38442412225</x:v>
      </x:c>
      <x:c r="S165" s="58" t="n">
        <x:f>S164*(1-'Commercial Inputs'!$B$31)+R164*'Commercial Inputs'!$B$31</x:f>
        <x:v>251425.6372021473</x:v>
      </x:c>
      <x:c r="T165" s="58" t="n">
        <x:f>T164*(1-'Commercial Inputs'!$B$31)+S164*'Commercial Inputs'!$B$31</x:f>
        <x:v>284074.31862189464</x:v>
      </x:c>
      <x:c r="U165" s="58" t="n">
        <x:f>U164*(1-'Commercial Inputs'!$B$31)+T164*'Commercial Inputs'!$B$31</x:f>
        <x:v>318305.35644929984</x:v>
      </x:c>
      <x:c r="V165" s="58" t="n">
        <x:f>V164*(1-'Commercial Inputs'!$B$31)+U164*'Commercial Inputs'!$B$31</x:f>
        <x:v>337169.65267405886</x:v>
      </x:c>
      <x:c r="W165" s="58" t="n">
        <x:f>W164*(1-'Commercial Inputs'!$B$31)+V164*'Commercial Inputs'!$B$31</x:f>
        <x:v>357345.8564637146</x:v>
      </x:c>
      <x:c r="X165" s="58" t="n">
        <x:f>X164*(1-'Commercial Inputs'!$B$31)+W164*'Commercial Inputs'!$B$31</x:f>
        <x:v>379040.74351702974</x:v>
      </x:c>
      <x:c r="Y165" s="58" t="n">
        <x:f>Y164*(1-'Commercial Inputs'!$B$31)+X164*'Commercial Inputs'!$B$31</x:f>
        <x:v>402413.9309537997</x:v>
      </x:c>
      <x:c r="Z165" s="58" t="n">
        <x:f>Z164*(1-'Commercial Inputs'!$B$31)+Y164*'Commercial Inputs'!$B$31</x:f>
        <x:v>440238.45928837615</x:v>
      </x:c>
      <x:c r="AA165" s="58" t="n">
        <x:f>AA164*(1-'Commercial Inputs'!$B$31)+Z164*'Commercial Inputs'!$B$31</x:f>
        <x:v>476957.7203596275</x:v>
      </x:c>
      <x:c r="AB165" s="58" t="n">
        <x:f>AB164*(1-'Commercial Inputs'!$B$31)+AA164*'Commercial Inputs'!$B$31</x:f>
        <x:v>499549.4990137238</x:v>
      </x:c>
      <x:c r="AC165" s="58" t="n">
        <x:f>AC164*(1-'Commercial Inputs'!$B$31)+AB164*'Commercial Inputs'!$B$31</x:f>
        <x:v>523903.57286677056</x:v>
      </x:c>
      <x:c r="AD165" s="58" t="n">
        <x:f>AD164*(1-'Commercial Inputs'!$B$31)+AC164*'Commercial Inputs'!$B$31</x:f>
        <x:v>549594.5154323978</x:v>
      </x:c>
      <x:c r="AE165" s="58" t="n">
        <x:f>AE164*(1-'Commercial Inputs'!$B$31)+AD164*'Commercial Inputs'!$B$31</x:f>
        <x:v>576164.42896581</x:v>
      </x:c>
      <x:c r="AF165" s="58" t="n">
        <x:f>AF164*(1-'Commercial Inputs'!$B$31)+AE164*'Commercial Inputs'!$B$31</x:f>
        <x:v>622927.2978380865</x:v>
      </x:c>
      <x:c r="AG165" s="58" t="n">
        <x:f>AG164*(1-'Commercial Inputs'!$B$31)+AF164*'Commercial Inputs'!$B$31</x:f>
        <x:v>671729.1858260523</x:v>
      </x:c>
      <x:c r="AH165" s="58" t="n">
        <x:f>AH164*(1-'Commercial Inputs'!$B$31)+AG164*'Commercial Inputs'!$B$31</x:f>
        <x:v>703985.4026079753</x:v>
      </x:c>
      <x:c r="AI165" s="58" t="n">
        <x:f>AI164*(1-'Commercial Inputs'!$B$31)+AH164*'Commercial Inputs'!$B$31</x:f>
        <x:v>738074.1003099894</x:v>
      </x:c>
      <x:c r="AJ165" s="58" t="n">
        <x:f>AJ164*(1-'Commercial Inputs'!$B$31)+AI164*'Commercial Inputs'!$B$31</x:f>
        <x:v>774201.4990676777</x:v>
      </x:c>
      <x:c r="AK165" s="58" t="n">
        <x:f>AK164*(1-'Commercial Inputs'!$B$31)+AJ164*'Commercial Inputs'!$B$31</x:f>
        <x:v>812529.7718318852</x:v>
      </x:c>
    </x:row>
    <x:row r="166" ht="18" customHeight="1">
      <x:c r="A166" s="4" t="str">
        <x:v>Cash outgo other than withheld fees (INR)</x:v>
      </x:c>
      <x:c r="B166" s="58" t="n">
        <x:f>SUM(B150:B153)+B121+SUM(B157:B160)</x:f>
        <x:v>43345.55845</x:v>
      </x:c>
      <x:c r="C166" s="58" t="n">
        <x:f>SUM(C150:C153)+C121+SUM(C157:C160)</x:f>
        <x:v>23697.987978905</x:v>
      </x:c>
      <x:c r="D166" s="58" t="n">
        <x:f>SUM(D150:D153)+D121+SUM(D157:D160)</x:f>
        <x:v>24124.062190565637</x:v>
      </x:c>
      <x:c r="E166" s="58" t="n">
        <x:f>SUM(E150:E153)+E121+SUM(E157:E160)</x:f>
        <x:v>32254.031219861157</x:v>
      </x:c>
      <x:c r="F166" s="58" t="n">
        <x:f>SUM(F150:F153)+F121+SUM(F157:F160)</x:f>
        <x:v>32827.79655950829</x:v>
      </x:c>
      <x:c r="G166" s="58" t="n">
        <x:f>SUM(G150:G153)+G121+SUM(G157:G160)</x:f>
        <x:v>33446.08449836892</x:v>
      </x:c>
      <x:c r="H166" s="58" t="n">
        <x:f>SUM(H150:H153)+H121+SUM(H157:H160)</x:f>
        <x:v>50730.26769228655</x:v>
      </x:c>
      <x:c r="I166" s="58" t="n">
        <x:f>SUM(I150:I153)+I121+SUM(I157:I160)</x:f>
        <x:v>51612.28974486861</x:v>
      </x:c>
      <x:c r="J166" s="58" t="n">
        <x:f>SUM(J150:J153)+J121+SUM(J157:J160)</x:f>
        <x:v>52555.54576778752</x:v>
      </x:c>
      <x:c r="K166" s="58" t="n">
        <x:f>SUM(K150:K153)+K121+SUM(K157:K160)</x:f>
        <x:v>53573.89670537361</x:v>
      </x:c>
      <x:c r="L166" s="58" t="n">
        <x:f>SUM(L150:L153)+L121+SUM(L157:L160)</x:f>
        <x:v>54677.85050280632</x:v>
      </x:c>
      <x:c r="M166" s="58" t="n">
        <x:f>SUM(M150:M153)+M121+SUM(M157:M160)</x:f>
        <x:v>55878.956962973214</x:v>
      </x:c>
      <x:c r="N166" s="58" t="n">
        <x:f>SUM(N150:N153)+N121+SUM(N157:N160)</x:f>
        <x:v>98858.06596457622</x:v>
      </x:c>
      <x:c r="O166" s="58" t="n">
        <x:f>SUM(O150:O153)+O121+SUM(O157:O160)</x:f>
        <x:v>110193.71202459182</x:v>
      </x:c>
      <x:c r="P166" s="58" t="n">
        <x:f>SUM(P150:P153)+P121+SUM(P157:P160)</x:f>
        <x:v>111576.74875730676</x:v>
      </x:c>
      <x:c r="Q166" s="58" t="n">
        <x:f>SUM(Q150:Q153)+Q121+SUM(Q157:Q160)</x:f>
        <x:v>113006.0164161142</x:v>
      </x:c>
      <x:c r="R166" s="58" t="n">
        <x:f>SUM(R150:R153)+R121+SUM(R157:R160)</x:f>
        <x:v>114475.26777338545</x:v>
      </x:c>
      <x:c r="S166" s="58" t="n">
        <x:f>SUM(S150:S153)+S121+SUM(S157:S160)</x:f>
        <x:v>116016.31824943637</x:v>
      </x:c>
      <x:c r="T166" s="58" t="n">
        <x:f>SUM(T150:T153)+T121+SUM(T157:T160)</x:f>
        <x:v>149489.4424276551</x:v>
      </x:c>
      <x:c r="U166" s="58" t="n">
        <x:f>SUM(U150:U153)+U121+SUM(U157:U160)</x:f>
        <x:v>151368.39338404668</x:v>
      </x:c>
      <x:c r="V166" s="58" t="n">
        <x:f>SUM(V150:V153)+V121+SUM(V157:V160)</x:f>
        <x:v>153324.26683120528</x:v>
      </x:c>
      <x:c r="W166" s="58" t="n">
        <x:f>SUM(W150:W153)+W121+SUM(W157:W160)</x:f>
        <x:v>155372.0729104377</x:v>
      </x:c>
      <x:c r="X166" s="58" t="n">
        <x:f>SUM(X150:X153)+X121+SUM(X157:X160)</x:f>
        <x:v>157519.48718595057</x:v>
      </x:c>
      <x:c r="Y166" s="58" t="n">
        <x:f>SUM(Y150:Y153)+Y121+SUM(Y157:Y160)</x:f>
        <x:v>159774.315876154</x:v>
      </x:c>
      <x:c r="Z166" s="58" t="n">
        <x:f>SUM(Z150:Z153)+Z121+SUM(Z157:Z160)</x:f>
        <x:v>208677.9240592456</x:v>
      </x:c>
      <x:c r="AA166" s="58" t="n">
        <x:f>SUM(AA150:AA153)+AA121+SUM(AA157:AA160)</x:f>
        <x:v>226028.67512496427</x:v>
      </x:c>
      <x:c r="AB166" s="58" t="n">
        <x:f>SUM(AB150:AB153)+AB121+SUM(AB157:AB160)</x:f>
        <x:v>228459.56565661784</x:v>
      </x:c>
      <x:c r="AC166" s="58" t="n">
        <x:f>SUM(AC150:AC153)+AC121+SUM(AC157:AC160)</x:f>
        <x:v>230987.76406443736</x:v>
      </x:c>
      <x:c r="AD166" s="58" t="n">
        <x:f>SUM(AD150:AD153)+AD121+SUM(AD157:AD160)</x:f>
        <x:v>233599.45240038636</x:v>
      </x:c>
      <x:c r="AE166" s="58" t="n">
        <x:f>SUM(AE150:AE153)+AE121+SUM(AE157:AE160)</x:f>
        <x:v>236314.57764014998</x:v>
      </x:c>
      <x:c r="AF166" s="58" t="n">
        <x:f>SUM(AF150:AF153)+AF121+SUM(AF157:AF160)</x:f>
        <x:v>270927.1342867861</x:v>
      </x:c>
      <x:c r="AG166" s="58" t="n">
        <x:f>SUM(AG150:AG153)+AG121+SUM(AG157:AG160)</x:f>
        <x:v>273939.30366939644</x:v>
      </x:c>
      <x:c r="AH166" s="58" t="n">
        <x:f>SUM(AH150:AH153)+AH121+SUM(AH157:AH160)</x:f>
        <x:v>277061.15641109325</x:v>
      </x:c>
      <x:c r="AI166" s="58" t="n">
        <x:f>SUM(AI150:AI153)+AI121+SUM(AI157:AI160)</x:f>
        <x:v>280306.6580815226</x:v>
      </x:c>
      <x:c r="AJ166" s="58" t="n">
        <x:f>SUM(AJ150:AJ153)+AJ121+SUM(AJ157:AJ160)</x:f>
        <x:v>283682.99406231195</x:v>
      </x:c>
      <x:c r="AK166" s="58" t="n">
        <x:f>SUM(AK150:AK153)+AK121+SUM(AK157:AK160)</x:f>
        <x:v>287197.35130620736</x:v>
      </x:c>
    </x:row>
    <x:row r="167" ht="18" customHeight="1">
      <x:c r="A167" s="74" t="str">
        <x:v>NET CASH MOVEMENT (INR)</x:v>
      </x:c>
      <x:c r="B167" s="75" t="n">
        <x:f>B165-B166</x:f>
        <x:v>-24988.963616779653</x:v>
      </x:c>
      <x:c r="C167" s="75" t="n">
        <x:f>C165-C166</x:f>
        <x:v>15227.362644722638</x:v>
      </x:c>
      <x:c r="D167" s="75" t="n">
        <x:f>D165-D166</x:f>
        <x:v>19350.193406879167</x:v>
      </x:c>
      <x:c r="E167" s="75" t="n">
        <x:f>E165-E166</x:f>
        <x:v>19979.58301529829</x:v>
      </x:c>
      <x:c r="F167" s="75" t="n">
        <x:f>F165-F166</x:f>
        <x:v>28742.637103103567</x:v>
      </x:c>
      <x:c r="G167" s="75" t="n">
        <x:f>G165-G166</x:f>
        <x:v>34220.317855455534</x:v>
      </x:c>
      <x:c r="H167" s="75" t="n">
        <x:f>H165-H166</x:f>
        <x:v>31998.605465293163</x:v>
      </x:c>
      <x:c r="I167" s="75" t="n">
        <x:f>I165-I166</x:f>
        <x:v>47093.67714921737</x:v>
      </x:c>
      <x:c r="J167" s="75" t="n">
        <x:f>J165-J166</x:f>
        <x:v>54709.21546091374</x:v>
      </x:c>
      <x:c r="K167" s="75" t="n">
        <x:f>K165-K166</x:f>
        <x:v>63074.481474293585</x:v>
      </x:c>
      <x:c r="L167" s="75" t="n">
        <x:f>L165-L166</x:f>
        <x:v>72338.03166633214</x:v>
      </x:c>
      <x:c r="M167" s="75" t="n">
        <x:f>M165-M166</x:f>
        <x:v>82627.19299891994</x:v>
      </x:c>
      <x:c r="N167" s="75" t="n">
        <x:f>N165-N166</x:f>
        <x:v>68676.95944744152</x:v>
      </x:c>
      <x:c r="O167" s="75" t="n">
        <x:f>O165-O166</x:f>
        <x:v>86165.13576430308</x:v>
      </x:c>
      <x:c r="P167" s="75" t="n">
        <x:f>P165-P166</x:f>
        <x:v>96776.39256505964</x:v>
      </x:c>
      <x:c r="Q167" s="75" t="n">
        <x:f>Q165-Q166</x:f>
        <x:v>109147.87645274983</x:v>
      </x:c>
      <x:c r="R167" s="75" t="n">
        <x:f>R165-R166</x:f>
        <x:v>122360.1166507368</x:v>
      </x:c>
      <x:c r="S167" s="75" t="n">
        <x:f>S165-S166</x:f>
        <x:v>135409.31895271095</x:v>
      </x:c>
      <x:c r="T167" s="75" t="n">
        <x:f>T165-T166</x:f>
        <x:v>134584.87619423954</x:v>
      </x:c>
      <x:c r="U167" s="75" t="n">
        <x:f>U165-U166</x:f>
        <x:v>166936.96306525316</x:v>
      </x:c>
      <x:c r="V167" s="75" t="n">
        <x:f>V165-V166</x:f>
        <x:v>183845.38584285358</x:v>
      </x:c>
      <x:c r="W167" s="75" t="n">
        <x:f>W165-W166</x:f>
        <x:v>201973.7835532769</x:v>
      </x:c>
      <x:c r="X167" s="75" t="n">
        <x:f>X165-X166</x:f>
        <x:v>221521.25633107917</x:v>
      </x:c>
      <x:c r="Y167" s="75" t="n">
        <x:f>Y165-Y166</x:f>
        <x:v>242639.6150776457</x:v>
      </x:c>
      <x:c r="Z167" s="75" t="n">
        <x:f>Z165-Z166</x:f>
        <x:v>231560.53522913056</x:v>
      </x:c>
      <x:c r="AA167" s="75" t="n">
        <x:f>AA165-AA166</x:f>
        <x:v>250929.04523466324</x:v>
      </x:c>
      <x:c r="AB167" s="75" t="n">
        <x:f>AB165-AB166</x:f>
        <x:v>271089.93335710594</x:v>
      </x:c>
      <x:c r="AC167" s="75" t="n">
        <x:f>AC165-AC166</x:f>
        <x:v>292915.8088023332</x:v>
      </x:c>
      <x:c r="AD167" s="75" t="n">
        <x:f>AD165-AD166</x:f>
        <x:v>315995.0630320115</x:v>
      </x:c>
      <x:c r="AE167" s="75" t="n">
        <x:f>AE165-AE166</x:f>
        <x:v>339849.85132566</x:v>
      </x:c>
      <x:c r="AF167" s="75" t="n">
        <x:f>AF165-AF166</x:f>
        <x:v>352000.1635513004</x:v>
      </x:c>
      <x:c r="AG167" s="75" t="n">
        <x:f>AG165-AG166</x:f>
        <x:v>397789.8821566559</x:v>
      </x:c>
      <x:c r="AH167" s="75" t="n">
        <x:f>AH165-AH166</x:f>
        <x:v>426924.24619688204</x:v>
      </x:c>
      <x:c r="AI167" s="75" t="n">
        <x:f>AI165-AI166</x:f>
        <x:v>457767.4422284668</x:v>
      </x:c>
      <x:c r="AJ167" s="75" t="n">
        <x:f>AJ165-AJ166</x:f>
        <x:v>490518.5050053657</x:v>
      </x:c>
      <x:c r="AK167" s="75" t="n">
        <x:f>AK165-AK166</x:f>
        <x:v>525332.4205256779</x:v>
      </x:c>
    </x:row>
    <x:row r="168" ht="18" customHeight="1">
      <x:c r="A168" s="4" t="str">
        <x:v>Cumulative cash movement (INR)</x:v>
      </x:c>
      <x:c r="B168" s="58" t="n">
        <x:f>0+B167</x:f>
        <x:v>-24988.963616779653</x:v>
      </x:c>
      <x:c r="C168" s="58" t="n">
        <x:f>B168+C167</x:f>
        <x:v>-9761.600972057015</x:v>
      </x:c>
      <x:c r="D168" s="58" t="n">
        <x:f>C168+D167</x:f>
        <x:v>9588.592434822152</x:v>
      </x:c>
      <x:c r="E168" s="58" t="n">
        <x:f>D168+E167</x:f>
        <x:v>29568.17545012044</x:v>
      </x:c>
      <x:c r="F168" s="58" t="n">
        <x:f>E168+F167</x:f>
        <x:v>58310.81255322401</x:v>
      </x:c>
      <x:c r="G168" s="58" t="n">
        <x:f>F168+G167</x:f>
        <x:v>92531.13040867954</x:v>
      </x:c>
      <x:c r="H168" s="58" t="n">
        <x:f>G168+H167</x:f>
        <x:v>124529.7358739727</x:v>
      </x:c>
      <x:c r="I168" s="58" t="n">
        <x:f>H168+I167</x:f>
        <x:v>171623.41302319008</x:v>
      </x:c>
      <x:c r="J168" s="58" t="n">
        <x:f>I168+J167</x:f>
        <x:v>226332.62848410383</x:v>
      </x:c>
      <x:c r="K168" s="58" t="n">
        <x:f>J168+K167</x:f>
        <x:v>289407.1099583974</x:v>
      </x:c>
      <x:c r="L168" s="58" t="n">
        <x:f>K168+L167</x:f>
        <x:v>361745.14162472956</x:v>
      </x:c>
      <x:c r="M168" s="58" t="n">
        <x:f>L168+M167</x:f>
        <x:v>444372.3346236495</x:v>
      </x:c>
      <x:c r="N168" s="58" t="n">
        <x:f>M168+N167</x:f>
        <x:v>513049.294071091</x:v>
      </x:c>
      <x:c r="O168" s="58" t="n">
        <x:f>N168+O167</x:f>
        <x:v>599214.429835394</x:v>
      </x:c>
      <x:c r="P168" s="58" t="n">
        <x:f>O168+P167</x:f>
        <x:v>695990.8224004536</x:v>
      </x:c>
      <x:c r="Q168" s="58" t="n">
        <x:f>P168+Q167</x:f>
        <x:v>805138.6988532034</x:v>
      </x:c>
      <x:c r="R168" s="58" t="n">
        <x:f>Q168+R167</x:f>
        <x:v>927498.8155039402</x:v>
      </x:c>
      <x:c r="S168" s="58" t="n">
        <x:f>R168+S167</x:f>
        <x:v>1062908.1344566513</x:v>
      </x:c>
      <x:c r="T168" s="58" t="n">
        <x:f>S168+T167</x:f>
        <x:v>1197493.0106508909</x:v>
      </x:c>
      <x:c r="U168" s="58" t="n">
        <x:f>T168+U167</x:f>
        <x:v>1364429.973716144</x:v>
      </x:c>
      <x:c r="V168" s="58" t="n">
        <x:f>U168+V167</x:f>
        <x:v>1548275.3595589977</x:v>
      </x:c>
      <x:c r="W168" s="58" t="n">
        <x:f>V168+W167</x:f>
        <x:v>1750249.1431122746</x:v>
      </x:c>
      <x:c r="X168" s="58" t="n">
        <x:f>W168+X167</x:f>
        <x:v>1971770.3994433538</x:v>
      </x:c>
      <x:c r="Y168" s="58" t="n">
        <x:f>X168+Y167</x:f>
        <x:v>2214410.0145209995</x:v>
      </x:c>
      <x:c r="Z168" s="58" t="n">
        <x:f>Y168+Z167</x:f>
        <x:v>2445970.54975013</x:v>
      </x:c>
      <x:c r="AA168" s="58" t="n">
        <x:f>Z168+AA167</x:f>
        <x:v>2696899.5949847936</x:v>
      </x:c>
      <x:c r="AB168" s="58" t="n">
        <x:f>AA168+AB167</x:f>
        <x:v>2967989.5283418996</x:v>
      </x:c>
      <x:c r="AC168" s="58" t="n">
        <x:f>AB168+AC167</x:f>
        <x:v>3260905.337144233</x:v>
      </x:c>
      <x:c r="AD168" s="58" t="n">
        <x:f>AC168+AD167</x:f>
        <x:v>3576900.4001762443</x:v>
      </x:c>
      <x:c r="AE168" s="58" t="n">
        <x:f>AD168+AE167</x:f>
        <x:v>3916750.2515019043</x:v>
      </x:c>
      <x:c r="AF168" s="58" t="n">
        <x:f>AE168+AF167</x:f>
        <x:v>4268750.415053205</x:v>
      </x:c>
      <x:c r="AG168" s="58" t="n">
        <x:f>AF168+AG167</x:f>
        <x:v>4666540.297209861</x:v>
      </x:c>
      <x:c r="AH168" s="58" t="n">
        <x:f>AG168+AH167</x:f>
        <x:v>5093464.543406743</x:v>
      </x:c>
      <x:c r="AI168" s="58" t="n">
        <x:f>AH168+AI167</x:f>
        <x:v>5551231.98563521</x:v>
      </x:c>
      <x:c r="AJ168" s="58" t="n">
        <x:f>AI168+AJ167</x:f>
        <x:v>6041750.490640575</x:v>
      </x:c>
      <x:c r="AK168" s="58" t="n">
        <x:f>AJ168+AK167</x:f>
        <x:v>6567082.911166253</x:v>
      </x:c>
    </x:row>
    <x:row r="169" ht="18" customHeight="1">
      <x:c r="A169" s="74" t="str">
        <x:v>CLOSING CASH, BEFORE TAX / OWNER DRAWS</x:v>
      </x:c>
      <x:c r="B169" s="75" t="n">
        <x:f>'Commercial Inputs'!$B$29+B168</x:f>
        <x:v>75011.03638322034</x:v>
      </x:c>
      <x:c r="C169" s="75" t="n">
        <x:f>'Commercial Inputs'!$B$29+C168</x:f>
        <x:v>90238.39902794299</x:v>
      </x:c>
      <x:c r="D169" s="75" t="n">
        <x:f>'Commercial Inputs'!$B$29+D168</x:f>
        <x:v>109588.59243482215</x:v>
      </x:c>
      <x:c r="E169" s="75" t="n">
        <x:f>'Commercial Inputs'!$B$29+E168</x:f>
        <x:v>129568.17545012044</x:v>
      </x:c>
      <x:c r="F169" s="75" t="n">
        <x:f>'Commercial Inputs'!$B$29+F168</x:f>
        <x:v>158310.812553224</x:v>
      </x:c>
      <x:c r="G169" s="75" t="n">
        <x:f>'Commercial Inputs'!$B$29+G168</x:f>
        <x:v>192531.13040867954</x:v>
      </x:c>
      <x:c r="H169" s="75" t="n">
        <x:f>'Commercial Inputs'!$B$29+H168</x:f>
        <x:v>224529.7358739727</x:v>
      </x:c>
      <x:c r="I169" s="75" t="n">
        <x:f>'Commercial Inputs'!$B$29+I168</x:f>
        <x:v>271623.4130231901</x:v>
      </x:c>
      <x:c r="J169" s="75" t="n">
        <x:f>'Commercial Inputs'!$B$29+J168</x:f>
        <x:v>326332.6284841038</x:v>
      </x:c>
      <x:c r="K169" s="75" t="n">
        <x:f>'Commercial Inputs'!$B$29+K168</x:f>
        <x:v>389407.1099583974</x:v>
      </x:c>
      <x:c r="L169" s="75" t="n">
        <x:f>'Commercial Inputs'!$B$29+L168</x:f>
        <x:v>461745.14162472956</x:v>
      </x:c>
      <x:c r="M169" s="75" t="n">
        <x:f>'Commercial Inputs'!$B$29+M168</x:f>
        <x:v>544372.3346236495</x:v>
      </x:c>
      <x:c r="N169" s="75" t="n">
        <x:f>'Commercial Inputs'!$B$29+N168</x:f>
        <x:v>613049.294071091</x:v>
      </x:c>
      <x:c r="O169" s="75" t="n">
        <x:f>'Commercial Inputs'!$B$29+O168</x:f>
        <x:v>699214.429835394</x:v>
      </x:c>
      <x:c r="P169" s="75" t="n">
        <x:f>'Commercial Inputs'!$B$29+P168</x:f>
        <x:v>795990.8224004536</x:v>
      </x:c>
      <x:c r="Q169" s="75" t="n">
        <x:f>'Commercial Inputs'!$B$29+Q168</x:f>
        <x:v>905138.6988532034</x:v>
      </x:c>
      <x:c r="R169" s="75" t="n">
        <x:f>'Commercial Inputs'!$B$29+R168</x:f>
        <x:v>1027498.8155039402</x:v>
      </x:c>
      <x:c r="S169" s="75" t="n">
        <x:f>'Commercial Inputs'!$B$29+S168</x:f>
        <x:v>1162908.1344566513</x:v>
      </x:c>
      <x:c r="T169" s="75" t="n">
        <x:f>'Commercial Inputs'!$B$29+T168</x:f>
        <x:v>1297493.0106508909</x:v>
      </x:c>
      <x:c r="U169" s="75" t="n">
        <x:f>'Commercial Inputs'!$B$29+U168</x:f>
        <x:v>1464429.973716144</x:v>
      </x:c>
      <x:c r="V169" s="75" t="n">
        <x:f>'Commercial Inputs'!$B$29+V168</x:f>
        <x:v>1648275.3595589977</x:v>
      </x:c>
      <x:c r="W169" s="75" t="n">
        <x:f>'Commercial Inputs'!$B$29+W168</x:f>
        <x:v>1850249.1431122746</x:v>
      </x:c>
      <x:c r="X169" s="75" t="n">
        <x:f>'Commercial Inputs'!$B$29+X168</x:f>
        <x:v>2071770.3994433538</x:v>
      </x:c>
      <x:c r="Y169" s="75" t="n">
        <x:f>'Commercial Inputs'!$B$29+Y168</x:f>
        <x:v>2314410.0145209995</x:v>
      </x:c>
      <x:c r="Z169" s="75" t="n">
        <x:f>'Commercial Inputs'!$B$29+Z168</x:f>
        <x:v>2545970.54975013</x:v>
      </x:c>
      <x:c r="AA169" s="75" t="n">
        <x:f>'Commercial Inputs'!$B$29+AA168</x:f>
        <x:v>2796899.5949847936</x:v>
      </x:c>
      <x:c r="AB169" s="75" t="n">
        <x:f>'Commercial Inputs'!$B$29+AB168</x:f>
        <x:v>3067989.5283418996</x:v>
      </x:c>
      <x:c r="AC169" s="75" t="n">
        <x:f>'Commercial Inputs'!$B$29+AC168</x:f>
        <x:v>3360905.337144233</x:v>
      </x:c>
      <x:c r="AD169" s="75" t="n">
        <x:f>'Commercial Inputs'!$B$29+AD168</x:f>
        <x:v>3676900.4001762443</x:v>
      </x:c>
      <x:c r="AE169" s="75" t="n">
        <x:f>'Commercial Inputs'!$B$29+AE168</x:f>
        <x:v>4016750.2515019043</x:v>
      </x:c>
      <x:c r="AF169" s="75" t="n">
        <x:f>'Commercial Inputs'!$B$29+AF168</x:f>
        <x:v>4368750.415053205</x:v>
      </x:c>
      <x:c r="AG169" s="75" t="n">
        <x:f>'Commercial Inputs'!$B$29+AG168</x:f>
        <x:v>4766540.297209861</x:v>
      </x:c>
      <x:c r="AH169" s="75" t="n">
        <x:f>'Commercial Inputs'!$B$29+AH168</x:f>
        <x:v>5193464.543406743</x:v>
      </x:c>
      <x:c r="AI169" s="75" t="n">
        <x:f>'Commercial Inputs'!$B$29+AI168</x:f>
        <x:v>5651231.98563521</x:v>
      </x:c>
      <x:c r="AJ169" s="75" t="n">
        <x:f>'Commercial Inputs'!$B$29+AJ168</x:f>
        <x:v>6141750.490640575</x:v>
      </x:c>
      <x:c r="AK169" s="75" t="n">
        <x:f>'Commercial Inputs'!$B$29+AK168</x:f>
        <x:v>6667082.911166253</x:v>
      </x:c>
    </x:row>
    <x:row r="170" ht="18" customHeight="1">
      <x:c r="A170" s="74" t="str">
        <x:v>Unearned annual subscription revenue (INR)</x:v>
      </x:c>
      <x:c r="B170" s="75" t="n">
        <x:f>0+B148-B143</x:f>
        <x:v>35947.666972669496</x:v>
      </x:c>
      <x:c r="C170" s="75" t="n">
        <x:f>B170+C148-C143</x:f>
        <x:v>72032.93267059323</x:v>
      </x:c>
      <x:c r="D170" s="75" t="n">
        <x:f>C170+D148-D143</x:f>
        <x:v>108354.86817595424</x:v>
      </x:c>
      <x:c r="E170" s="75" t="n">
        <x:f>D170+E148-E143</x:f>
        <x:v>152592.36298978064</x:v>
      </x:c>
      <x:c r="F170" s="75" t="n">
        <x:f>E170+F148-F143</x:f>
        <x:v>196613.76836230856</x:v>
      </x:c>
      <x:c r="G170" s="75" t="n">
        <x:f>F170+G148-G143</x:f>
        <x:v>240558.2720308873</x:v>
      </x:c>
      <x:c r="H170" s="75" t="n">
        <x:f>G170+H148-H143</x:f>
        <x:v>300978.945687478</x:v>
      </x:c>
      <x:c r="I170" s="75" t="n">
        <x:f>H170+I148-I143</x:f>
        <x:v>360162.55214676075</x:v>
      </x:c>
      <x:c r="J170" s="75" t="n">
        <x:f>I170+J148-J143</x:f>
        <x:v>418304.6401581941</x:v>
      </x:c>
      <x:c r="K170" s="75" t="n">
        <x:f>J170+K148-K143</x:f>
        <x:v>475624.22432117176</x:v>
      </x:c>
      <x:c r="L170" s="75" t="n">
        <x:f>K170+L148-L143</x:f>
        <x:v>532366.6009870146</x:v>
      </x:c>
      <x:c r="M170" s="75" t="n">
        <x:f>L170+M148-M143</x:f>
        <x:v>588806.5020692021</x:v>
      </x:c>
      <x:c r="N170" s="75" t="n">
        <x:f>M170+N148-N143</x:f>
        <x:v>680831.3157400915</x:v>
      </x:c>
      <x:c r="O170" s="75" t="n">
        <x:f>N170+O148-O143</x:f>
        <x:v>770098.5595414367</x:v>
      </x:c>
      <x:c r="P170" s="75" t="n">
        <x:f>O170+P148-P143</x:f>
        <x:v>856890.7635434812</x:v>
      </x:c>
      <x:c r="Q170" s="75" t="n">
        <x:f>P170+Q148-Q143</x:f>
        <x:v>944418.3445849555</x:v>
      </x:c>
      <x:c r="R170" s="75" t="n">
        <x:f>Q170+R148-R143</x:f>
        <x:v>1030641.4229024372</x:v>
      </x:c>
      <x:c r="S170" s="75" t="n">
        <x:f>R170+S148-S143</x:f>
        <x:v>1115970.4450192433</x:v>
      </x:c>
      <x:c r="T170" s="75" t="n">
        <x:f>S170+T148-T143</x:f>
        <x:v>1235798.433355606</x:v>
      </x:c>
      <x:c r="U170" s="75" t="n">
        <x:f>T170+U148-U143</x:f>
        <x:v>1354172.7695448548</x:v>
      </x:c>
      <x:c r="V170" s="75" t="n">
        <x:f>U170+V148-V143</x:f>
        <x:v>1471687.1227757665</x:v>
      </x:c>
      <x:c r="W170" s="75" t="n">
        <x:f>V170+W148-W143</x:f>
        <x:v>1589012.3087845887</x:v>
      </x:c>
      <x:c r="X170" s="75" t="n">
        <x:f>W170+X148-X143</x:f>
        <x:v>1706906.01994032</x:v>
      </x:c>
      <x:c r="Y170" s="75" t="n">
        <x:f>X170+Y148-Y143</x:f>
        <x:v>1826223.760740193</x:v>
      </x:c>
      <x:c r="Z170" s="75" t="n">
        <x:f>Y170+Z148-Z143</x:f>
        <x:v>1976078.3758235555</x:v>
      </x:c>
      <x:c r="AA170" s="75" t="n">
        <x:f>Z170+AA148-AA143</x:f>
        <x:v>2123198.9070970668</x:v>
      </x:c>
      <x:c r="AB170" s="75" t="n">
        <x:f>AA170+AB148-AB143</x:f>
        <x:v>2268023.3058546116</x:v>
      </x:c>
      <x:c r="AC170" s="75" t="n">
        <x:f>AB170+AC148-AC143</x:f>
        <x:v>2412414.100619083</x:v>
      </x:c>
      <x:c r="AD170" s="75" t="n">
        <x:f>AC170+AD148-AD143</x:f>
        <x:v>2555631.5470848214</x:v>
      </x:c>
      <x:c r="AE170" s="75" t="n">
        <x:f>AD170+AE148-AE143</x:f>
        <x:v>2698277.795297296</x:v>
      </x:c>
      <x:c r="AF170" s="75" t="n">
        <x:f>AE170+AF148-AF143</x:f>
        <x:v>2881009.0845711827</x:v>
      </x:c>
      <x:c r="AG170" s="75" t="n">
        <x:f>AF170+AG148-AG143</x:f>
        <x:v>3064260.223243833</x:v>
      </x:c>
      <x:c r="AH170" s="75" t="n">
        <x:f>AG170+AH148-AH143</x:f>
        <x:v>3248853.454895141</x:v>
      </x:c>
      <x:c r="AI170" s="75" t="n">
        <x:f>AH170+AI148-AI143</x:f>
        <x:v>3435699.8479659315</x:v>
      </x:c>
      <x:c r="AJ170" s="75" t="n">
        <x:f>AI170+AJ148-AJ143</x:f>
        <x:v>3625808.3353294292</x:v>
      </x:c>
      <x:c r="AK170" s="75" t="n">
        <x:f>AJ170+AK148-AK143</x:f>
        <x:v>3820295.6591466162</x:v>
      </x:c>
    </x:row>
    <x:row r="171" ht="18" customHeight="1">
      <x:c r="A171" s="4" t="str">
        <x:v>Payout receivable (INR)</x:v>
      </x:c>
      <x:c r="B171" s="58" t="n">
        <x:f>'Commercial Inputs'!$B$31*B164</x:f>
        <x:v>18356.594833220344</x:v>
      </x:c>
      <x:c r="C171" s="58" t="n">
        <x:f>'Commercial Inputs'!$B$31*C164</x:f>
        <x:v>20568.755790407293</x:v>
      </x:c>
      <x:c r="D171" s="58" t="n">
        <x:f>'Commercial Inputs'!$B$31*D164</x:f>
        <x:v>22905.499807037508</x:v>
      </x:c>
      <x:c r="E171" s="58" t="n">
        <x:f>'Commercial Inputs'!$B$31*E164</x:f>
        <x:v>29328.114428121942</x:v>
      </x:c>
      <x:c r="F171" s="58" t="n">
        <x:f>'Commercial Inputs'!$B$31*F164</x:f>
        <x:v>32242.319234489918</x:v>
      </x:c>
      <x:c r="G171" s="58" t="n">
        <x:f>'Commercial Inputs'!$B$31*G164</x:f>
        <x:v>35424.08311933453</x:v>
      </x:c>
      <x:c r="H171" s="58" t="n">
        <x:f>'Commercial Inputs'!$B$31*H164</x:f>
        <x:v>47304.79003824518</x:v>
      </x:c>
      <x:c r="I171" s="58" t="n">
        <x:f>'Commercial Inputs'!$B$31*I164</x:f>
        <x:v>51401.1768558408</x:v>
      </x:c>
      <x:c r="J171" s="58" t="n">
        <x:f>'Commercial Inputs'!$B$31*J164</x:f>
        <x:v>55863.58437286046</x:v>
      </x:c>
      <x:c r="K171" s="58" t="n">
        <x:f>'Commercial Inputs'!$B$31*K164</x:f>
        <x:v>60784.79380680674</x:v>
      </x:c>
      <x:c r="L171" s="58" t="n">
        <x:f>'Commercial Inputs'!$B$31*L164</x:f>
        <x:v>66231.08836233173</x:v>
      </x:c>
      <x:c r="M171" s="58" t="n">
        <x:f>'Commercial Inputs'!$B$31*M164</x:f>
        <x:v>72275.06159956142</x:v>
      </x:c>
      <x:c r="N171" s="58" t="n">
        <x:f>'Commercial Inputs'!$B$31*N164</x:f>
        <x:v>95259.96381245632</x:v>
      </x:c>
      <x:c r="O171" s="58" t="n">
        <x:f>'Commercial Inputs'!$B$31*O164</x:f>
        <x:v>101098.88397643858</x:v>
      </x:c>
      <x:c r="P171" s="58" t="n">
        <x:f>'Commercial Inputs'!$B$31*P164</x:f>
        <x:v>107254.25734592782</x:v>
      </x:c>
      <x:c r="Q171" s="58" t="n">
        <x:f>'Commercial Inputs'!$B$31*Q164</x:f>
        <x:v>114899.63552293621</x:v>
      </x:c>
      <x:c r="R171" s="58" t="n">
        <x:f>'Commercial Inputs'!$B$31*R164</x:f>
        <x:v>121935.74890118605</x:v>
      </x:c>
      <x:c r="S171" s="58" t="n">
        <x:f>'Commercial Inputs'!$B$31*S164</x:f>
        <x:v>129489.88830096126</x:v>
      </x:c>
      <x:c r="T171" s="58" t="n">
        <x:f>'Commercial Inputs'!$B$31*T164</x:f>
        <x:v>154584.43032093337</x:v>
      </x:c>
      <x:c r="U171" s="58" t="n">
        <x:f>'Commercial Inputs'!$B$31*U164</x:f>
        <x:v>163720.92612836644</x:v>
      </x:c>
      <x:c r="V171" s="58" t="n">
        <x:f>'Commercial Inputs'!$B$31*V164</x:f>
        <x:v>173448.72654569242</x:v>
      </x:c>
      <x:c r="W171" s="58" t="n">
        <x:f>'Commercial Inputs'!$B$31*W164</x:f>
        <x:v>183897.1299180222</x:v>
      </x:c>
      <x:c r="X171" s="58" t="n">
        <x:f>'Commercial Inputs'!$B$31*X164</x:f>
        <x:v>195143.61359900754</x:v>
      </x:c>
      <x:c r="Y171" s="58" t="n">
        <x:f>'Commercial Inputs'!$B$31*Y164</x:f>
        <x:v>207270.31735479215</x:v>
      </x:c>
      <x:c r="Z171" s="58" t="n">
        <x:f>'Commercial Inputs'!$B$31*Z164</x:f>
        <x:v>232968.14193358403</x:v>
      </x:c>
      <x:c r="AA171" s="58" t="n">
        <x:f>'Commercial Inputs'!$B$31*AA164</x:f>
        <x:v>243989.5784260435</x:v>
      </x:c>
      <x:c r="AB171" s="58" t="n">
        <x:f>'Commercial Inputs'!$B$31*AB164</x:f>
        <x:v>255559.9205876803</x:v>
      </x:c>
      <x:c r="AC171" s="58" t="n">
        <x:f>'Commercial Inputs'!$B$31*AC164</x:f>
        <x:v>268343.65227909025</x:v>
      </x:c>
      <x:c r="AD171" s="58" t="n">
        <x:f>'Commercial Inputs'!$B$31*AD164</x:f>
        <x:v>281250.8631533076</x:v>
      </x:c>
      <x:c r="AE171" s="58" t="n">
        <x:f>'Commercial Inputs'!$B$31*AE164</x:f>
        <x:v>294913.56581250246</x:v>
      </x:c>
      <x:c r="AF171" s="58" t="n">
        <x:f>'Commercial Inputs'!$B$31*AF164</x:f>
        <x:v>328013.732025584</x:v>
      </x:c>
      <x:c r="AG171" s="58" t="n">
        <x:f>'Commercial Inputs'!$B$31*AG164</x:f>
        <x:v>343715.45380046836</x:v>
      </x:c>
      <x:c r="AH171" s="58" t="n">
        <x:f>'Commercial Inputs'!$B$31*AH164</x:f>
        <x:v>360269.94880750694</x:v>
      </x:c>
      <x:c r="AI171" s="58" t="n">
        <x:f>'Commercial Inputs'!$B$31*AI164</x:f>
        <x:v>377804.15150248253</x:v>
      </x:c>
      <x:c r="AJ171" s="58" t="n">
        <x:f>'Commercial Inputs'!$B$31*AJ164</x:f>
        <x:v>396397.34756519506</x:v>
      </x:c>
      <x:c r="AK171" s="58" t="n">
        <x:f>'Commercial Inputs'!$B$31*AK164</x:f>
        <x:v>416132.42426669016</x:v>
      </x:c>
    </x:row>
    <x:row r="172" ht="18" customHeight="1">
      <x:c r="A172" s="4" t="str">
        <x:v>Cash-profit bridge check: must be zero</x:v>
      </x:c>
      <x:c r="B172" s="58" t="n">
        <x:f>ROUND(B167-(B161+(B170-0)-(B171-0)),6)</x:f>
        <x:v>0</x:v>
      </x:c>
      <x:c r="C172" s="58" t="n">
        <x:f>ROUND(C167-(C161+(C170-B170)-(C171-B171)),6)</x:f>
        <x:v>0</x:v>
      </x:c>
      <x:c r="D172" s="58" t="n">
        <x:f>ROUND(D167-(D161+(D170-C170)-(D171-C171)),6)</x:f>
        <x:v>0</x:v>
      </x:c>
      <x:c r="E172" s="58" t="n">
        <x:f>ROUND(E167-(E161+(E170-D170)-(E171-D171)),6)</x:f>
        <x:v>0</x:v>
      </x:c>
      <x:c r="F172" s="58" t="n">
        <x:f>ROUND(F167-(F161+(F170-E170)-(F171-E171)),6)</x:f>
        <x:v>0</x:v>
      </x:c>
      <x:c r="G172" s="58" t="n">
        <x:f>ROUND(G167-(G161+(G170-F170)-(G171-F171)),6)</x:f>
        <x:v>0</x:v>
      </x:c>
      <x:c r="H172" s="58" t="n">
        <x:f>ROUND(H167-(H161+(H170-G170)-(H171-G171)),6)</x:f>
        <x:v>0</x:v>
      </x:c>
      <x:c r="I172" s="58" t="n">
        <x:f>ROUND(I167-(I161+(I170-H170)-(I171-H171)),6)</x:f>
        <x:v>0</x:v>
      </x:c>
      <x:c r="J172" s="58" t="n">
        <x:f>ROUND(J167-(J161+(J170-I170)-(J171-I171)),6)</x:f>
        <x:v>0</x:v>
      </x:c>
      <x:c r="K172" s="58" t="n">
        <x:f>ROUND(K167-(K161+(K170-J170)-(K171-J171)),6)</x:f>
        <x:v>0</x:v>
      </x:c>
      <x:c r="L172" s="58" t="n">
        <x:f>ROUND(L167-(L161+(L170-K170)-(L171-K171)),6)</x:f>
        <x:v>0</x:v>
      </x:c>
      <x:c r="M172" s="58" t="n">
        <x:f>ROUND(M167-(M161+(M170-L170)-(M171-L171)),6)</x:f>
        <x:v>0</x:v>
      </x:c>
      <x:c r="N172" s="58" t="n">
        <x:f>ROUND(N167-(N161+(N170-M170)-(N171-M171)),6)</x:f>
        <x:v>0</x:v>
      </x:c>
      <x:c r="O172" s="58" t="n">
        <x:f>ROUND(O167-(O161+(O170-N170)-(O171-N171)),6)</x:f>
        <x:v>0</x:v>
      </x:c>
      <x:c r="P172" s="58" t="n">
        <x:f>ROUND(P167-(P161+(P170-O170)-(P171-O171)),6)</x:f>
        <x:v>0</x:v>
      </x:c>
      <x:c r="Q172" s="58" t="n">
        <x:f>ROUND(Q167-(Q161+(Q170-P170)-(Q171-P171)),6)</x:f>
        <x:v>0</x:v>
      </x:c>
      <x:c r="R172" s="58" t="n">
        <x:f>ROUND(R167-(R161+(R170-Q170)-(R171-Q171)),6)</x:f>
        <x:v>0</x:v>
      </x:c>
      <x:c r="S172" s="58" t="n">
        <x:f>ROUND(S167-(S161+(S170-R170)-(S171-R171)),6)</x:f>
        <x:v>0</x:v>
      </x:c>
      <x:c r="T172" s="58" t="n">
        <x:f>ROUND(T167-(T161+(T170-S170)-(T171-S171)),6)</x:f>
        <x:v>0</x:v>
      </x:c>
      <x:c r="U172" s="58" t="n">
        <x:f>ROUND(U167-(U161+(U170-T170)-(U171-T171)),6)</x:f>
        <x:v>0</x:v>
      </x:c>
      <x:c r="V172" s="58" t="n">
        <x:f>ROUND(V167-(V161+(V170-U170)-(V171-U171)),6)</x:f>
        <x:v>0</x:v>
      </x:c>
      <x:c r="W172" s="58" t="n">
        <x:f>ROUND(W167-(W161+(W170-V170)-(W171-V171)),6)</x:f>
        <x:v>0</x:v>
      </x:c>
      <x:c r="X172" s="58" t="n">
        <x:f>ROUND(X167-(X161+(X170-W170)-(X171-W171)),6)</x:f>
        <x:v>0</x:v>
      </x:c>
      <x:c r="Y172" s="58" t="n">
        <x:f>ROUND(Y167-(Y161+(Y170-X170)-(Y171-X171)),6)</x:f>
        <x:v>0</x:v>
      </x:c>
      <x:c r="Z172" s="58" t="n">
        <x:f>ROUND(Z167-(Z161+(Z170-Y170)-(Z171-Y171)),6)</x:f>
        <x:v>0</x:v>
      </x:c>
      <x:c r="AA172" s="58" t="n">
        <x:f>ROUND(AA167-(AA161+(AA170-Z170)-(AA171-Z171)),6)</x:f>
        <x:v>0</x:v>
      </x:c>
      <x:c r="AB172" s="58" t="n">
        <x:f>ROUND(AB167-(AB161+(AB170-AA170)-(AB171-AA171)),6)</x:f>
        <x:v>0</x:v>
      </x:c>
      <x:c r="AC172" s="58" t="n">
        <x:f>ROUND(AC167-(AC161+(AC170-AB170)-(AC171-AB171)),6)</x:f>
        <x:v>0</x:v>
      </x:c>
      <x:c r="AD172" s="58" t="n">
        <x:f>ROUND(AD167-(AD161+(AD170-AC170)-(AD171-AC171)),6)</x:f>
        <x:v>0</x:v>
      </x:c>
      <x:c r="AE172" s="58" t="n">
        <x:f>ROUND(AE167-(AE161+(AE170-AD170)-(AE171-AD171)),6)</x:f>
        <x:v>0</x:v>
      </x:c>
      <x:c r="AF172" s="58" t="n">
        <x:f>ROUND(AF167-(AF161+(AF170-AE170)-(AF171-AE171)),6)</x:f>
        <x:v>0</x:v>
      </x:c>
      <x:c r="AG172" s="58" t="n">
        <x:f>ROUND(AG167-(AG161+(AG170-AF170)-(AG171-AF171)),6)</x:f>
        <x:v>0</x:v>
      </x:c>
      <x:c r="AH172" s="58" t="n">
        <x:f>ROUND(AH167-(AH161+(AH170-AG170)-(AH171-AG171)),6)</x:f>
        <x:v>0</x:v>
      </x:c>
      <x:c r="AI172" s="58" t="n">
        <x:f>ROUND(AI167-(AI161+(AI170-AH170)-(AI171-AH171)),6)</x:f>
        <x:v>0</x:v>
      </x:c>
      <x:c r="AJ172" s="58" t="n">
        <x:f>ROUND(AJ167-(AJ161+(AJ170-AI170)-(AJ171-AI171)),6)</x:f>
        <x:v>0</x:v>
      </x:c>
      <x:c r="AK172" s="58" t="n">
        <x:f>ROUND(AK167-(AK161+(AK170-AJ170)-(AK171-AJ171)),6)</x:f>
        <x:v>0</x:v>
      </x:c>
    </x:row>
    <x:row r="173" ht="18" customHeight="1">
      <x:c r="A173" s="4" t="str">
        <x:v>Remaining paid-service cost reserve (INR)</x:v>
      </x:c>
      <x:c r="B173" s="58" t="n">
        <x:f>B170/$B$189*'Commercial Inputs'!$B$46*('Commercial Inputs'!$B$24*$B$195+'Commercial Inputs'!$B$28)</x:f>
        <x:v>1738.6631625</x:v>
      </x:c>
      <x:c r="C173" s="58" t="n">
        <x:f>C170/$B$189*'Commercial Inputs'!$B$46*('Commercial Inputs'!$B$24*$B$195+'Commercial Inputs'!$B$28)</x:f>
        <x:v>3483.9814950000005</x:v>
      </x:c>
      <x:c r="D173" s="58" t="n">
        <x:f>D170/$B$189*'Commercial Inputs'!$B$46*('Commercial Inputs'!$B$24*$B$195+'Commercial Inputs'!$B$28)</x:f>
        <x:v>5240.746719899999</x:v>
      </x:c>
      <x:c r="E173" s="58" t="n">
        <x:f>E170/$B$189*'Commercial Inputs'!$B$46*('Commercial Inputs'!$B$24*$B$195+'Commercial Inputs'!$B$28)</x:f>
        <x:v>7380.359916288001</x:v>
      </x:c>
      <x:c r="F173" s="58" t="n">
        <x:f>F170/$B$189*'Commercial Inputs'!$B$46*('Commercial Inputs'!$B$24*$B$195+'Commercial Inputs'!$B$28)</x:f>
        <x:v>9509.521620742562</x:v>
      </x:c>
      <x:c r="G173" s="58" t="n">
        <x:f>G170/$B$189*'Commercial Inputs'!$B$46*('Commercial Inputs'!$B$24*$B$195+'Commercial Inputs'!$B$28)</x:f>
        <x:v>11634.96385823167</x:v>
      </x:c>
      <x:c r="H173" s="58" t="n">
        <x:f>H170/$B$189*'Commercial Inputs'!$B$46*('Commercial Inputs'!$B$24*$B$195+'Commercial Inputs'!$B$28)</x:f>
        <x:v>14557.30092171947</x:v>
      </x:c>
      <x:c r="I173" s="58" t="n">
        <x:f>I170/$B$189*'Commercial Inputs'!$B$46*('Commercial Inputs'!$B$24*$B$195+'Commercial Inputs'!$B$28)</x:f>
        <x:v>17419.80536332581</x:v>
      </x:c>
      <x:c r="J173" s="58" t="n">
        <x:f>J170/$B$189*'Commercial Inputs'!$B$46*('Commercial Inputs'!$B$24*$B$195+'Commercial Inputs'!$B$28)</x:f>
        <x:v>20231.93519342491</x:v>
      </x:c>
      <x:c r="K173" s="58" t="n">
        <x:f>K170/$B$189*'Commercial Inputs'!$B$46*('Commercial Inputs'!$B$24*$B$195+'Commercial Inputs'!$B$28)</x:f>
        <x:v>23004.283383635902</x:v>
      </x:c>
      <x:c r="L173" s="58" t="n">
        <x:f>L170/$B$189*'Commercial Inputs'!$B$46*('Commercial Inputs'!$B$24*$B$195+'Commercial Inputs'!$B$28)</x:f>
        <x:v>25748.714062172206</x:v>
      </x:c>
      <x:c r="M173" s="58" t="n">
        <x:f>M170/$B$189*'Commercial Inputs'!$B$46*('Commercial Inputs'!$B$24*$B$195+'Commercial Inputs'!$B$28)</x:f>
        <x:v>28478.515052632876</x:v>
      </x:c>
      <x:c r="N173" s="58" t="n">
        <x:f>N170/$B$189*'Commercial Inputs'!$B$46*('Commercial Inputs'!$B$24*$B$195+'Commercial Inputs'!$B$28)</x:f>
        <x:v>32929.434042372806</x:v>
      </x:c>
      <x:c r="O173" s="58" t="n">
        <x:f>O170/$B$189*'Commercial Inputs'!$B$46*('Commercial Inputs'!$B$24*$B$195+'Commercial Inputs'!$B$28)</x:f>
        <x:v>37246.97900386658</x:v>
      </x:c>
      <x:c r="P173" s="58" t="n">
        <x:f>P170/$B$189*'Commercial Inputs'!$B$46*('Commercial Inputs'!$B$24*$B$195+'Commercial Inputs'!$B$28)</x:f>
        <x:v>41444.814930333494</x:v>
      </x:c>
      <x:c r="Q173" s="58" t="n">
        <x:f>Q170/$B$189*'Commercial Inputs'!$B$46*('Commercial Inputs'!$B$24*$B$195+'Commercial Inputs'!$B$28)</x:f>
        <x:v>45678.218477085094</x:v>
      </x:c>
      <x:c r="R173" s="58" t="n">
        <x:f>R170/$B$189*'Commercial Inputs'!$B$46*('Commercial Inputs'!$B$24*$B$195+'Commercial Inputs'!$B$28)</x:f>
        <x:v>49848.5277809388</x:v>
      </x:c>
      <x:c r="S173" s="58" t="n">
        <x:f>S170/$B$189*'Commercial Inputs'!$B$46*('Commercial Inputs'!$B$24*$B$195+'Commercial Inputs'!$B$28)</x:f>
        <x:v>53975.59470740814</x:v>
      </x:c>
      <x:c r="T173" s="58" t="n">
        <x:f>T170/$B$189*'Commercial Inputs'!$B$46*('Commercial Inputs'!$B$24*$B$195+'Commercial Inputs'!$B$28)</x:f>
        <x:v>59771.256198188945</x:v>
      </x:c>
      <x:c r="U173" s="58" t="n">
        <x:f>U170/$B$189*'Commercial Inputs'!$B$46*('Commercial Inputs'!$B$24*$B$195+'Commercial Inputs'!$B$28)</x:f>
        <x:v>65496.6096091381</x:v>
      </x:c>
      <x:c r="V173" s="58" t="n">
        <x:f>V170/$B$189*'Commercial Inputs'!$B$46*('Commercial Inputs'!$B$24*$B$195+'Commercial Inputs'!$B$28)</x:f>
        <x:v>71180.36864648922</x:v>
      </x:c>
      <x:c r="W173" s="58" t="n">
        <x:f>W170/$B$189*'Commercial Inputs'!$B$46*('Commercial Inputs'!$B$24*$B$195+'Commercial Inputs'!$B$28)</x:f>
        <x:v>76854.97832566783</x:v>
      </x:c>
      <x:c r="X173" s="58" t="n">
        <x:f>X170/$B$189*'Commercial Inputs'!$B$46*('Commercial Inputs'!$B$24*$B$195+'Commercial Inputs'!$B$28)</x:f>
        <x:v>82557.08558154973</x:v>
      </x:c>
      <x:c r="Y173" s="58" t="n">
        <x:f>Y170/$B$189*'Commercial Inputs'!$B$46*('Commercial Inputs'!$B$24*$B$195+'Commercial Inputs'!$B$28)</x:f>
        <x:v>88328.06818020313</x:v>
      </x:c>
      <x:c r="Z173" s="58" t="n">
        <x:f>Z170/$B$189*'Commercial Inputs'!$B$46*('Commercial Inputs'!$B$24*$B$195+'Commercial Inputs'!$B$28)</x:f>
        <x:v>95576.01278740529</x:v>
      </x:c>
      <x:c r="AA173" s="58" t="n">
        <x:f>AA170/$B$189*'Commercial Inputs'!$B$46*('Commercial Inputs'!$B$24*$B$195+'Commercial Inputs'!$B$28)</x:f>
        <x:v>102691.71930508164</x:v>
      </x:c>
      <x:c r="AB173" s="58" t="n">
        <x:f>AB170/$B$189*'Commercial Inputs'!$B$46*('Commercial Inputs'!$B$24*$B$195+'Commercial Inputs'!$B$28)</x:f>
        <x:v>109696.36990848227</x:v>
      </x:c>
      <x:c r="AC173" s="58" t="n">
        <x:f>AC170/$B$189*'Commercial Inputs'!$B$46*('Commercial Inputs'!$B$24*$B$195+'Commercial Inputs'!$B$28)</x:f>
        <x:v>116680.04860039713</x:v>
      </x:c>
      <x:c r="AD173" s="58" t="n">
        <x:f>AD170/$B$189*'Commercial Inputs'!$B$46*('Commercial Inputs'!$B$24*$B$195+'Commercial Inputs'!$B$28)</x:f>
        <x:v>123606.97653111965</x:v>
      </x:c>
      <x:c r="AE173" s="58" t="n">
        <x:f>AE170/$B$189*'Commercial Inputs'!$B$46*('Commercial Inputs'!$B$24*$B$195+'Commercial Inputs'!$B$28)</x:f>
        <x:v>130506.27759631597</x:v>
      </x:c>
      <x:c r="AF173" s="58" t="n">
        <x:f>AF170/$B$189*'Commercial Inputs'!$B$46*('Commercial Inputs'!$B$24*$B$195+'Commercial Inputs'!$B$28)</x:f>
        <x:v>139344.35216561102</x:v>
      </x:c>
      <x:c r="AG173" s="58" t="n">
        <x:f>AG170/$B$189*'Commercial Inputs'!$B$46*('Commercial Inputs'!$B$24*$B$195+'Commercial Inputs'!$B$28)</x:f>
        <x:v>148207.57003559277</x:v>
      </x:c>
      <x:c r="AH173" s="58" t="n">
        <x:f>AH170/$B$189*'Commercial Inputs'!$B$46*('Commercial Inputs'!$B$24*$B$195+'Commercial Inputs'!$B$28)</x:f>
        <x:v>157135.70025786752</x:v>
      </x:c>
      <x:c r="AI173" s="58" t="n">
        <x:f>AI170/$B$189*'Commercial Inputs'!$B$46*('Commercial Inputs'!$B$24*$B$195+'Commercial Inputs'!$B$28)</x:f>
        <x:v>166172.80803248796</x:v>
      </x:c>
      <x:c r="AJ173" s="58" t="n">
        <x:f>AJ170/$B$189*'Commercial Inputs'!$B$46*('Commercial Inputs'!$B$24*$B$195+'Commercial Inputs'!$B$28)</x:f>
        <x:v>175367.6919204691</x:v>
      </x:c>
      <x:c r="AK173" s="58" t="n">
        <x:f>AK170/$B$189*'Commercial Inputs'!$B$46*('Commercial Inputs'!$B$24*$B$195+'Commercial Inputs'!$B$28)</x:f>
        <x:v>184774.36484172544</x:v>
      </x:c>
    </x:row>
    <x:row r="174" ht="18" customHeight="1">
      <x:c r="A174" s="4" t="str">
        <x:v>Forward liquidity buffer (INR)</x:v>
      </x:c>
      <x:c r="B174" s="58" t="n">
        <x:f>'Commercial Inputs'!$B$34*(SUM(B157:B159)+B152+B121)</x:f>
        <x:v>68079.15</x:v>
      </x:c>
      <x:c r="C174" s="58" t="n">
        <x:f>'Commercial Inputs'!$B$34*(SUM(C157:C159)+C152+C121)</x:f>
        <x:v>68349.73038579</x:v>
      </x:c>
      <x:c r="D174" s="58" t="n">
        <x:f>'Commercial Inputs'!$B$34*(SUM(D157:D159)+D152+D121)</x:f>
        <x:v>68796.65815980773</x:v>
      </x:c>
      <x:c r="E174" s="58" t="n">
        <x:f>'Commercial Inputs'!$B$34*(SUM(E157:E159)+E152+E121)</x:f>
        <x:v>91871.25378485885</x:v>
      </x:c>
      <x:c r="F174" s="58" t="n">
        <x:f>'Commercial Inputs'!$B$34*(SUM(F157:F159)+F152+F121)</x:f>
        <x:v>92479.91011752399</x:v>
      </x:c>
      <x:c r="G174" s="58" t="n">
        <x:f>'Commercial Inputs'!$B$34*(SUM(G157:G159)+G152+G121)</x:f>
        <x:v>93134.64017765067</x:v>
      </x:c>
      <x:c r="H174" s="58" t="n">
        <x:f>'Commercial Inputs'!$B$34*(SUM(H157:H159)+H152+H121)</x:f>
        <x:v>142789.14775898028</x:v>
      </x:c>
      <x:c r="I174" s="58" t="n">
        <x:f>'Commercial Inputs'!$B$34*(SUM(I157:I159)+I152+I121)</x:f>
        <x:v>143736.0136829692</x:v>
      </x:c>
      <x:c r="J174" s="58" t="n">
        <x:f>'Commercial Inputs'!$B$34*(SUM(J157:J159)+J152+J121)</x:f>
        <x:v>144746.312538273</x:v>
      </x:c>
      <x:c r="K174" s="58" t="n">
        <x:f>'Commercial Inputs'!$B$34*(SUM(K157:K159)+K152+K121)</x:f>
        <x:v>145834.07154383443</x:v>
      </x:c>
      <x:c r="L174" s="58" t="n">
        <x:f>'Commercial Inputs'!$B$34*(SUM(L157:L159)+L152+L121)</x:f>
        <x:v>147010.06004598475</x:v>
      </x:c>
      <x:c r="M174" s="58" t="n">
        <x:f>'Commercial Inputs'!$B$34*(SUM(M157:M159)+M152+M121)</x:f>
        <x:v>148286.1239002316</x:v>
      </x:c>
      <x:c r="N174" s="58" t="n">
        <x:f>'Commercial Inputs'!$B$34*(SUM(N157:N159)+N152+N121)</x:f>
        <x:v>273457.83897459565</x:v>
      </x:c>
      <x:c r="O174" s="58" t="n">
        <x:f>'Commercial Inputs'!$B$34*(SUM(O157:O159)+O152+O121)</x:f>
        <x:v>304902.3001869291</x:v>
      </x:c>
      <x:c r="P174" s="58" t="n">
        <x:f>'Commercial Inputs'!$B$34*(SUM(P157:P159)+P152+P121)</x:f>
        <x:v>306394.9336090153</x:v>
      </x:c>
      <x:c r="Q174" s="58" t="n">
        <x:f>'Commercial Inputs'!$B$34*(SUM(Q157:Q159)+Q152+Q121)</x:f>
        <x:v>307900.1734514182</x:v>
      </x:c>
      <x:c r="R174" s="58" t="n">
        <x:f>'Commercial Inputs'!$B$34*(SUM(R157:R159)+R152+R121)</x:f>
        <x:v>309471.4691862385</x:v>
      </x:c>
      <x:c r="S174" s="58" t="n">
        <x:f>'Commercial Inputs'!$B$34*(SUM(S157:S159)+S152+S121)</x:f>
        <x:v>311114.51896084344</x:v>
      </x:c>
      <x:c r="T174" s="58" t="n">
        <x:f>'Commercial Inputs'!$B$34*(SUM(T157:T159)+T152+T121)</x:f>
        <x:v>406822.0065201172</x:v>
      </x:c>
      <x:c r="U174" s="58" t="n">
        <x:f>'Commercial Inputs'!$B$34*(SUM(U157:U159)+U152+U121)</x:f>
        <x:v>408827.3084089327</x:v>
      </x:c>
      <x:c r="V174" s="58" t="n">
        <x:f>'Commercial Inputs'!$B$34*(SUM(V157:V159)+V152+V121)</x:f>
        <x:v>410908.4869298489</x:v>
      </x:c>
      <x:c r="W174" s="58" t="n">
        <x:f>'Commercial Inputs'!$B$34*(SUM(W157:W159)+W152+W121)</x:f>
        <x:v>413079.8746460335</x:v>
      </x:c>
      <x:c r="X174" s="58" t="n">
        <x:f>'Commercial Inputs'!$B$34*(SUM(X157:X159)+X152+X121)</x:f>
        <x:v>415348.48790436663</x:v>
      </x:c>
      <x:c r="Y174" s="58" t="n">
        <x:f>'Commercial Inputs'!$B$34*(SUM(Y157:Y159)+Y152+Y121)</x:f>
        <x:v>417721.366228643</x:v>
      </x:c>
      <x:c r="Z174" s="58" t="n">
        <x:f>'Commercial Inputs'!$B$34*(SUM(Z157:Z159)+Z152+Z121)</x:f>
        <x:v>558931.7259223891</x:v>
      </x:c>
      <x:c r="AA174" s="58" t="n">
        <x:f>'Commercial Inputs'!$B$34*(SUM(AA157:AA159)+AA152+AA121)</x:f>
        <x:v>606452.5608204594</x:v>
      </x:c>
      <x:c r="AB174" s="58" t="n">
        <x:f>'Commercial Inputs'!$B$34*(SUM(AB157:AB159)+AB152+AB121)</x:f>
        <x:v>609054.3867803437</x:v>
      </x:c>
      <x:c r="AC174" s="58" t="n">
        <x:f>'Commercial Inputs'!$B$34*(SUM(AC157:AC159)+AC152+AC121)</x:f>
        <x:v>611738.6088440714</x:v>
      </x:c>
      <x:c r="AD174" s="58" t="n">
        <x:f>'Commercial Inputs'!$B$34*(SUM(AD157:AD159)+AD152+AD121)</x:f>
        <x:v>614520.1833521242</x:v>
      </x:c>
      <x:c r="AE174" s="58" t="n">
        <x:f>'Commercial Inputs'!$B$34*(SUM(AE157:AE159)+AE152+AE121)</x:f>
        <x:v>617404.850756188</x:v>
      </x:c>
      <x:c r="AF174" s="58" t="n">
        <x:f>'Commercial Inputs'!$B$34*(SUM(AF157:AF159)+AF152+AF121)</x:f>
        <x:v>714256.9561085822</x:v>
      </x:c>
      <x:c r="AG174" s="58" t="n">
        <x:f>'Commercial Inputs'!$B$34*(SUM(AG157:AG159)+AG152+AG121)</x:f>
        <x:v>717441.1871415492</x:v>
      </x:c>
      <x:c r="AH174" s="58" t="n">
        <x:f>'Commercial Inputs'!$B$34*(SUM(AH157:AH159)+AH152+AH121)</x:f>
        <x:v>720733.2847497802</x:v>
      </x:c>
      <x:c r="AI174" s="58" t="n">
        <x:f>'Commercial Inputs'!$B$34*(SUM(AI157:AI159)+AI152+AI121)</x:f>
        <x:v>724146.391490319</x:v>
      </x:c>
      <x:c r="AJ174" s="58" t="n">
        <x:f>'Commercial Inputs'!$B$34*(SUM(AJ157:AJ159)+AJ152+AJ121)</x:f>
        <x:v>727686.8787234096</x:v>
      </x:c>
      <x:c r="AK174" s="58" t="n">
        <x:f>'Commercial Inputs'!$B$34*(SUM(AK157:AK159)+AK152+AK121)</x:f>
        <x:v>731361.015818147</x:v>
      </x:c>
    </x:row>
    <x:row r="175" ht="18" customHeight="1">
      <x:c r="A175" s="4" t="str">
        <x:v>Cash after service / liquidity reserves</x:v>
      </x:c>
      <x:c r="B175" s="58" t="n">
        <x:f>B169-B173-B174</x:f>
        <x:v>5193.223220720349</x:v>
      </x:c>
      <x:c r="C175" s="58" t="n">
        <x:f>C169-C173-C174</x:f>
        <x:v>18404.68714715299</x:v>
      </x:c>
      <x:c r="D175" s="58" t="n">
        <x:f>D169-D173-D174</x:f>
        <x:v>35551.18755511442</x:v>
      </x:c>
      <x:c r="E175" s="58" t="n">
        <x:f>E169-E173-E174</x:f>
        <x:v>30316.56174897359</x:v>
      </x:c>
      <x:c r="F175" s="58" t="n">
        <x:f>F169-F173-F174</x:f>
        <x:v>56321.38081495745</x:v>
      </x:c>
      <x:c r="G175" s="58" t="n">
        <x:f>G169-G173-G174</x:f>
        <x:v>87761.5263727972</x:v>
      </x:c>
      <x:c r="H175" s="58" t="n">
        <x:f>H169-H173-H174</x:f>
        <x:v>67183.28719327296</x:v>
      </x:c>
      <x:c r="I175" s="58" t="n">
        <x:f>I169-I173-I174</x:f>
        <x:v>110467.59397689509</x:v>
      </x:c>
      <x:c r="J175" s="58" t="n">
        <x:f>J169-J173-J174</x:f>
        <x:v>161354.3807524059</x:v>
      </x:c>
      <x:c r="K175" s="58" t="n">
        <x:f>K169-K173-K174</x:f>
        <x:v>220568.75503092704</x:v>
      </x:c>
      <x:c r="L175" s="58" t="n">
        <x:f>L169-L173-L174</x:f>
        <x:v>288986.3675165726</x:v>
      </x:c>
      <x:c r="M175" s="58" t="n">
        <x:f>M169-M173-M174</x:f>
        <x:v>367607.695670785</x:v>
      </x:c>
      <x:c r="N175" s="58" t="n">
        <x:f>N169-N173-N174</x:f>
        <x:v>306662.0210541225</x:v>
      </x:c>
      <x:c r="O175" s="58" t="n">
        <x:f>O169-O173-O174</x:f>
        <x:v>357065.15064459835</x:v>
      </x:c>
      <x:c r="P175" s="58" t="n">
        <x:f>P169-P173-P174</x:f>
        <x:v>448151.0738611048</x:v>
      </x:c>
      <x:c r="Q175" s="58" t="n">
        <x:f>Q169-Q173-Q174</x:f>
        <x:v>551560.3069247002</x:v>
      </x:c>
      <x:c r="R175" s="58" t="n">
        <x:f>R169-R173-R174</x:f>
        <x:v>668178.818536763</x:v>
      </x:c>
      <x:c r="S175" s="58" t="n">
        <x:f>S169-S173-S174</x:f>
        <x:v>797818.0207883996</x:v>
      </x:c>
      <x:c r="T175" s="58" t="n">
        <x:f>T169-T173-T174</x:f>
        <x:v>830899.7479325847</x:v>
      </x:c>
      <x:c r="U175" s="58" t="n">
        <x:f>U169-U173-U174</x:f>
        <x:v>990106.0556980732</x:v>
      </x:c>
      <x:c r="V175" s="58" t="n">
        <x:f>V169-V173-V174</x:f>
        <x:v>1166186.5039826594</x:v>
      </x:c>
      <x:c r="W175" s="58" t="n">
        <x:f>W169-W173-W174</x:f>
        <x:v>1360314.2901405734</x:v>
      </x:c>
      <x:c r="X175" s="58" t="n">
        <x:f>X169-X173-X174</x:f>
        <x:v>1573864.8259574375</x:v>
      </x:c>
      <x:c r="Y175" s="58" t="n">
        <x:f>Y169-Y173-Y174</x:f>
        <x:v>1808360.5801121537</x:v>
      </x:c>
      <x:c r="Z175" s="58" t="n">
        <x:f>Z169-Z173-Z174</x:f>
        <x:v>1891462.8110403358</x:v>
      </x:c>
      <x:c r="AA175" s="58" t="n">
        <x:f>AA169-AA173-AA174</x:f>
        <x:v>2087755.3148592524</x:v>
      </x:c>
      <x:c r="AB175" s="58" t="n">
        <x:f>AB169-AB173-AB174</x:f>
        <x:v>2349238.771653074</x:v>
      </x:c>
      <x:c r="AC175" s="58" t="n">
        <x:f>AC169-AC173-AC174</x:f>
        <x:v>2632486.6796997646</x:v>
      </x:c>
      <x:c r="AD175" s="58" t="n">
        <x:f>AD169-AD173-AD174</x:f>
        <x:v>2938773.240293001</x:v>
      </x:c>
      <x:c r="AE175" s="58" t="n">
        <x:f>AE169-AE173-AE174</x:f>
        <x:v>3268839.1231494006</x:v>
      </x:c>
      <x:c r="AF175" s="58" t="n">
        <x:f>AF169-AF173-AF174</x:f>
        <x:v>3515149.106779011</x:v>
      </x:c>
      <x:c r="AG175" s="58" t="n">
        <x:f>AG169-AG173-AG174</x:f>
        <x:v>3900891.540032719</x:v>
      </x:c>
      <x:c r="AH175" s="58" t="n">
        <x:f>AH169-AH173-AH174</x:f>
        <x:v>4315595.558399095</x:v>
      </x:c>
      <x:c r="AI175" s="58" t="n">
        <x:f>AI169-AI173-AI174</x:f>
        <x:v>4760912.7861124035</x:v>
      </x:c>
      <x:c r="AJ175" s="58" t="n">
        <x:f>AJ169-AJ173-AJ174</x:f>
        <x:v>5238695.919996696</x:v>
      </x:c>
      <x:c r="AK175" s="58" t="n">
        <x:f>AK169-AK173-AK174</x:f>
        <x:v>5750947.53050638</x:v>
      </x:c>
    </x:row>
    <x:row r="176" ht="18" customHeight="1">
      <x:c r="A176" s="4" t="str">
        <x:v>Cumulative earned operating profit (INR)</x:v>
      </x:c>
      <x:c r="B176" s="58" t="n">
        <x:f>0+B161</x:f>
        <x:v>-42580.03575622881</x:v>
      </x:c>
      <x:c r="C176" s="58" t="n">
        <x:f>B176+C161</x:f>
        <x:v>-61225.77785224296</x:v>
      </x:c>
      <x:c r="D176" s="58" t="n">
        <x:f>C176+D161</x:f>
        <x:v>-75860.77593409459</x:v>
      </x:c>
      <x:c r="E176" s="58" t="n">
        <x:f>D176+E161</x:f>
        <x:v>-93696.07311153825</x:v>
      </x:c>
      <x:c r="F176" s="58" t="n">
        <x:f>E176+F161</x:f>
        <x:v>-106060.63657459464</x:v>
      </x:c>
      <x:c r="G176" s="58" t="n">
        <x:f>F176+G161</x:f>
        <x:v>-112603.05850287322</x:v>
      </x:c>
      <x:c r="H176" s="58" t="n">
        <x:f>G176+H161</x:f>
        <x:v>-129144.41977526012</x:v>
      </x:c>
      <x:c r="I176" s="58" t="n">
        <x:f>H176+I161</x:f>
        <x:v>-137137.96226772983</x:v>
      </x:c>
      <x:c r="J176" s="58" t="n">
        <x:f>I176+J161</x:f>
        <x:v>-136108.42730122976</x:v>
      </x:c>
      <x:c r="K176" s="58" t="n">
        <x:f>J176+K161</x:f>
        <x:v>-125432.32055596756</x:v>
      </x:c>
      <x:c r="L176" s="58" t="n">
        <x:f>K176+L161</x:f>
        <x:v>-104390.37099995326</x:v>
      </x:c>
      <x:c r="M176" s="58" t="n">
        <x:f>L176+M161</x:f>
        <x:v>-72159.10584599119</x:v>
      </x:c>
      <x:c r="N176" s="58" t="n">
        <x:f>M176+N161</x:f>
        <x:v>-72522.05785654415</x:v>
      </x:c>
      <x:c r="O176" s="58" t="n">
        <x:f>N176+O161</x:f>
        <x:v>-69785.24572960407</x:v>
      </x:c>
      <x:c r="P176" s="58" t="n">
        <x:f>O176+P161</x:f>
        <x:v>-53645.68379709966</x:v>
      </x:c>
      <x:c r="Q176" s="58" t="n">
        <x:f>P176+Q161</x:f>
        <x:v>-24380.010208815584</x:v>
      </x:c>
      <x:c r="R176" s="58" t="n">
        <x:f>Q176+R161</x:f>
        <x:v>18793.14150268938</x:v>
      </x:c>
      <x:c r="S176" s="58" t="n">
        <x:f>R176+S161</x:f>
        <x:v>76427.57773836925</x:v>
      </x:c>
      <x:c r="T176" s="58" t="n">
        <x:f>S176+T161</x:f>
        <x:v>116279.00761621822</x:v>
      </x:c>
      <x:c r="U176" s="58" t="n">
        <x:f>T176+U161</x:f>
        <x:v>173978.1302996555</x:v>
      </x:c>
      <x:c r="V176" s="58" t="n">
        <x:f>U176+V161</x:f>
        <x:v>250036.96332892316</x:v>
      </x:c>
      <x:c r="W176" s="58" t="n">
        <x:f>V176+W161</x:f>
        <x:v>345133.9642457077</x:v>
      </x:c>
      <x:c r="X176" s="58" t="n">
        <x:f>W176+X161</x:f>
        <x:v>460007.9931020411</x:v>
      </x:c>
      <x:c r="Y176" s="58" t="n">
        <x:f>X176+Y161</x:f>
        <x:v>595456.5711355981</x:v>
      </x:c>
      <x:c r="Z176" s="58" t="n">
        <x:f>Y176+Z161</x:f>
        <x:v>702860.315860158</x:v>
      </x:c>
      <x:c r="AA176" s="58" t="n">
        <x:f>Z176+AA161</x:f>
        <x:v>817690.2663137694</x:v>
      </x:c>
      <x:c r="AB176" s="58" t="n">
        <x:f>AA176+AB161</x:f>
        <x:v>955526.1430749674</x:v>
      </x:c>
      <x:c r="AC176" s="58" t="n">
        <x:f>AB176+AC161</x:f>
        <x:v>1116834.8888042397</x:v>
      </x:c>
      <x:c r="AD176" s="58" t="n">
        <x:f>AC176+AD161</x:f>
        <x:v>1302519.7162447297</x:v>
      </x:c>
      <x:c r="AE176" s="58" t="n">
        <x:f>AD176+AE161</x:f>
        <x:v>1513386.0220171104</x:v>
      </x:c>
      <x:c r="AF176" s="58" t="n">
        <x:f>AE176+AF161</x:f>
        <x:v>1715755.0625076052</x:v>
      </x:c>
      <x:c r="AG176" s="58" t="n">
        <x:f>AF176+AG161</x:f>
        <x:v>1945995.5277664955</x:v>
      </x:c>
      <x:c r="AH176" s="58" t="n">
        <x:f>AG176+AH161</x:f>
        <x:v>2204881.037319108</x:v>
      </x:c>
      <x:c r="AI176" s="58" t="n">
        <x:f>AH176+AI161</x:f>
        <x:v>2493336.2891717595</x:v>
      </x:c>
      <x:c r="AJ176" s="58" t="n">
        <x:f>AI176+AJ161</x:f>
        <x:v>2812339.50287634</x:v>
      </x:c>
      <x:c r="AK176" s="58" t="n">
        <x:f>AJ176+AK161</x:f>
        <x:v>3162919.676286326</x:v>
      </x:c>
    </x:row>
    <x:row r="177" ht="18" customHeight="1">
      <x:c r="A177" s="4" t="str">
        <x:v>Pre-tax retained-profit / liquidity cap</x:v>
      </x:c>
      <x:c r="B177" s="58" t="n">
        <x:f>MAX(0,MIN(B176,B175))</x:f>
        <x:v>0</x:v>
      </x:c>
      <x:c r="C177" s="58" t="n">
        <x:f>MAX(0,MIN(C176,C175))</x:f>
        <x:v>0</x:v>
      </x:c>
      <x:c r="D177" s="58" t="n">
        <x:f>MAX(0,MIN(D176,D175))</x:f>
        <x:v>0</x:v>
      </x:c>
      <x:c r="E177" s="58" t="n">
        <x:f>MAX(0,MIN(E176,E175))</x:f>
        <x:v>0</x:v>
      </x:c>
      <x:c r="F177" s="58" t="n">
        <x:f>MAX(0,MIN(F176,F175))</x:f>
        <x:v>0</x:v>
      </x:c>
      <x:c r="G177" s="58" t="n">
        <x:f>MAX(0,MIN(G176,G175))</x:f>
        <x:v>0</x:v>
      </x:c>
      <x:c r="H177" s="58" t="n">
        <x:f>MAX(0,MIN(H176,H175))</x:f>
        <x:v>0</x:v>
      </x:c>
      <x:c r="I177" s="58" t="n">
        <x:f>MAX(0,MIN(I176,I175))</x:f>
        <x:v>0</x:v>
      </x:c>
      <x:c r="J177" s="58" t="n">
        <x:f>MAX(0,MIN(J176,J175))</x:f>
        <x:v>0</x:v>
      </x:c>
      <x:c r="K177" s="58" t="n">
        <x:f>MAX(0,MIN(K176,K175))</x:f>
        <x:v>0</x:v>
      </x:c>
      <x:c r="L177" s="58" t="n">
        <x:f>MAX(0,MIN(L176,L175))</x:f>
        <x:v>0</x:v>
      </x:c>
      <x:c r="M177" s="58" t="n">
        <x:f>MAX(0,MIN(M176,M175))</x:f>
        <x:v>0</x:v>
      </x:c>
      <x:c r="N177" s="58" t="n">
        <x:f>MAX(0,MIN(N176,N175))</x:f>
        <x:v>0</x:v>
      </x:c>
      <x:c r="O177" s="58" t="n">
        <x:f>MAX(0,MIN(O176,O175))</x:f>
        <x:v>0</x:v>
      </x:c>
      <x:c r="P177" s="58" t="n">
        <x:f>MAX(0,MIN(P176,P175))</x:f>
        <x:v>0</x:v>
      </x:c>
      <x:c r="Q177" s="58" t="n">
        <x:f>MAX(0,MIN(Q176,Q175))</x:f>
        <x:v>0</x:v>
      </x:c>
      <x:c r="R177" s="58" t="n">
        <x:f>MAX(0,MIN(R176,R175))</x:f>
        <x:v>18793.14150268938</x:v>
      </x:c>
      <x:c r="S177" s="58" t="n">
        <x:f>MAX(0,MIN(S176,S175))</x:f>
        <x:v>76427.57773836925</x:v>
      </x:c>
      <x:c r="T177" s="58" t="n">
        <x:f>MAX(0,MIN(T176,T175))</x:f>
        <x:v>116279.00761621822</x:v>
      </x:c>
      <x:c r="U177" s="58" t="n">
        <x:f>MAX(0,MIN(U176,U175))</x:f>
        <x:v>173978.1302996555</x:v>
      </x:c>
      <x:c r="V177" s="58" t="n">
        <x:f>MAX(0,MIN(V176,V175))</x:f>
        <x:v>250036.96332892316</x:v>
      </x:c>
      <x:c r="W177" s="58" t="n">
        <x:f>MAX(0,MIN(W176,W175))</x:f>
        <x:v>345133.9642457077</x:v>
      </x:c>
      <x:c r="X177" s="58" t="n">
        <x:f>MAX(0,MIN(X176,X175))</x:f>
        <x:v>460007.9931020411</x:v>
      </x:c>
      <x:c r="Y177" s="58" t="n">
        <x:f>MAX(0,MIN(Y176,Y175))</x:f>
        <x:v>595456.5711355981</x:v>
      </x:c>
      <x:c r="Z177" s="58" t="n">
        <x:f>MAX(0,MIN(Z176,Z175))</x:f>
        <x:v>702860.315860158</x:v>
      </x:c>
      <x:c r="AA177" s="58" t="n">
        <x:f>MAX(0,MIN(AA176,AA175))</x:f>
        <x:v>817690.2663137694</x:v>
      </x:c>
      <x:c r="AB177" s="58" t="n">
        <x:f>MAX(0,MIN(AB176,AB175))</x:f>
        <x:v>955526.1430749674</x:v>
      </x:c>
      <x:c r="AC177" s="58" t="n">
        <x:f>MAX(0,MIN(AC176,AC175))</x:f>
        <x:v>1116834.8888042397</x:v>
      </x:c>
      <x:c r="AD177" s="58" t="n">
        <x:f>MAX(0,MIN(AD176,AD175))</x:f>
        <x:v>1302519.7162447297</x:v>
      </x:c>
      <x:c r="AE177" s="58" t="n">
        <x:f>MAX(0,MIN(AE176,AE175))</x:f>
        <x:v>1513386.0220171104</x:v>
      </x:c>
      <x:c r="AF177" s="58" t="n">
        <x:f>MAX(0,MIN(AF176,AF175))</x:f>
        <x:v>1715755.0625076052</x:v>
      </x:c>
      <x:c r="AG177" s="58" t="n">
        <x:f>MAX(0,MIN(AG176,AG175))</x:f>
        <x:v>1945995.5277664955</x:v>
      </x:c>
      <x:c r="AH177" s="58" t="n">
        <x:f>MAX(0,MIN(AH176,AH175))</x:f>
        <x:v>2204881.037319108</x:v>
      </x:c>
      <x:c r="AI177" s="58" t="n">
        <x:f>MAX(0,MIN(AI176,AI175))</x:f>
        <x:v>2493336.2891717595</x:v>
      </x:c>
      <x:c r="AJ177" s="58" t="n">
        <x:f>MAX(0,MIN(AJ176,AJ175))</x:f>
        <x:v>2812339.50287634</x:v>
      </x:c>
      <x:c r="AK177" s="58" t="n">
        <x:f>MAX(0,MIN(AK176,AK175))</x:f>
        <x:v>3162919.676286326</x:v>
      </x:c>
    </x:row>
    <x:row r="178" ht="18" customHeight="1">
      <x:c r="A178" s="74" t="str">
        <x:v>Revenue run rate: current month x 12</x:v>
      </x:c>
      <x:c r="B178" s="75" t="n">
        <x:f>B143*'Commercial Inputs'!$B$46</x:f>
        <x:v>61766.59094491526</x:v>
      </x:c>
      <x:c r="C178" s="75" t="n">
        <x:f>C143*'Commercial Inputs'!$B$46</x:f>
        <x:v>119958.45478812205</x:v>
      </x:c>
      <x:c r="D178" s="75" t="n">
        <x:f>D143*'Commercial Inputs'!$B$46</x:f>
        <x:v>180234.59264083023</x:v>
      </x:c>
      <x:c r="E178" s="75" t="n">
        <x:f>E143*'Commercial Inputs'!$B$46</x:f>
        <x:v>258117.577149178</x:v>
      </x:c>
      <x:c r="F178" s="75" t="n">
        <x:f>F143*'Commercial Inputs'!$B$46</x:f>
        <x:v>339411.7940933774</x:v>
      </x:c>
      <x:c r="G178" s="75" t="n">
        <x:f>G143*'Commercial Inputs'!$B$46</x:f>
        <x:v>426201.10262391827</x:v>
      </x:c>
      <x:c r="H178" s="75" t="n">
        <x:f>H143*'Commercial Inputs'!$B$46</x:f>
        <x:v>548042.999532614</x:v>
      </x:c>
      <x:c r="I178" s="75" t="n">
        <x:f>I143*'Commercial Inputs'!$B$46</x:f>
        <x:v>673516.5809772022</x:v>
      </x:c>
      <x:c r="J178" s="75" t="n">
        <x:f>J143*'Commercial Inputs'!$B$46</x:f>
        <x:v>806436.275007279</x:v>
      </x:c>
      <x:c r="K178" s="75" t="n">
        <x:f>K143*'Commercial Inputs'!$B$46</x:f>
        <x:v>949051.0020108095</x:v>
      </x:c>
      <x:c r="L178" s="75" t="n">
        <x:f>L143*'Commercial Inputs'!$B$46</x:f>
        <x:v>1102835.6127006977</x:v>
      </x:c>
      <x:c r="M178" s="75" t="n">
        <x:f>M143*'Commercial Inputs'!$B$46</x:f>
        <x:v>1269396.344070306</x:v>
      </x:c>
      <x:c r="N178" s="75" t="n">
        <x:f>N143*'Commercial Inputs'!$B$46</x:f>
        <x:v>1460234.4687645354</x:v>
      </x:c>
      <x:c r="O178" s="75" t="n">
        <x:f>O143*'Commercial Inputs'!$B$46</x:f>
        <x:v>1651040.965374596</x:v>
      </x:c>
      <x:c r="P178" s="75" t="n">
        <x:f>P143*'Commercial Inputs'!$B$46</x:f>
        <x:v>1846877.149884099</x:v>
      </x:c>
      <x:c r="Q178" s="75" t="n">
        <x:f>Q143*'Commercial Inputs'!$B$46</x:f>
        <x:v>2044147.2223702879</x:v>
      </x:c>
      <x:c r="R178" s="75" t="n">
        <x:f>R143*'Commercial Inputs'!$B$46</x:f>
        <x:v>2249557.007805219</x:v>
      </x:c>
      <x:c r="S178" s="75" t="n">
        <x:f>S143*'Commercial Inputs'!$B$46</x:f>
        <x:v>2463952.4238959174</x:v>
      </x:c>
      <x:c r="T178" s="75" t="n">
        <x:f>T143*'Commercial Inputs'!$B$46</x:f>
        <x:v>2724752.297717383</x:v>
      </x:c>
      <x:c r="U178" s="75" t="n">
        <x:f>U143*'Commercial Inputs'!$B$46</x:f>
        <x:v>2988717.033768591</x:v>
      </x:c>
      <x:c r="V178" s="75" t="n">
        <x:f>V143*'Commercial Inputs'!$B$46</x:f>
        <x:v>3261371.3377781413</x:v>
      </x:c>
      <x:c r="W178" s="75" t="n">
        <x:f>W143*'Commercial Inputs'!$B$46</x:f>
        <x:v>3545324.925758198</x:v>
      </x:c>
      <x:c r="X178" s="75" t="n">
        <x:f>X143*'Commercial Inputs'!$B$46</x:f>
        <x:v>3841628.5751179596</x:v>
      </x:c>
      <x:c r="Y178" s="75" t="n">
        <x:f>Y143*'Commercial Inputs'!$B$46</x:f>
        <x:v>4151326.1323813275</x:v>
      </x:c>
      <x:c r="Z178" s="75" t="n">
        <x:f>Z143*'Commercial Inputs'!$B$46</x:f>
        <x:v>4476036.265969169</x:v>
      </x:c>
      <x:c r="AA178" s="75" t="n">
        <x:f>AA143*'Commercial Inputs'!$B$46</x:f>
        <x:v>4806165.593172131</x:v>
      </x:c>
      <x:c r="AB178" s="75" t="n">
        <x:f>AB143*'Commercial Inputs'!$B$46</x:f>
        <x:v>5145724.764430519</x:v>
      </x:c>
      <x:c r="AC178" s="75" t="n">
        <x:f>AC143*'Commercial Inputs'!$B$46</x:f>
        <x:v>5495490.360696111</x:v>
      </x:c>
      <x:c r="AD178" s="75" t="n">
        <x:f>AD143*'Commercial Inputs'!$B$46</x:f>
        <x:v>5857467.823026162</x:v>
      </x:c>
      <x:c r="AE178" s="75" t="n">
        <x:f>AE143*'Commercial Inputs'!$B$46</x:f>
        <x:v>6232519.944804363</x:v>
      </x:c>
      <x:c r="AF178" s="75" t="n">
        <x:f>AF143*'Commercial Inputs'!$B$46</x:f>
        <x:v>6641670.696896958</x:v>
      </x:c>
      <x:c r="AG178" s="75" t="n">
        <x:f>AG143*'Commercial Inputs'!$B$46</x:f>
        <x:v>7058743.988965945</x:v>
      </x:c>
      <x:c r="AH178" s="75" t="n">
        <x:f>AH143*'Commercial Inputs'!$B$46</x:f>
        <x:v>7488807.66048432</x:v>
      </x:c>
      <x:c r="AI178" s="75" t="n">
        <x:f>AI143*'Commercial Inputs'!$B$46</x:f>
        <x:v>7934262.943991002</x:v>
      </x:c>
      <x:c r="AJ178" s="75" t="n">
        <x:f>AJ143*'Commercial Inputs'!$B$46</x:f>
        <x:v>8396076.897425078</x:v>
      </x:c>
      <x:c r="AK178" s="75" t="n">
        <x:f>AK143*'Commercial Inputs'!$B$46</x:f>
        <x:v>8875192.974570345</x:v>
      </x:c>
    </x:row>
    <x:row r="179" ht="18" customHeight="1">
      <x:c r="A179" s="4" t="str"/>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c r="AA179" s="58"/>
      <x:c r="AB179" s="58"/>
      <x:c r="AC179" s="58"/>
      <x:c r="AD179" s="58"/>
      <x:c r="AE179" s="58"/>
      <x:c r="AF179" s="58"/>
      <x:c r="AG179" s="58"/>
      <x:c r="AH179" s="58"/>
      <x:c r="AI179" s="58"/>
      <x:c r="AJ179" s="58"/>
      <x:c r="AK179" s="58"/>
    </x:row>
    <x:row r="180" ht="18" customHeight="1">
      <x:c r="A180" s="4" t="str">
        <x:v>Annual entitlement balance check</x:v>
      </x:c>
      <x:c r="B180" s="58" t="n">
        <x:f>ROUND(B129-(0+SUM(B125:B127)-B128),6)</x:f>
        <x:v>0</x:v>
      </x:c>
      <x:c r="C180" s="58" t="n">
        <x:f>ROUND(C129-(B129+SUM(C125:C127)-C128),6)</x:f>
        <x:v>0</x:v>
      </x:c>
      <x:c r="D180" s="58" t="n">
        <x:f>ROUND(D129-(C129+SUM(D125:D127)-D128),6)</x:f>
        <x:v>0</x:v>
      </x:c>
      <x:c r="E180" s="58" t="n">
        <x:f>ROUND(E129-(D129+SUM(E125:E127)-E128),6)</x:f>
        <x:v>0</x:v>
      </x:c>
      <x:c r="F180" s="58" t="n">
        <x:f>ROUND(F129-(E129+SUM(F125:F127)-F128),6)</x:f>
        <x:v>0</x:v>
      </x:c>
      <x:c r="G180" s="58" t="n">
        <x:f>ROUND(G129-(F129+SUM(G125:G127)-G128),6)</x:f>
        <x:v>0</x:v>
      </x:c>
      <x:c r="H180" s="58" t="n">
        <x:f>ROUND(H129-(G129+SUM(H125:H127)-H128),6)</x:f>
        <x:v>0</x:v>
      </x:c>
      <x:c r="I180" s="58" t="n">
        <x:f>ROUND(I129-(H129+SUM(I125:I127)-I128),6)</x:f>
        <x:v>0</x:v>
      </x:c>
      <x:c r="J180" s="58" t="n">
        <x:f>ROUND(J129-(I129+SUM(J125:J127)-J128),6)</x:f>
        <x:v>0</x:v>
      </x:c>
      <x:c r="K180" s="58" t="n">
        <x:f>ROUND(K129-(J129+SUM(K125:K127)-K128),6)</x:f>
        <x:v>0</x:v>
      </x:c>
      <x:c r="L180" s="58" t="n">
        <x:f>ROUND(L129-(K129+SUM(L125:L127)-L128),6)</x:f>
        <x:v>0</x:v>
      </x:c>
      <x:c r="M180" s="58" t="n">
        <x:f>ROUND(M129-(L129+SUM(M125:M127)-M128),6)</x:f>
        <x:v>0</x:v>
      </x:c>
      <x:c r="N180" s="58" t="n">
        <x:f>ROUND(N129-(M129+SUM(N125:N127)-N128),6)</x:f>
        <x:v>0</x:v>
      </x:c>
      <x:c r="O180" s="58" t="n">
        <x:f>ROUND(O129-(N129+SUM(O125:O127)-O128),6)</x:f>
        <x:v>0</x:v>
      </x:c>
      <x:c r="P180" s="58" t="n">
        <x:f>ROUND(P129-(O129+SUM(P125:P127)-P128),6)</x:f>
        <x:v>0</x:v>
      </x:c>
      <x:c r="Q180" s="58" t="n">
        <x:f>ROUND(Q129-(P129+SUM(Q125:Q127)-Q128),6)</x:f>
        <x:v>0</x:v>
      </x:c>
      <x:c r="R180" s="58" t="n">
        <x:f>ROUND(R129-(Q129+SUM(R125:R127)-R128),6)</x:f>
        <x:v>0</x:v>
      </x:c>
      <x:c r="S180" s="58" t="n">
        <x:f>ROUND(S129-(R129+SUM(S125:S127)-S128),6)</x:f>
        <x:v>0</x:v>
      </x:c>
      <x:c r="T180" s="58" t="n">
        <x:f>ROUND(T129-(S129+SUM(T125:T127)-T128),6)</x:f>
        <x:v>0</x:v>
      </x:c>
      <x:c r="U180" s="58" t="n">
        <x:f>ROUND(U129-(T129+SUM(U125:U127)-U128),6)</x:f>
        <x:v>0</x:v>
      </x:c>
      <x:c r="V180" s="58" t="n">
        <x:f>ROUND(V129-(U129+SUM(V125:V127)-V128),6)</x:f>
        <x:v>0</x:v>
      </x:c>
      <x:c r="W180" s="58" t="n">
        <x:f>ROUND(W129-(V129+SUM(W125:W127)-W128),6)</x:f>
        <x:v>0</x:v>
      </x:c>
      <x:c r="X180" s="58" t="n">
        <x:f>ROUND(X129-(W129+SUM(X125:X127)-X128),6)</x:f>
        <x:v>0</x:v>
      </x:c>
      <x:c r="Y180" s="58" t="n">
        <x:f>ROUND(Y129-(X129+SUM(Y125:Y127)-Y128),6)</x:f>
        <x:v>0</x:v>
      </x:c>
      <x:c r="Z180" s="58" t="n">
        <x:f>ROUND(Z129-(Y129+SUM(Z125:Z127)-Z128),6)</x:f>
        <x:v>0</x:v>
      </x:c>
      <x:c r="AA180" s="58" t="n">
        <x:f>ROUND(AA129-(Z129+SUM(AA125:AA127)-AA128),6)</x:f>
        <x:v>0</x:v>
      </x:c>
      <x:c r="AB180" s="58" t="n">
        <x:f>ROUND(AB129-(AA129+SUM(AB125:AB127)-AB128),6)</x:f>
        <x:v>0</x:v>
      </x:c>
      <x:c r="AC180" s="58" t="n">
        <x:f>ROUND(AC129-(AB129+SUM(AC125:AC127)-AC128),6)</x:f>
        <x:v>0</x:v>
      </x:c>
      <x:c r="AD180" s="58" t="n">
        <x:f>ROUND(AD129-(AC129+SUM(AD125:AD127)-AD128),6)</x:f>
        <x:v>0</x:v>
      </x:c>
      <x:c r="AE180" s="58" t="n">
        <x:f>ROUND(AE129-(AD129+SUM(AE125:AE127)-AE128),6)</x:f>
        <x:v>0</x:v>
      </x:c>
      <x:c r="AF180" s="58" t="n">
        <x:f>ROUND(AF129-(AE129+SUM(AF125:AF127)-AF128),6)</x:f>
        <x:v>0</x:v>
      </x:c>
      <x:c r="AG180" s="58" t="n">
        <x:f>ROUND(AG129-(AF129+SUM(AG125:AG127)-AG128),6)</x:f>
        <x:v>0</x:v>
      </x:c>
      <x:c r="AH180" s="58" t="n">
        <x:f>ROUND(AH129-(AG129+SUM(AH125:AH127)-AH128),6)</x:f>
        <x:v>0</x:v>
      </x:c>
      <x:c r="AI180" s="58" t="n">
        <x:f>ROUND(AI129-(AH129+SUM(AI125:AI127)-AI128),6)</x:f>
        <x:v>0</x:v>
      </x:c>
      <x:c r="AJ180" s="58" t="n">
        <x:f>ROUND(AJ129-(AI129+SUM(AJ125:AJ127)-AJ128),6)</x:f>
        <x:v>0</x:v>
      </x:c>
      <x:c r="AK180" s="58" t="n">
        <x:f>ROUND(AK129-(AJ129+SUM(AK125:AK127)-AK128),6)</x:f>
        <x:v>0</x:v>
      </x:c>
    </x:row>
    <x:row r="181" ht="18" customHeight="1">
      <x:c r="A181" s="4" t="str">
        <x:v>Monthly charge / refund check</x:v>
      </x:c>
      <x:c r="B181" s="58" t="n">
        <x:f>ROUND(B136-B137*(1-'Scenario Inputs'!$C$29),6)</x:f>
        <x:v>0</x:v>
      </x:c>
      <x:c r="C181" s="58" t="n">
        <x:f>ROUND(C136-C137*(1-'Scenario Inputs'!$C$29),6)</x:f>
        <x:v>0</x:v>
      </x:c>
      <x:c r="D181" s="58" t="n">
        <x:f>ROUND(D136-D137*(1-'Scenario Inputs'!$C$29),6)</x:f>
        <x:v>0</x:v>
      </x:c>
      <x:c r="E181" s="58" t="n">
        <x:f>ROUND(E136-E137*(1-'Scenario Inputs'!$C$29),6)</x:f>
        <x:v>0</x:v>
      </x:c>
      <x:c r="F181" s="58" t="n">
        <x:f>ROUND(F136-F137*(1-'Scenario Inputs'!$C$29),6)</x:f>
        <x:v>0</x:v>
      </x:c>
      <x:c r="G181" s="58" t="n">
        <x:f>ROUND(G136-G137*(1-'Scenario Inputs'!$C$29),6)</x:f>
        <x:v>0</x:v>
      </x:c>
      <x:c r="H181" s="58" t="n">
        <x:f>ROUND(H136-H137*(1-'Scenario Inputs'!$C$29),6)</x:f>
        <x:v>0</x:v>
      </x:c>
      <x:c r="I181" s="58" t="n">
        <x:f>ROUND(I136-I137*(1-'Scenario Inputs'!$C$29),6)</x:f>
        <x:v>0</x:v>
      </x:c>
      <x:c r="J181" s="58" t="n">
        <x:f>ROUND(J136-J137*(1-'Scenario Inputs'!$C$29),6)</x:f>
        <x:v>0</x:v>
      </x:c>
      <x:c r="K181" s="58" t="n">
        <x:f>ROUND(K136-K137*(1-'Scenario Inputs'!$C$29),6)</x:f>
        <x:v>0</x:v>
      </x:c>
      <x:c r="L181" s="58" t="n">
        <x:f>ROUND(L136-L137*(1-'Scenario Inputs'!$C$29),6)</x:f>
        <x:v>0</x:v>
      </x:c>
      <x:c r="M181" s="58" t="n">
        <x:f>ROUND(M136-M137*(1-'Scenario Inputs'!$C$29),6)</x:f>
        <x:v>0</x:v>
      </x:c>
      <x:c r="N181" s="58" t="n">
        <x:f>ROUND(N136-N137*(1-'Scenario Inputs'!$C$29),6)</x:f>
        <x:v>0</x:v>
      </x:c>
      <x:c r="O181" s="58" t="n">
        <x:f>ROUND(O136-O137*(1-'Scenario Inputs'!$C$29),6)</x:f>
        <x:v>0</x:v>
      </x:c>
      <x:c r="P181" s="58" t="n">
        <x:f>ROUND(P136-P137*(1-'Scenario Inputs'!$C$29),6)</x:f>
        <x:v>0</x:v>
      </x:c>
      <x:c r="Q181" s="58" t="n">
        <x:f>ROUND(Q136-Q137*(1-'Scenario Inputs'!$C$29),6)</x:f>
        <x:v>0</x:v>
      </x:c>
      <x:c r="R181" s="58" t="n">
        <x:f>ROUND(R136-R137*(1-'Scenario Inputs'!$C$29),6)</x:f>
        <x:v>0</x:v>
      </x:c>
      <x:c r="S181" s="58" t="n">
        <x:f>ROUND(S136-S137*(1-'Scenario Inputs'!$C$29),6)</x:f>
        <x:v>0</x:v>
      </x:c>
      <x:c r="T181" s="58" t="n">
        <x:f>ROUND(T136-T137*(1-'Scenario Inputs'!$C$29),6)</x:f>
        <x:v>0</x:v>
      </x:c>
      <x:c r="U181" s="58" t="n">
        <x:f>ROUND(U136-U137*(1-'Scenario Inputs'!$C$29),6)</x:f>
        <x:v>0</x:v>
      </x:c>
      <x:c r="V181" s="58" t="n">
        <x:f>ROUND(V136-V137*(1-'Scenario Inputs'!$C$29),6)</x:f>
        <x:v>0</x:v>
      </x:c>
      <x:c r="W181" s="58" t="n">
        <x:f>ROUND(W136-W137*(1-'Scenario Inputs'!$C$29),6)</x:f>
        <x:v>0</x:v>
      </x:c>
      <x:c r="X181" s="58" t="n">
        <x:f>ROUND(X136-X137*(1-'Scenario Inputs'!$C$29),6)</x:f>
        <x:v>0</x:v>
      </x:c>
      <x:c r="Y181" s="58" t="n">
        <x:f>ROUND(Y136-Y137*(1-'Scenario Inputs'!$C$29),6)</x:f>
        <x:v>0</x:v>
      </x:c>
      <x:c r="Z181" s="58" t="n">
        <x:f>ROUND(Z136-Z137*(1-'Scenario Inputs'!$C$29),6)</x:f>
        <x:v>0</x:v>
      </x:c>
      <x:c r="AA181" s="58" t="n">
        <x:f>ROUND(AA136-AA137*(1-'Scenario Inputs'!$C$29),6)</x:f>
        <x:v>0</x:v>
      </x:c>
      <x:c r="AB181" s="58" t="n">
        <x:f>ROUND(AB136-AB137*(1-'Scenario Inputs'!$C$29),6)</x:f>
        <x:v>0</x:v>
      </x:c>
      <x:c r="AC181" s="58" t="n">
        <x:f>ROUND(AC136-AC137*(1-'Scenario Inputs'!$C$29),6)</x:f>
        <x:v>0</x:v>
      </x:c>
      <x:c r="AD181" s="58" t="n">
        <x:f>ROUND(AD136-AD137*(1-'Scenario Inputs'!$C$29),6)</x:f>
        <x:v>0</x:v>
      </x:c>
      <x:c r="AE181" s="58" t="n">
        <x:f>ROUND(AE136-AE137*(1-'Scenario Inputs'!$C$29),6)</x:f>
        <x:v>0</x:v>
      </x:c>
      <x:c r="AF181" s="58" t="n">
        <x:f>ROUND(AF136-AF137*(1-'Scenario Inputs'!$C$29),6)</x:f>
        <x:v>0</x:v>
      </x:c>
      <x:c r="AG181" s="58" t="n">
        <x:f>ROUND(AG136-AG137*(1-'Scenario Inputs'!$C$29),6)</x:f>
        <x:v>0</x:v>
      </x:c>
      <x:c r="AH181" s="58" t="n">
        <x:f>ROUND(AH136-AH137*(1-'Scenario Inputs'!$C$29),6)</x:f>
        <x:v>0</x:v>
      </x:c>
      <x:c r="AI181" s="58" t="n">
        <x:f>ROUND(AI136-AI137*(1-'Scenario Inputs'!$C$29),6)</x:f>
        <x:v>0</x:v>
      </x:c>
      <x:c r="AJ181" s="58" t="n">
        <x:f>ROUND(AJ136-AJ137*(1-'Scenario Inputs'!$C$29),6)</x:f>
        <x:v>0</x:v>
      </x:c>
      <x:c r="AK181" s="58" t="n">
        <x:f>ROUND(AK136-AK137*(1-'Scenario Inputs'!$C$29),6)</x:f>
        <x:v>0</x:v>
      </x:c>
    </x:row>
    <x:row r="182" ht="18"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row>
    <x:row r="183" ht="18"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row>
    <x:row r="184" ht="18"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row>
    <x:row r="185" ht="18"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row>
    <x:row r="186" ht="18"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row>
    <x:row r="187" ht="18"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row>
    <x:row r="188" ht="18"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row>
    <x:row r="189" ht="18" customHeight="1">
      <x:c r="A189" s="4" t="str">
        <x:v>Blended annual price, ex-tax (INR)</x:v>
      </x:c>
      <x:c r="B189" s="56" t="n">
        <x:f>'Scenario Inputs'!$C$28*'Commercial Inputs'!$B$6/(1+'Commercial Inputs'!$B$10)+(1-'Scenario Inputs'!$C$28)*('Commercial Inputs'!$B$8*'Commercial Inputs'!$B$5)/(1+'Commercial Inputs'!$B$11)</x:f>
        <x:v>2837.087118644068</x:v>
      </x:c>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row>
    <x:row r="190" ht="18" customHeight="1">
      <x:c r="A190" s="4" t="str">
        <x:v>Blended monthly price, ex-tax (INR)</x:v>
      </x:c>
      <x:c r="B190" s="56" t="n">
        <x:f>'Scenario Inputs'!$C$28*'Commercial Inputs'!$B$7/(1+'Commercial Inputs'!$B$10)+(1-'Scenario Inputs'!$C$28)*('Commercial Inputs'!$B$9*'Commercial Inputs'!$B$5)/(1+'Commercial Inputs'!$B$11)</x:f>
        <x:v>407.86677966101695</x:v>
      </x:c>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row>
    <x:row r="191" ht="18" customHeight="1">
      <x:c r="A191" s="4" t="str">
        <x:v>Fee per annual charge (INR)</x:v>
      </x:c>
      <x:c r="B191" s="56" t="n">
        <x:f>'Scenario Inputs'!$C$28*('Commercial Inputs'!$B$12*'Commercial Inputs'!$B$6*'Commercial Inputs'!$B$14+(1-'Commercial Inputs'!$B$12)*'Commercial Inputs'!$B$6/(1+'Commercial Inputs'!$B$10)*'Commercial Inputs'!$B$13)+(1-'Scenario Inputs'!$C$28)*('Commercial Inputs'!$B$12*(('Commercial Inputs'!$B$8*'Commercial Inputs'!$B$5)*'Commercial Inputs'!$B$15+'Commercial Inputs'!$B$16*'Commercial Inputs'!$B$5)+(1-'Commercial Inputs'!$B$12)*('Commercial Inputs'!$B$8*'Commercial Inputs'!$B$5)/(1+'Commercial Inputs'!$B$11)*'Commercial Inputs'!$B$13)</x:f>
        <x:v>289.70331389830505</x:v>
      </x:c>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row>
    <x:row r="192" ht="18" customHeight="1">
      <x:c r="A192" s="4" t="str">
        <x:v>Fee per monthly charge (INR)</x:v>
      </x:c>
      <x:c r="B192" s="56" t="n">
        <x:f>'Scenario Inputs'!$C$28*('Commercial Inputs'!$B$12*'Commercial Inputs'!$B$7*'Commercial Inputs'!$B$14+(1-'Commercial Inputs'!$B$12)*'Commercial Inputs'!$B$7/(1+'Commercial Inputs'!$B$10)*'Commercial Inputs'!$B$13)+(1-'Scenario Inputs'!$C$28)*('Commercial Inputs'!$B$12*(('Commercial Inputs'!$B$9*'Commercial Inputs'!$B$5)*'Commercial Inputs'!$B$15+'Commercial Inputs'!$B$16*'Commercial Inputs'!$B$5)+(1-'Commercial Inputs'!$B$12)*('Commercial Inputs'!$B$9*'Commercial Inputs'!$B$5)/(1+'Commercial Inputs'!$B$11)*'Commercial Inputs'!$B$13)</x:f>
        <x:v>53.35178847457627</x:v>
      </x:c>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row>
    <x:row r="193" ht="18" customHeight="1">
      <x:c r="A193" s="4" t="str">
        <x:v>Billing reserve per annual charge (INR)</x:v>
      </x:c>
      <x:c r="B193" s="56" t="n">
        <x:f>('Scenario Inputs'!$C$28*'Commercial Inputs'!$B$6+(1-'Scenario Inputs'!$C$28)*('Commercial Inputs'!$B$8*'Commercial Inputs'!$B$5))*'Commercial Inputs'!$B$17</x:f>
        <x:v>29.5906</x:v>
      </x:c>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row>
    <x:row r="194" ht="18" customHeight="1">
      <x:c r="A194" s="4" t="str">
        <x:v>Billing reserve per monthly charge (INR)</x:v>
      </x:c>
      <x:c r="B194" s="56" t="n">
        <x:f>('Scenario Inputs'!$C$28*'Commercial Inputs'!$B$7+(1-'Scenario Inputs'!$C$28)*('Commercial Inputs'!$B$9*'Commercial Inputs'!$B$5))*'Commercial Inputs'!$B$17</x:f>
        <x:v>4.2306</x:v>
      </x:c>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row>
    <x:row r="195" ht="18" customHeight="1">
      <x:c r="A195" s="4" t="str">
        <x:v>Budgeted AI cost per job (INR)</x:v>
      </x:c>
      <x:c r="B195" s="56" t="n">
        <x:f>('Commercial Inputs'!$B$20*'Commercial Inputs'!$B$18+'Commercial Inputs'!$B$21*'Commercial Inputs'!$B$19)/'Commercial Inputs'!$B$47*'Commercial Inputs'!$B$22*'Commercial Inputs'!$B$5*(1+'Commercial Inputs'!$B$23)</x:f>
        <x:v>0.1287</x:v>
      </x:c>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row>
    <x:row r="196" ht="18"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row>
    <x:row r="197" ht="18"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row>
    <x:row r="198" ht="18"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row>
    <x:row r="199" ht="18"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row>
    <x:row r="200" ht="18"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row>
    <x:row r="201" ht="18"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row>
    <x:row r="202" ht="18"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row>
    <x:row r="203" ht="18"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row>
    <x:row r="204" ht="18"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row>
    <x:row r="205" ht="18"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row>
    <x:row r="206" ht="18"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row>
    <x:row r="207" ht="18"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row>
    <x:row r="208" ht="18"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row>
    <x:row r="209" ht="18"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row>
    <x:row r="210" ht="18"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row>
    <x:row r="211" ht="29" customHeight="1">
      <x:c r="A211" s="50" t="str">
        <x:v>INDIA ONLY | MONTHLY COHORT MODEL</x:v>
      </x:c>
      <x:c r="B211" s="50"/>
      <x:c r="C211" s="50"/>
      <x:c r="D211" s="50"/>
      <x:c r="E211" s="50"/>
      <x:c r="F211" s="50"/>
      <x:c r="G211" s="50"/>
      <x:c r="H211" s="50"/>
      <x:c r="I211" s="50"/>
      <x:c r="J211" s="50"/>
      <x:c r="K211" s="50"/>
      <x:c r="L211" s="50"/>
      <x:c r="M211" s="50"/>
      <x:c r="N211" s="50"/>
      <x:c r="O211" s="50"/>
      <x:c r="P211" s="50"/>
      <x:c r="Q211" s="50"/>
      <x:c r="R211" s="50"/>
      <x:c r="S211" s="50"/>
      <x:c r="T211" s="50"/>
      <x:c r="U211" s="50"/>
      <x:c r="V211" s="50"/>
      <x:c r="W211" s="50"/>
      <x:c r="X211" s="50"/>
      <x:c r="Y211" s="50"/>
      <x:c r="Z211" s="50"/>
      <x:c r="AA211" s="50"/>
      <x:c r="AB211" s="50"/>
      <x:c r="AC211" s="50"/>
      <x:c r="AD211" s="50"/>
      <x:c r="AE211" s="50"/>
      <x:c r="AF211" s="50"/>
      <x:c r="AG211" s="50"/>
      <x:c r="AH211" s="50"/>
      <x:c r="AI211" s="50"/>
      <x:c r="AJ211" s="50"/>
      <x:c r="AK211" s="50"/>
    </x:row>
    <x:row r="212" ht="24" customHeight="1">
      <x:c r="A212" s="11" t="str">
        <x:v>INR unless stated. Purchases occur at month start; annual revenue is earned over 12 months. No founder salary or income tax in the base case.</x:v>
      </x:c>
      <x:c r="B212" s="11"/>
      <x:c r="C212" s="11"/>
      <x:c r="D212" s="11"/>
      <x:c r="E212" s="11"/>
      <x:c r="F212" s="11"/>
      <x:c r="G212" s="11"/>
      <x:c r="H212" s="11"/>
      <x:c r="I212" s="11"/>
      <x:c r="J212" s="11"/>
      <x:c r="K212" s="11"/>
      <x:c r="L212" s="11"/>
      <x:c r="M212" s="11"/>
      <x:c r="N212" s="11"/>
      <x:c r="O212" s="11"/>
      <x:c r="P212" s="11"/>
      <x:c r="Q212" s="11"/>
      <x:c r="R212" s="11"/>
      <x:c r="S212" s="11"/>
      <x:c r="T212" s="11"/>
      <x:c r="U212" s="11"/>
      <x:c r="V212" s="11"/>
      <x:c r="W212" s="11"/>
      <x:c r="X212" s="11"/>
      <x:c r="Y212" s="11"/>
      <x:c r="Z212" s="11"/>
      <x:c r="AA212" s="11"/>
      <x:c r="AB212" s="11"/>
      <x:c r="AC212" s="11"/>
      <x:c r="AD212" s="11"/>
      <x:c r="AE212" s="11"/>
      <x:c r="AF212" s="11"/>
      <x:c r="AG212" s="11"/>
      <x:c r="AH212" s="11"/>
      <x:c r="AI212" s="11"/>
      <x:c r="AJ212" s="11"/>
      <x:c r="AK212" s="11"/>
    </x:row>
    <x:row r="213" ht="18"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row>
    <x:row r="214" ht="18"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row>
    <x:row r="215" ht="30" customHeight="1">
      <x:c r="A215" s="16" t="str">
        <x:v>Month after paid launch</x:v>
      </x:c>
      <x:c r="B215" s="16" t="n">
        <x:v>1</x:v>
      </x:c>
      <x:c r="C215" s="16" t="n">
        <x:v>2</x:v>
      </x:c>
      <x:c r="D215" s="16" t="n">
        <x:v>3</x:v>
      </x:c>
      <x:c r="E215" s="16" t="n">
        <x:v>4</x:v>
      </x:c>
      <x:c r="F215" s="16" t="n">
        <x:v>5</x:v>
      </x:c>
      <x:c r="G215" s="16" t="n">
        <x:v>6</x:v>
      </x:c>
      <x:c r="H215" s="16" t="n">
        <x:v>7</x:v>
      </x:c>
      <x:c r="I215" s="16" t="n">
        <x:v>8</x:v>
      </x:c>
      <x:c r="J215" s="16" t="n">
        <x:v>9</x:v>
      </x:c>
      <x:c r="K215" s="16" t="n">
        <x:v>10</x:v>
      </x:c>
      <x:c r="L215" s="16" t="n">
        <x:v>11</x:v>
      </x:c>
      <x:c r="M215" s="16" t="n">
        <x:v>12</x:v>
      </x:c>
      <x:c r="N215" s="16" t="n">
        <x:v>13</x:v>
      </x:c>
      <x:c r="O215" s="16" t="n">
        <x:v>14</x:v>
      </x:c>
      <x:c r="P215" s="16" t="n">
        <x:v>15</x:v>
      </x:c>
      <x:c r="Q215" s="16" t="n">
        <x:v>16</x:v>
      </x:c>
      <x:c r="R215" s="16" t="n">
        <x:v>17</x:v>
      </x:c>
      <x:c r="S215" s="16" t="n">
        <x:v>18</x:v>
      </x:c>
      <x:c r="T215" s="16" t="n">
        <x:v>19</x:v>
      </x:c>
      <x:c r="U215" s="16" t="n">
        <x:v>20</x:v>
      </x:c>
      <x:c r="V215" s="16" t="n">
        <x:v>21</x:v>
      </x:c>
      <x:c r="W215" s="16" t="n">
        <x:v>22</x:v>
      </x:c>
      <x:c r="X215" s="16" t="n">
        <x:v>23</x:v>
      </x:c>
      <x:c r="Y215" s="16" t="n">
        <x:v>24</x:v>
      </x:c>
      <x:c r="Z215" s="16" t="n">
        <x:v>25</x:v>
      </x:c>
      <x:c r="AA215" s="16" t="n">
        <x:v>26</x:v>
      </x:c>
      <x:c r="AB215" s="16" t="n">
        <x:v>27</x:v>
      </x:c>
      <x:c r="AC215" s="16" t="n">
        <x:v>28</x:v>
      </x:c>
      <x:c r="AD215" s="16" t="n">
        <x:v>29</x:v>
      </x:c>
      <x:c r="AE215" s="16" t="n">
        <x:v>30</x:v>
      </x:c>
      <x:c r="AF215" s="16" t="n">
        <x:v>31</x:v>
      </x:c>
      <x:c r="AG215" s="16" t="n">
        <x:v>32</x:v>
      </x:c>
      <x:c r="AH215" s="16" t="n">
        <x:v>33</x:v>
      </x:c>
      <x:c r="AI215" s="16" t="n">
        <x:v>34</x:v>
      </x:c>
      <x:c r="AJ215" s="16" t="n">
        <x:v>35</x:v>
      </x:c>
      <x:c r="AK215" s="16" t="n">
        <x:v>36</x:v>
      </x:c>
    </x:row>
    <x:row r="216" ht="18" customHeight="1">
      <x:c r="A216" s="4" t="str">
        <x:v>Qualified organic prospects</x:v>
      </x:c>
      <x:c r="B216" s="58" t="n">
        <x:f>'Scenario Inputs'!$C$5</x:f>
        <x:v>1000</x:v>
      </x:c>
      <x:c r="C216" s="58" t="n">
        <x:f>B216*(1+'Scenario Inputs'!$C$6)</x:f>
        <x:v>1120</x:v>
      </x:c>
      <x:c r="D216" s="58" t="n">
        <x:f>C216*(1+'Scenario Inputs'!$C$6)</x:f>
        <x:v>1254.4</x:v>
      </x:c>
      <x:c r="E216" s="58" t="n">
        <x:f>D216*(1+'Scenario Inputs'!$C$6)</x:f>
        <x:v>1404.9280000000003</x:v>
      </x:c>
      <x:c r="F216" s="58" t="n">
        <x:f>E216*(1+'Scenario Inputs'!$C$6)</x:f>
        <x:v>1573.5193600000005</x:v>
      </x:c>
      <x:c r="G216" s="58" t="n">
        <x:f>F216*(1+'Scenario Inputs'!$C$6)</x:f>
        <x:v>1762.3416832000007</x:v>
      </x:c>
      <x:c r="H216" s="58" t="n">
        <x:f>G216*(1+'Scenario Inputs'!$C$6)</x:f>
        <x:v>1973.822685184001</x:v>
      </x:c>
      <x:c r="I216" s="58" t="n">
        <x:f>H216*(1+'Scenario Inputs'!$C$6)</x:f>
        <x:v>2210.6814074060812</x:v>
      </x:c>
      <x:c r="J216" s="58" t="n">
        <x:f>I216*(1+'Scenario Inputs'!$C$6)</x:f>
        <x:v>2475.963176294811</x:v>
      </x:c>
      <x:c r="K216" s="58" t="n">
        <x:f>J216*(1+'Scenario Inputs'!$C$6)</x:f>
        <x:v>2773.0787574501887</x:v>
      </x:c>
      <x:c r="L216" s="58" t="n">
        <x:f>K216*(1+'Scenario Inputs'!$C$6)</x:f>
        <x:v>3105.848208344212</x:v>
      </x:c>
      <x:c r="M216" s="58" t="n">
        <x:f>L216*(1+'Scenario Inputs'!$C$6)</x:f>
        <x:v>3478.5499933455176</x:v>
      </x:c>
      <x:c r="N216" s="58" t="n">
        <x:f>M216*(1+'Scenario Inputs'!$C$7)</x:f>
        <x:v>3756.833992813159</x:v>
      </x:c>
      <x:c r="O216" s="58" t="n">
        <x:f>N216*(1+'Scenario Inputs'!$C$7)</x:f>
        <x:v>4057.3807122382123</x:v>
      </x:c>
      <x:c r="P216" s="58" t="n">
        <x:f>O216*(1+'Scenario Inputs'!$C$7)</x:f>
        <x:v>4381.97116921727</x:v>
      </x:c>
      <x:c r="Q216" s="58" t="n">
        <x:f>P216*(1+'Scenario Inputs'!$C$7)</x:f>
        <x:v>4732.5288627546515</x:v>
      </x:c>
      <x:c r="R216" s="58" t="n">
        <x:f>Q216*(1+'Scenario Inputs'!$C$7)</x:f>
        <x:v>5111.131171775024</x:v>
      </x:c>
      <x:c r="S216" s="58" t="n">
        <x:f>R216*(1+'Scenario Inputs'!$C$7)</x:f>
        <x:v>5520.021665517026</x:v>
      </x:c>
      <x:c r="T216" s="58" t="n">
        <x:f>S216*(1+'Scenario Inputs'!$C$7)</x:f>
        <x:v>5961.623398758388</x:v>
      </x:c>
      <x:c r="U216" s="58" t="n">
        <x:f>T216*(1+'Scenario Inputs'!$C$7)</x:f>
        <x:v>6438.553270659059</x:v>
      </x:c>
      <x:c r="V216" s="58" t="n">
        <x:f>U216*(1+'Scenario Inputs'!$C$7)</x:f>
        <x:v>6953.6375323117845</x:v>
      </x:c>
      <x:c r="W216" s="58" t="n">
        <x:f>V216*(1+'Scenario Inputs'!$C$7)</x:f>
        <x:v>7509.928534896728</x:v>
      </x:c>
      <x:c r="X216" s="58" t="n">
        <x:f>W216*(1+'Scenario Inputs'!$C$7)</x:f>
        <x:v>8110.722817688466</x:v>
      </x:c>
      <x:c r="Y216" s="58" t="n">
        <x:f>X216*(1+'Scenario Inputs'!$C$7)</x:f>
        <x:v>8759.580643103543</x:v>
      </x:c>
      <x:c r="Z216" s="58" t="n">
        <x:f>Y216*(1+'Scenario Inputs'!$C$8)</x:f>
        <x:v>9285.155481689757</x:v>
      </x:c>
      <x:c r="AA216" s="58" t="n">
        <x:f>Z216*(1+'Scenario Inputs'!$C$8)</x:f>
        <x:v>9842.264810591143</x:v>
      </x:c>
      <x:c r="AB216" s="58" t="n">
        <x:f>AA216*(1+'Scenario Inputs'!$C$8)</x:f>
        <x:v>10432.800699226613</x:v>
      </x:c>
      <x:c r="AC216" s="58" t="n">
        <x:f>AB216*(1+'Scenario Inputs'!$C$8)</x:f>
        <x:v>11058.76874118021</x:v>
      </x:c>
      <x:c r="AD216" s="58" t="n">
        <x:f>AC216*(1+'Scenario Inputs'!$C$8)</x:f>
        <x:v>11722.294865651023</x:v>
      </x:c>
      <x:c r="AE216" s="58" t="n">
        <x:f>AD216*(1+'Scenario Inputs'!$C$8)</x:f>
        <x:v>12425.632557590085</x:v>
      </x:c>
      <x:c r="AF216" s="58" t="n">
        <x:f>AE216*(1+'Scenario Inputs'!$C$8)</x:f>
        <x:v>13171.17051104549</x:v>
      </x:c>
      <x:c r="AG216" s="58" t="n">
        <x:f>AF216*(1+'Scenario Inputs'!$C$8)</x:f>
        <x:v>13961.44074170822</x:v>
      </x:c>
      <x:c r="AH216" s="58" t="n">
        <x:f>AG216*(1+'Scenario Inputs'!$C$8)</x:f>
        <x:v>14799.127186210715</x:v>
      </x:c>
      <x:c r="AI216" s="58" t="n">
        <x:f>AH216*(1+'Scenario Inputs'!$C$8)</x:f>
        <x:v>15687.074817383358</x:v>
      </x:c>
      <x:c r="AJ216" s="58" t="n">
        <x:f>AI216*(1+'Scenario Inputs'!$C$8)</x:f>
        <x:v>16628.29930642636</x:v>
      </x:c>
      <x:c r="AK216" s="58" t="n">
        <x:f>AJ216*(1+'Scenario Inputs'!$C$8)</x:f>
        <x:v>17625.997264811944</x:v>
      </x:c>
    </x:row>
    <x:row r="217" ht="18" customHeight="1">
      <x:c r="A217" s="4" t="str">
        <x:v>Paid media spend (INR)</x:v>
      </x:c>
      <x:c r="B217" s="60" t="n">
        <x:f>'Scenario Inputs'!$C$14</x:f>
        <x:v>6000</x:v>
      </x:c>
      <x:c r="C217" s="60" t="n">
        <x:f>'Scenario Inputs'!$C$14</x:f>
        <x:v>6000</x:v>
      </x:c>
      <x:c r="D217" s="60" t="n">
        <x:f>'Scenario Inputs'!$C$14</x:f>
        <x:v>6000</x:v>
      </x:c>
      <x:c r="E217" s="60" t="n">
        <x:f>'Scenario Inputs'!$C$15</x:f>
        <x:v>12000</x:v>
      </x:c>
      <x:c r="F217" s="60" t="n">
        <x:f>'Scenario Inputs'!$C$15</x:f>
        <x:v>12000</x:v>
      </x:c>
      <x:c r="G217" s="60" t="n">
        <x:f>'Scenario Inputs'!$C$15</x:f>
        <x:v>12000</x:v>
      </x:c>
      <x:c r="H217" s="60" t="n">
        <x:f>'Scenario Inputs'!$C$16</x:f>
        <x:v>25000</x:v>
      </x:c>
      <x:c r="I217" s="60" t="n">
        <x:f>'Scenario Inputs'!$C$16</x:f>
        <x:v>25000</x:v>
      </x:c>
      <x:c r="J217" s="60" t="n">
        <x:f>'Scenario Inputs'!$C$16</x:f>
        <x:v>25000</x:v>
      </x:c>
      <x:c r="K217" s="60" t="n">
        <x:f>'Scenario Inputs'!$C$16</x:f>
        <x:v>25000</x:v>
      </x:c>
      <x:c r="L217" s="60" t="n">
        <x:f>'Scenario Inputs'!$C$16</x:f>
        <x:v>25000</x:v>
      </x:c>
      <x:c r="M217" s="60" t="n">
        <x:f>'Scenario Inputs'!$C$16</x:f>
        <x:v>25000</x:v>
      </x:c>
      <x:c r="N217" s="60" t="n">
        <x:f>'Scenario Inputs'!$C$17</x:f>
        <x:v>50000</x:v>
      </x:c>
      <x:c r="O217" s="60" t="n">
        <x:f>'Scenario Inputs'!$C$17</x:f>
        <x:v>50000</x:v>
      </x:c>
      <x:c r="P217" s="60" t="n">
        <x:f>'Scenario Inputs'!$C$17</x:f>
        <x:v>50000</x:v>
      </x:c>
      <x:c r="Q217" s="60" t="n">
        <x:f>'Scenario Inputs'!$C$17</x:f>
        <x:v>50000</x:v>
      </x:c>
      <x:c r="R217" s="60" t="n">
        <x:f>'Scenario Inputs'!$C$17</x:f>
        <x:v>50000</x:v>
      </x:c>
      <x:c r="S217" s="60" t="n">
        <x:f>'Scenario Inputs'!$C$17</x:f>
        <x:v>50000</x:v>
      </x:c>
      <x:c r="T217" s="60" t="n">
        <x:f>'Scenario Inputs'!$C$18</x:f>
        <x:v>75000</x:v>
      </x:c>
      <x:c r="U217" s="60" t="n">
        <x:f>'Scenario Inputs'!$C$18</x:f>
        <x:v>75000</x:v>
      </x:c>
      <x:c r="V217" s="60" t="n">
        <x:f>'Scenario Inputs'!$C$18</x:f>
        <x:v>75000</x:v>
      </x:c>
      <x:c r="W217" s="60" t="n">
        <x:f>'Scenario Inputs'!$C$18</x:f>
        <x:v>75000</x:v>
      </x:c>
      <x:c r="X217" s="60" t="n">
        <x:f>'Scenario Inputs'!$C$18</x:f>
        <x:v>75000</x:v>
      </x:c>
      <x:c r="Y217" s="60" t="n">
        <x:f>'Scenario Inputs'!$C$18</x:f>
        <x:v>75000</x:v>
      </x:c>
      <x:c r="Z217" s="60" t="n">
        <x:f>'Scenario Inputs'!$C$19</x:f>
        <x:v>100000</x:v>
      </x:c>
      <x:c r="AA217" s="60" t="n">
        <x:f>'Scenario Inputs'!$C$19</x:f>
        <x:v>100000</x:v>
      </x:c>
      <x:c r="AB217" s="60" t="n">
        <x:f>'Scenario Inputs'!$C$19</x:f>
        <x:v>100000</x:v>
      </x:c>
      <x:c r="AC217" s="60" t="n">
        <x:f>'Scenario Inputs'!$C$19</x:f>
        <x:v>100000</x:v>
      </x:c>
      <x:c r="AD217" s="60" t="n">
        <x:f>'Scenario Inputs'!$C$19</x:f>
        <x:v>100000</x:v>
      </x:c>
      <x:c r="AE217" s="60" t="n">
        <x:f>'Scenario Inputs'!$C$19</x:f>
        <x:v>100000</x:v>
      </x:c>
      <x:c r="AF217" s="60" t="n">
        <x:f>'Scenario Inputs'!$C$20</x:f>
        <x:v>125000</x:v>
      </x:c>
      <x:c r="AG217" s="60" t="n">
        <x:f>'Scenario Inputs'!$C$20</x:f>
        <x:v>125000</x:v>
      </x:c>
      <x:c r="AH217" s="60" t="n">
        <x:f>'Scenario Inputs'!$C$20</x:f>
        <x:v>125000</x:v>
      </x:c>
      <x:c r="AI217" s="60" t="n">
        <x:f>'Scenario Inputs'!$C$20</x:f>
        <x:v>125000</x:v>
      </x:c>
      <x:c r="AJ217" s="60" t="n">
        <x:f>'Scenario Inputs'!$C$20</x:f>
        <x:v>125000</x:v>
      </x:c>
      <x:c r="AK217" s="60" t="n">
        <x:f>'Scenario Inputs'!$C$20</x:f>
        <x:v>125000</x:v>
      </x:c>
    </x:row>
    <x:row r="218" ht="18" customHeight="1">
      <x:c r="A218" s="4" t="str">
        <x:v>Paid CPC (INR)</x:v>
      </x:c>
      <x:c r="B218" s="64" t="n">
        <x:f>'Scenario Inputs'!$C$10*(1+'Scenario Inputs'!$C$11)^0</x:f>
        <x:v>15</x:v>
      </x:c>
      <x:c r="C218" s="64" t="n">
        <x:f>'Scenario Inputs'!$C$10*(1+'Scenario Inputs'!$C$11)^0</x:f>
        <x:v>15</x:v>
      </x:c>
      <x:c r="D218" s="64" t="n">
        <x:f>'Scenario Inputs'!$C$10*(1+'Scenario Inputs'!$C$11)^0</x:f>
        <x:v>15</x:v>
      </x:c>
      <x:c r="E218" s="64" t="n">
        <x:f>'Scenario Inputs'!$C$10*(1+'Scenario Inputs'!$C$11)^0</x:f>
        <x:v>15</x:v>
      </x:c>
      <x:c r="F218" s="64" t="n">
        <x:f>'Scenario Inputs'!$C$10*(1+'Scenario Inputs'!$C$11)^0</x:f>
        <x:v>15</x:v>
      </x:c>
      <x:c r="G218" s="64" t="n">
        <x:f>'Scenario Inputs'!$C$10*(1+'Scenario Inputs'!$C$11)^0</x:f>
        <x:v>15</x:v>
      </x:c>
      <x:c r="H218" s="64" t="n">
        <x:f>'Scenario Inputs'!$C$10*(1+'Scenario Inputs'!$C$11)^0</x:f>
        <x:v>15</x:v>
      </x:c>
      <x:c r="I218" s="64" t="n">
        <x:f>'Scenario Inputs'!$C$10*(1+'Scenario Inputs'!$C$11)^0</x:f>
        <x:v>15</x:v>
      </x:c>
      <x:c r="J218" s="64" t="n">
        <x:f>'Scenario Inputs'!$C$10*(1+'Scenario Inputs'!$C$11)^0</x:f>
        <x:v>15</x:v>
      </x:c>
      <x:c r="K218" s="64" t="n">
        <x:f>'Scenario Inputs'!$C$10*(1+'Scenario Inputs'!$C$11)^0</x:f>
        <x:v>15</x:v>
      </x:c>
      <x:c r="L218" s="64" t="n">
        <x:f>'Scenario Inputs'!$C$10*(1+'Scenario Inputs'!$C$11)^0</x:f>
        <x:v>15</x:v>
      </x:c>
      <x:c r="M218" s="64" t="n">
        <x:f>'Scenario Inputs'!$C$10*(1+'Scenario Inputs'!$C$11)^0</x:f>
        <x:v>15</x:v>
      </x:c>
      <x:c r="N218" s="64" t="n">
        <x:f>'Scenario Inputs'!$C$10*(1+'Scenario Inputs'!$C$11)^1</x:f>
        <x:v>16.5</x:v>
      </x:c>
      <x:c r="O218" s="64" t="n">
        <x:f>'Scenario Inputs'!$C$10*(1+'Scenario Inputs'!$C$11)^1</x:f>
        <x:v>16.5</x:v>
      </x:c>
      <x:c r="P218" s="64" t="n">
        <x:f>'Scenario Inputs'!$C$10*(1+'Scenario Inputs'!$C$11)^1</x:f>
        <x:v>16.5</x:v>
      </x:c>
      <x:c r="Q218" s="64" t="n">
        <x:f>'Scenario Inputs'!$C$10*(1+'Scenario Inputs'!$C$11)^1</x:f>
        <x:v>16.5</x:v>
      </x:c>
      <x:c r="R218" s="64" t="n">
        <x:f>'Scenario Inputs'!$C$10*(1+'Scenario Inputs'!$C$11)^1</x:f>
        <x:v>16.5</x:v>
      </x:c>
      <x:c r="S218" s="64" t="n">
        <x:f>'Scenario Inputs'!$C$10*(1+'Scenario Inputs'!$C$11)^1</x:f>
        <x:v>16.5</x:v>
      </x:c>
      <x:c r="T218" s="64" t="n">
        <x:f>'Scenario Inputs'!$C$10*(1+'Scenario Inputs'!$C$11)^1</x:f>
        <x:v>16.5</x:v>
      </x:c>
      <x:c r="U218" s="64" t="n">
        <x:f>'Scenario Inputs'!$C$10*(1+'Scenario Inputs'!$C$11)^1</x:f>
        <x:v>16.5</x:v>
      </x:c>
      <x:c r="V218" s="64" t="n">
        <x:f>'Scenario Inputs'!$C$10*(1+'Scenario Inputs'!$C$11)^1</x:f>
        <x:v>16.5</x:v>
      </x:c>
      <x:c r="W218" s="64" t="n">
        <x:f>'Scenario Inputs'!$C$10*(1+'Scenario Inputs'!$C$11)^1</x:f>
        <x:v>16.5</x:v>
      </x:c>
      <x:c r="X218" s="64" t="n">
        <x:f>'Scenario Inputs'!$C$10*(1+'Scenario Inputs'!$C$11)^1</x:f>
        <x:v>16.5</x:v>
      </x:c>
      <x:c r="Y218" s="64" t="n">
        <x:f>'Scenario Inputs'!$C$10*(1+'Scenario Inputs'!$C$11)^1</x:f>
        <x:v>16.5</x:v>
      </x:c>
      <x:c r="Z218" s="64" t="n">
        <x:f>'Scenario Inputs'!$C$10*(1+'Scenario Inputs'!$C$11)^2</x:f>
        <x:v>18.150000000000002</x:v>
      </x:c>
      <x:c r="AA218" s="64" t="n">
        <x:f>'Scenario Inputs'!$C$10*(1+'Scenario Inputs'!$C$11)^2</x:f>
        <x:v>18.150000000000002</x:v>
      </x:c>
      <x:c r="AB218" s="64" t="n">
        <x:f>'Scenario Inputs'!$C$10*(1+'Scenario Inputs'!$C$11)^2</x:f>
        <x:v>18.150000000000002</x:v>
      </x:c>
      <x:c r="AC218" s="64" t="n">
        <x:f>'Scenario Inputs'!$C$10*(1+'Scenario Inputs'!$C$11)^2</x:f>
        <x:v>18.150000000000002</x:v>
      </x:c>
      <x:c r="AD218" s="64" t="n">
        <x:f>'Scenario Inputs'!$C$10*(1+'Scenario Inputs'!$C$11)^2</x:f>
        <x:v>18.150000000000002</x:v>
      </x:c>
      <x:c r="AE218" s="64" t="n">
        <x:f>'Scenario Inputs'!$C$10*(1+'Scenario Inputs'!$C$11)^2</x:f>
        <x:v>18.150000000000002</x:v>
      </x:c>
      <x:c r="AF218" s="64" t="n">
        <x:f>'Scenario Inputs'!$C$10*(1+'Scenario Inputs'!$C$11)^2</x:f>
        <x:v>18.150000000000002</x:v>
      </x:c>
      <x:c r="AG218" s="64" t="n">
        <x:f>'Scenario Inputs'!$C$10*(1+'Scenario Inputs'!$C$11)^2</x:f>
        <x:v>18.150000000000002</x:v>
      </x:c>
      <x:c r="AH218" s="64" t="n">
        <x:f>'Scenario Inputs'!$C$10*(1+'Scenario Inputs'!$C$11)^2</x:f>
        <x:v>18.150000000000002</x:v>
      </x:c>
      <x:c r="AI218" s="64" t="n">
        <x:f>'Scenario Inputs'!$C$10*(1+'Scenario Inputs'!$C$11)^2</x:f>
        <x:v>18.150000000000002</x:v>
      </x:c>
      <x:c r="AJ218" s="64" t="n">
        <x:f>'Scenario Inputs'!$C$10*(1+'Scenario Inputs'!$C$11)^2</x:f>
        <x:v>18.150000000000002</x:v>
      </x:c>
      <x:c r="AK218" s="64" t="n">
        <x:f>'Scenario Inputs'!$C$10*(1+'Scenario Inputs'!$C$11)^2</x:f>
        <x:v>18.150000000000002</x:v>
      </x:c>
    </x:row>
    <x:row r="219" ht="18" customHeight="1">
      <x:c r="A219" s="4" t="str">
        <x:v>Paid clicks / prospect equivalents</x:v>
      </x:c>
      <x:c r="B219" s="58" t="n">
        <x:f>B217/B218</x:f>
        <x:v>400</x:v>
      </x:c>
      <x:c r="C219" s="58" t="n">
        <x:f>C217/C218</x:f>
        <x:v>400</x:v>
      </x:c>
      <x:c r="D219" s="58" t="n">
        <x:f>D217/D218</x:f>
        <x:v>400</x:v>
      </x:c>
      <x:c r="E219" s="58" t="n">
        <x:f>E217/E218</x:f>
        <x:v>800</x:v>
      </x:c>
      <x:c r="F219" s="58" t="n">
        <x:f>F217/F218</x:f>
        <x:v>800</x:v>
      </x:c>
      <x:c r="G219" s="58" t="n">
        <x:f>G217/G218</x:f>
        <x:v>800</x:v>
      </x:c>
      <x:c r="H219" s="58" t="n">
        <x:f>H217/H218</x:f>
        <x:v>1666.6666666666667</x:v>
      </x:c>
      <x:c r="I219" s="58" t="n">
        <x:f>I217/I218</x:f>
        <x:v>1666.6666666666667</x:v>
      </x:c>
      <x:c r="J219" s="58" t="n">
        <x:f>J217/J218</x:f>
        <x:v>1666.6666666666667</x:v>
      </x:c>
      <x:c r="K219" s="58" t="n">
        <x:f>K217/K218</x:f>
        <x:v>1666.6666666666667</x:v>
      </x:c>
      <x:c r="L219" s="58" t="n">
        <x:f>L217/L218</x:f>
        <x:v>1666.6666666666667</x:v>
      </x:c>
      <x:c r="M219" s="58" t="n">
        <x:f>M217/M218</x:f>
        <x:v>1666.6666666666667</x:v>
      </x:c>
      <x:c r="N219" s="58" t="n">
        <x:f>N217/N218</x:f>
        <x:v>3030.3030303030305</x:v>
      </x:c>
      <x:c r="O219" s="58" t="n">
        <x:f>O217/O218</x:f>
        <x:v>3030.3030303030305</x:v>
      </x:c>
      <x:c r="P219" s="58" t="n">
        <x:f>P217/P218</x:f>
        <x:v>3030.3030303030305</x:v>
      </x:c>
      <x:c r="Q219" s="58" t="n">
        <x:f>Q217/Q218</x:f>
        <x:v>3030.3030303030305</x:v>
      </x:c>
      <x:c r="R219" s="58" t="n">
        <x:f>R217/R218</x:f>
        <x:v>3030.3030303030305</x:v>
      </x:c>
      <x:c r="S219" s="58" t="n">
        <x:f>S217/S218</x:f>
        <x:v>3030.3030303030305</x:v>
      </x:c>
      <x:c r="T219" s="58" t="n">
        <x:f>T217/T218</x:f>
        <x:v>4545.454545454545</x:v>
      </x:c>
      <x:c r="U219" s="58" t="n">
        <x:f>U217/U218</x:f>
        <x:v>4545.454545454545</x:v>
      </x:c>
      <x:c r="V219" s="58" t="n">
        <x:f>V217/V218</x:f>
        <x:v>4545.454545454545</x:v>
      </x:c>
      <x:c r="W219" s="58" t="n">
        <x:f>W217/W218</x:f>
        <x:v>4545.454545454545</x:v>
      </x:c>
      <x:c r="X219" s="58" t="n">
        <x:f>X217/X218</x:f>
        <x:v>4545.454545454545</x:v>
      </x:c>
      <x:c r="Y219" s="58" t="n">
        <x:f>Y217/Y218</x:f>
        <x:v>4545.454545454545</x:v>
      </x:c>
      <x:c r="Z219" s="58" t="n">
        <x:f>Z217/Z218</x:f>
        <x:v>5509.641873278236</x:v>
      </x:c>
      <x:c r="AA219" s="58" t="n">
        <x:f>AA217/AA218</x:f>
        <x:v>5509.641873278236</x:v>
      </x:c>
      <x:c r="AB219" s="58" t="n">
        <x:f>AB217/AB218</x:f>
        <x:v>5509.641873278236</x:v>
      </x:c>
      <x:c r="AC219" s="58" t="n">
        <x:f>AC217/AC218</x:f>
        <x:v>5509.641873278236</x:v>
      </x:c>
      <x:c r="AD219" s="58" t="n">
        <x:f>AD217/AD218</x:f>
        <x:v>5509.641873278236</x:v>
      </x:c>
      <x:c r="AE219" s="58" t="n">
        <x:f>AE217/AE218</x:f>
        <x:v>5509.641873278236</x:v>
      </x:c>
      <x:c r="AF219" s="58" t="n">
        <x:f>AF217/AF218</x:f>
        <x:v>6887.052341597795</x:v>
      </x:c>
      <x:c r="AG219" s="58" t="n">
        <x:f>AG217/AG218</x:f>
        <x:v>6887.052341597795</x:v>
      </x:c>
      <x:c r="AH219" s="58" t="n">
        <x:f>AH217/AH218</x:f>
        <x:v>6887.052341597795</x:v>
      </x:c>
      <x:c r="AI219" s="58" t="n">
        <x:f>AI217/AI218</x:f>
        <x:v>6887.052341597795</x:v>
      </x:c>
      <x:c r="AJ219" s="58" t="n">
        <x:f>AJ217/AJ218</x:f>
        <x:v>6887.052341597795</x:v>
      </x:c>
      <x:c r="AK219" s="58" t="n">
        <x:f>AK217/AK218</x:f>
        <x:v>6887.052341597795</x:v>
      </x:c>
    </x:row>
    <x:row r="220" ht="18" customHeight="1">
      <x:c r="A220" s="4" t="str">
        <x:v>New gross buyers: organic</x:v>
      </x:c>
      <x:c r="B220" s="58" t="n">
        <x:f>B216*'Scenario Inputs'!$C$9</x:f>
        <x:v>15</x:v>
      </x:c>
      <x:c r="C220" s="58" t="n">
        <x:f>C216*'Scenario Inputs'!$C$9</x:f>
        <x:v>16.8</x:v>
      </x:c>
      <x:c r="D220" s="58" t="n">
        <x:f>D216*'Scenario Inputs'!$C$9</x:f>
        <x:v>18.816</x:v>
      </x:c>
      <x:c r="E220" s="58" t="n">
        <x:f>E216*'Scenario Inputs'!$C$9</x:f>
        <x:v>21.073920000000005</x:v>
      </x:c>
      <x:c r="F220" s="58" t="n">
        <x:f>F216*'Scenario Inputs'!$C$9</x:f>
        <x:v>23.602790400000007</x:v>
      </x:c>
      <x:c r="G220" s="58" t="n">
        <x:f>G216*'Scenario Inputs'!$C$9</x:f>
        <x:v>26.43512524800001</x:v>
      </x:c>
      <x:c r="H220" s="58" t="n">
        <x:f>H216*'Scenario Inputs'!$C$9</x:f>
        <x:v>29.607340277760017</x:v>
      </x:c>
      <x:c r="I220" s="58" t="n">
        <x:f>I216*'Scenario Inputs'!$C$9</x:f>
        <x:v>33.16022111109122</x:v>
      </x:c>
      <x:c r="J220" s="58" t="n">
        <x:f>J216*'Scenario Inputs'!$C$9</x:f>
        <x:v>37.13944764442216</x:v>
      </x:c>
      <x:c r="K220" s="58" t="n">
        <x:f>K216*'Scenario Inputs'!$C$9</x:f>
        <x:v>41.596181361752826</x:v>
      </x:c>
      <x:c r="L220" s="58" t="n">
        <x:f>L216*'Scenario Inputs'!$C$9</x:f>
        <x:v>46.58772312516317</x:v>
      </x:c>
      <x:c r="M220" s="58" t="n">
        <x:f>M216*'Scenario Inputs'!$C$9</x:f>
        <x:v>52.17824990018276</x:v>
      </x:c>
      <x:c r="N220" s="58" t="n">
        <x:f>N216*'Scenario Inputs'!$C$9</x:f>
        <x:v>56.35250989219738</x:v>
      </x:c>
      <x:c r="O220" s="58" t="n">
        <x:f>O216*'Scenario Inputs'!$C$9</x:f>
        <x:v>60.86071068357318</x:v>
      </x:c>
      <x:c r="P220" s="58" t="n">
        <x:f>P216*'Scenario Inputs'!$C$9</x:f>
        <x:v>65.72956753825905</x:v>
      </x:c>
      <x:c r="Q220" s="58" t="n">
        <x:f>Q216*'Scenario Inputs'!$C$9</x:f>
        <x:v>70.98793294131977</x:v>
      </x:c>
      <x:c r="R220" s="58" t="n">
        <x:f>R216*'Scenario Inputs'!$C$9</x:f>
        <x:v>76.66696757662535</x:v>
      </x:c>
      <x:c r="S220" s="58" t="n">
        <x:f>S216*'Scenario Inputs'!$C$9</x:f>
        <x:v>82.80032498275538</x:v>
      </x:c>
      <x:c r="T220" s="58" t="n">
        <x:f>T216*'Scenario Inputs'!$C$9</x:f>
        <x:v>89.42435098137582</x:v>
      </x:c>
      <x:c r="U220" s="58" t="n">
        <x:f>U216*'Scenario Inputs'!$C$9</x:f>
        <x:v>96.5782990598859</x:v>
      </x:c>
      <x:c r="V220" s="58" t="n">
        <x:f>V216*'Scenario Inputs'!$C$9</x:f>
        <x:v>104.30456298467676</x:v>
      </x:c>
      <x:c r="W220" s="58" t="n">
        <x:f>W216*'Scenario Inputs'!$C$9</x:f>
        <x:v>112.6489280234509</x:v>
      </x:c>
      <x:c r="X220" s="58" t="n">
        <x:f>X216*'Scenario Inputs'!$C$9</x:f>
        <x:v>121.66084226532699</x:v>
      </x:c>
      <x:c r="Y220" s="58" t="n">
        <x:f>Y216*'Scenario Inputs'!$C$9</x:f>
        <x:v>131.39370964655313</x:v>
      </x:c>
      <x:c r="Z220" s="58" t="n">
        <x:f>Z216*'Scenario Inputs'!$C$9</x:f>
        <x:v>139.27733222534636</x:v>
      </x:c>
      <x:c r="AA220" s="58" t="n">
        <x:f>AA216*'Scenario Inputs'!$C$9</x:f>
        <x:v>147.63397215886715</x:v>
      </x:c>
      <x:c r="AB220" s="58" t="n">
        <x:f>AB216*'Scenario Inputs'!$C$9</x:f>
        <x:v>156.4920104883992</x:v>
      </x:c>
      <x:c r="AC220" s="58" t="n">
        <x:f>AC216*'Scenario Inputs'!$C$9</x:f>
        <x:v>165.88153111770316</x:v>
      </x:c>
      <x:c r="AD220" s="58" t="n">
        <x:f>AD216*'Scenario Inputs'!$C$9</x:f>
        <x:v>175.83442298476535</x:v>
      </x:c>
      <x:c r="AE220" s="58" t="n">
        <x:f>AE216*'Scenario Inputs'!$C$9</x:f>
        <x:v>186.38448836385126</x:v>
      </x:c>
      <x:c r="AF220" s="58" t="n">
        <x:f>AF216*'Scenario Inputs'!$C$9</x:f>
        <x:v>197.56755766568233</x:v>
      </x:c>
      <x:c r="AG220" s="58" t="n">
        <x:f>AG216*'Scenario Inputs'!$C$9</x:f>
        <x:v>209.4216111256233</x:v>
      </x:c>
      <x:c r="AH220" s="58" t="n">
        <x:f>AH216*'Scenario Inputs'!$C$9</x:f>
        <x:v>221.98690779316073</x:v>
      </x:c>
      <x:c r="AI220" s="58" t="n">
        <x:f>AI216*'Scenario Inputs'!$C$9</x:f>
        <x:v>235.30612226075036</x:v>
      </x:c>
      <x:c r="AJ220" s="58" t="n">
        <x:f>AJ216*'Scenario Inputs'!$C$9</x:f>
        <x:v>249.4244895963954</x:v>
      </x:c>
      <x:c r="AK220" s="58" t="n">
        <x:f>AK216*'Scenario Inputs'!$C$9</x:f>
        <x:v>264.38995897217916</x:v>
      </x:c>
    </x:row>
    <x:row r="221" ht="18" customHeight="1">
      <x:c r="A221" s="4" t="str">
        <x:v>New gross buyers: paid</x:v>
      </x:c>
      <x:c r="B221" s="58" t="n">
        <x:f>B219*'Scenario Inputs'!$C$12</x:f>
        <x:v>8</x:v>
      </x:c>
      <x:c r="C221" s="58" t="n">
        <x:f>C219*'Scenario Inputs'!$C$12</x:f>
        <x:v>8</x:v>
      </x:c>
      <x:c r="D221" s="58" t="n">
        <x:f>D219*'Scenario Inputs'!$C$12</x:f>
        <x:v>8</x:v>
      </x:c>
      <x:c r="E221" s="58" t="n">
        <x:f>E219*'Scenario Inputs'!$C$12</x:f>
        <x:v>16</x:v>
      </x:c>
      <x:c r="F221" s="58" t="n">
        <x:f>F219*'Scenario Inputs'!$C$12</x:f>
        <x:v>16</x:v>
      </x:c>
      <x:c r="G221" s="58" t="n">
        <x:f>G219*'Scenario Inputs'!$C$12</x:f>
        <x:v>16</x:v>
      </x:c>
      <x:c r="H221" s="58" t="n">
        <x:f>H219*'Scenario Inputs'!$C$12</x:f>
        <x:v>33.333333333333336</x:v>
      </x:c>
      <x:c r="I221" s="58" t="n">
        <x:f>I219*'Scenario Inputs'!$C$12</x:f>
        <x:v>33.333333333333336</x:v>
      </x:c>
      <x:c r="J221" s="58" t="n">
        <x:f>J219*'Scenario Inputs'!$C$12</x:f>
        <x:v>33.333333333333336</x:v>
      </x:c>
      <x:c r="K221" s="58" t="n">
        <x:f>K219*'Scenario Inputs'!$C$12</x:f>
        <x:v>33.333333333333336</x:v>
      </x:c>
      <x:c r="L221" s="58" t="n">
        <x:f>L219*'Scenario Inputs'!$C$12</x:f>
        <x:v>33.333333333333336</x:v>
      </x:c>
      <x:c r="M221" s="58" t="n">
        <x:f>M219*'Scenario Inputs'!$C$12</x:f>
        <x:v>33.333333333333336</x:v>
      </x:c>
      <x:c r="N221" s="58" t="n">
        <x:f>N219*'Scenario Inputs'!$C$12</x:f>
        <x:v>60.60606060606061</x:v>
      </x:c>
      <x:c r="O221" s="58" t="n">
        <x:f>O219*'Scenario Inputs'!$C$12</x:f>
        <x:v>60.60606060606061</x:v>
      </x:c>
      <x:c r="P221" s="58" t="n">
        <x:f>P219*'Scenario Inputs'!$C$12</x:f>
        <x:v>60.60606060606061</x:v>
      </x:c>
      <x:c r="Q221" s="58" t="n">
        <x:f>Q219*'Scenario Inputs'!$C$12</x:f>
        <x:v>60.60606060606061</x:v>
      </x:c>
      <x:c r="R221" s="58" t="n">
        <x:f>R219*'Scenario Inputs'!$C$12</x:f>
        <x:v>60.60606060606061</x:v>
      </x:c>
      <x:c r="S221" s="58" t="n">
        <x:f>S219*'Scenario Inputs'!$C$12</x:f>
        <x:v>60.60606060606061</x:v>
      </x:c>
      <x:c r="T221" s="58" t="n">
        <x:f>T219*'Scenario Inputs'!$C$12</x:f>
        <x:v>90.9090909090909</x:v>
      </x:c>
      <x:c r="U221" s="58" t="n">
        <x:f>U219*'Scenario Inputs'!$C$12</x:f>
        <x:v>90.9090909090909</x:v>
      </x:c>
      <x:c r="V221" s="58" t="n">
        <x:f>V219*'Scenario Inputs'!$C$12</x:f>
        <x:v>90.9090909090909</x:v>
      </x:c>
      <x:c r="W221" s="58" t="n">
        <x:f>W219*'Scenario Inputs'!$C$12</x:f>
        <x:v>90.9090909090909</x:v>
      </x:c>
      <x:c r="X221" s="58" t="n">
        <x:f>X219*'Scenario Inputs'!$C$12</x:f>
        <x:v>90.9090909090909</x:v>
      </x:c>
      <x:c r="Y221" s="58" t="n">
        <x:f>Y219*'Scenario Inputs'!$C$12</x:f>
        <x:v>90.9090909090909</x:v>
      </x:c>
      <x:c r="Z221" s="58" t="n">
        <x:f>Z219*'Scenario Inputs'!$C$12</x:f>
        <x:v>110.19283746556472</x:v>
      </x:c>
      <x:c r="AA221" s="58" t="n">
        <x:f>AA219*'Scenario Inputs'!$C$12</x:f>
        <x:v>110.19283746556472</x:v>
      </x:c>
      <x:c r="AB221" s="58" t="n">
        <x:f>AB219*'Scenario Inputs'!$C$12</x:f>
        <x:v>110.19283746556472</x:v>
      </x:c>
      <x:c r="AC221" s="58" t="n">
        <x:f>AC219*'Scenario Inputs'!$C$12</x:f>
        <x:v>110.19283746556472</x:v>
      </x:c>
      <x:c r="AD221" s="58" t="n">
        <x:f>AD219*'Scenario Inputs'!$C$12</x:f>
        <x:v>110.19283746556472</x:v>
      </x:c>
      <x:c r="AE221" s="58" t="n">
        <x:f>AE219*'Scenario Inputs'!$C$12</x:f>
        <x:v>110.19283746556472</x:v>
      </x:c>
      <x:c r="AF221" s="58" t="n">
        <x:f>AF219*'Scenario Inputs'!$C$12</x:f>
        <x:v>137.7410468319559</x:v>
      </x:c>
      <x:c r="AG221" s="58" t="n">
        <x:f>AG219*'Scenario Inputs'!$C$12</x:f>
        <x:v>137.7410468319559</x:v>
      </x:c>
      <x:c r="AH221" s="58" t="n">
        <x:f>AH219*'Scenario Inputs'!$C$12</x:f>
        <x:v>137.7410468319559</x:v>
      </x:c>
      <x:c r="AI221" s="58" t="n">
        <x:f>AI219*'Scenario Inputs'!$C$12</x:f>
        <x:v>137.7410468319559</x:v>
      </x:c>
      <x:c r="AJ221" s="58" t="n">
        <x:f>AJ219*'Scenario Inputs'!$C$12</x:f>
        <x:v>137.7410468319559</x:v>
      </x:c>
      <x:c r="AK221" s="58" t="n">
        <x:f>AK219*'Scenario Inputs'!$C$12</x:f>
        <x:v>137.7410468319559</x:v>
      </x:c>
    </x:row>
    <x:row r="222" ht="18" customHeight="1">
      <x:c r="A222" s="4" t="str">
        <x:v>Total new gross buyers</x:v>
      </x:c>
      <x:c r="B222" s="58" t="n">
        <x:f>SUM(B220:B221)</x:f>
        <x:v>23</x:v>
      </x:c>
      <x:c r="C222" s="58" t="n">
        <x:f>SUM(C220:C221)</x:f>
        <x:v>24.8</x:v>
      </x:c>
      <x:c r="D222" s="58" t="n">
        <x:f>SUM(D220:D221)</x:f>
        <x:v>26.816</x:v>
      </x:c>
      <x:c r="E222" s="58" t="n">
        <x:f>SUM(E220:E221)</x:f>
        <x:v>37.07392</x:v>
      </x:c>
      <x:c r="F222" s="58" t="n">
        <x:f>SUM(F220:F221)</x:f>
        <x:v>39.6027904</x:v>
      </x:c>
      <x:c r="G222" s="58" t="n">
        <x:f>SUM(G220:G221)</x:f>
        <x:v>42.435125248000006</x:v>
      </x:c>
      <x:c r="H222" s="58" t="n">
        <x:f>SUM(H220:H221)</x:f>
        <x:v>62.94067361109335</x:v>
      </x:c>
      <x:c r="I222" s="58" t="n">
        <x:f>SUM(I220:I221)</x:f>
        <x:v>66.49355444442455</x:v>
      </x:c>
      <x:c r="J222" s="58" t="n">
        <x:f>SUM(J220:J221)</x:f>
        <x:v>70.47278097775549</x:v>
      </x:c>
      <x:c r="K222" s="58" t="n">
        <x:f>SUM(K220:K221)</x:f>
        <x:v>74.92951469508617</x:v>
      </x:c>
      <x:c r="L222" s="58" t="n">
        <x:f>SUM(L220:L221)</x:f>
        <x:v>79.92105645849651</x:v>
      </x:c>
      <x:c r="M222" s="58" t="n">
        <x:f>SUM(M220:M221)</x:f>
        <x:v>85.51158323351609</x:v>
      </x:c>
      <x:c r="N222" s="58" t="n">
        <x:f>SUM(N220:N221)</x:f>
        <x:v>116.95857049825798</x:v>
      </x:c>
      <x:c r="O222" s="58" t="n">
        <x:f>SUM(O220:O221)</x:f>
        <x:v>121.46677128963378</x:v>
      </x:c>
      <x:c r="P222" s="58" t="n">
        <x:f>SUM(P220:P221)</x:f>
        <x:v>126.33562814431966</x:v>
      </x:c>
      <x:c r="Q222" s="58" t="n">
        <x:f>SUM(Q220:Q221)</x:f>
        <x:v>131.59399354738036</x:v>
      </x:c>
      <x:c r="R222" s="58" t="n">
        <x:f>SUM(R220:R221)</x:f>
        <x:v>137.27302818268595</x:v>
      </x:c>
      <x:c r="S222" s="58" t="n">
        <x:f>SUM(S220:S221)</x:f>
        <x:v>143.406385588816</x:v>
      </x:c>
      <x:c r="T222" s="58" t="n">
        <x:f>SUM(T220:T221)</x:f>
        <x:v>180.33344189046673</x:v>
      </x:c>
      <x:c r="U222" s="58" t="n">
        <x:f>SUM(U220:U221)</x:f>
        <x:v>187.4873899689768</x:v>
      </x:c>
      <x:c r="V222" s="58" t="n">
        <x:f>SUM(V220:V221)</x:f>
        <x:v>195.21365389376768</x:v>
      </x:c>
      <x:c r="W222" s="58" t="n">
        <x:f>SUM(W220:W221)</x:f>
        <x:v>203.5580189325418</x:v>
      </x:c>
      <x:c r="X222" s="58" t="n">
        <x:f>SUM(X220:X221)</x:f>
        <x:v>212.56993317441788</x:v>
      </x:c>
      <x:c r="Y222" s="58" t="n">
        <x:f>SUM(Y220:Y221)</x:f>
        <x:v>222.30280055564404</x:v>
      </x:c>
      <x:c r="Z222" s="58" t="n">
        <x:f>SUM(Z220:Z221)</x:f>
        <x:v>249.47016969091106</x:v>
      </x:c>
      <x:c r="AA222" s="58" t="n">
        <x:f>SUM(AA220:AA221)</x:f>
        <x:v>257.82680962443186</x:v>
      </x:c>
      <x:c r="AB222" s="58" t="n">
        <x:f>SUM(AB220:AB221)</x:f>
        <x:v>266.6848479539639</x:v>
      </x:c>
      <x:c r="AC222" s="58" t="n">
        <x:f>SUM(AC220:AC221)</x:f>
        <x:v>276.07436858326787</x:v>
      </x:c>
      <x:c r="AD222" s="58" t="n">
        <x:f>SUM(AD220:AD221)</x:f>
        <x:v>286.02726045033006</x:v>
      </x:c>
      <x:c r="AE222" s="58" t="n">
        <x:f>SUM(AE220:AE221)</x:f>
        <x:v>296.577325829416</x:v>
      </x:c>
      <x:c r="AF222" s="58" t="n">
        <x:f>SUM(AF220:AF221)</x:f>
        <x:v>335.30860449763827</x:v>
      </x:c>
      <x:c r="AG222" s="58" t="n">
        <x:f>SUM(AG220:AG221)</x:f>
        <x:v>347.1626579575792</x:v>
      </x:c>
      <x:c r="AH222" s="58" t="n">
        <x:f>SUM(AH220:AH221)</x:f>
        <x:v>359.72795462511664</x:v>
      </x:c>
      <x:c r="AI222" s="58" t="n">
        <x:f>SUM(AI220:AI221)</x:f>
        <x:v>373.04716909270627</x:v>
      </x:c>
      <x:c r="AJ222" s="58" t="n">
        <x:f>SUM(AJ220:AJ221)</x:f>
        <x:v>387.1655364283513</x:v>
      </x:c>
      <x:c r="AK222" s="58" t="n">
        <x:f>SUM(AK220:AK221)</x:f>
        <x:v>402.13100580413504</x:v>
      </x:c>
    </x:row>
    <x:row r="223" ht="18" customHeight="1">
      <x:c r="A223" s="4" t="str">
        <x:v>New buyers after refunds</x:v>
      </x:c>
      <x:c r="B223" s="58" t="n">
        <x:f>B222*(1-'Scenario Inputs'!$C$29)</x:f>
        <x:v>22.31</x:v>
      </x:c>
      <x:c r="C223" s="58" t="n">
        <x:f>C222*(1-'Scenario Inputs'!$C$29)</x:f>
        <x:v>24.056</x:v>
      </x:c>
      <x:c r="D223" s="58" t="n">
        <x:f>D222*(1-'Scenario Inputs'!$C$29)</x:f>
        <x:v>26.011519999999997</x:v>
      </x:c>
      <x:c r="E223" s="58" t="n">
        <x:f>E222*(1-'Scenario Inputs'!$C$29)</x:f>
        <x:v>35.9617024</x:v>
      </x:c>
      <x:c r="F223" s="58" t="n">
        <x:f>F222*(1-'Scenario Inputs'!$C$29)</x:f>
        <x:v>38.414706688</x:v>
      </x:c>
      <x:c r="G223" s="58" t="n">
        <x:f>G222*(1-'Scenario Inputs'!$C$29)</x:f>
        <x:v>41.16207149056</x:v>
      </x:c>
      <x:c r="H223" s="58" t="n">
        <x:f>H222*(1-'Scenario Inputs'!$C$29)</x:f>
        <x:v>61.05245340276055</x:v>
      </x:c>
      <x:c r="I223" s="58" t="n">
        <x:f>I222*(1-'Scenario Inputs'!$C$29)</x:f>
        <x:v>64.4987478110918</x:v>
      </x:c>
      <x:c r="J223" s="58" t="n">
        <x:f>J222*(1-'Scenario Inputs'!$C$29)</x:f>
        <x:v>68.35859754842282</x:v>
      </x:c>
      <x:c r="K223" s="58" t="n">
        <x:f>K222*(1-'Scenario Inputs'!$C$29)</x:f>
        <x:v>72.68162925423358</x:v>
      </x:c>
      <x:c r="L223" s="58" t="n">
        <x:f>L222*(1-'Scenario Inputs'!$C$29)</x:f>
        <x:v>77.5234247647416</x:v>
      </x:c>
      <x:c r="M223" s="58" t="n">
        <x:f>M222*(1-'Scenario Inputs'!$C$29)</x:f>
        <x:v>82.9462357365106</x:v>
      </x:c>
      <x:c r="N223" s="58" t="n">
        <x:f>N222*(1-'Scenario Inputs'!$C$29)</x:f>
        <x:v>113.44981338331024</x:v>
      </x:c>
      <x:c r="O223" s="58" t="n">
        <x:f>O222*(1-'Scenario Inputs'!$C$29)</x:f>
        <x:v>117.82276815094477</x:v>
      </x:c>
      <x:c r="P223" s="58" t="n">
        <x:f>P222*(1-'Scenario Inputs'!$C$29)</x:f>
        <x:v>122.54555929999006</x:v>
      </x:c>
      <x:c r="Q223" s="58" t="n">
        <x:f>Q222*(1-'Scenario Inputs'!$C$29)</x:f>
        <x:v>127.64617374095894</x:v>
      </x:c>
      <x:c r="R223" s="58" t="n">
        <x:f>R222*(1-'Scenario Inputs'!$C$29)</x:f>
        <x:v>133.15483733720538</x:v>
      </x:c>
      <x:c r="S223" s="58" t="n">
        <x:f>S222*(1-'Scenario Inputs'!$C$29)</x:f>
        <x:v>139.1041940211515</x:v>
      </x:c>
      <x:c r="T223" s="58" t="n">
        <x:f>T222*(1-'Scenario Inputs'!$C$29)</x:f>
        <x:v>174.9234386337527</x:v>
      </x:c>
      <x:c r="U223" s="58" t="n">
        <x:f>U222*(1-'Scenario Inputs'!$C$29)</x:f>
        <x:v>181.8627682699075</x:v>
      </x:c>
      <x:c r="V223" s="58" t="n">
        <x:f>V222*(1-'Scenario Inputs'!$C$29)</x:f>
        <x:v>189.35724427695465</x:v>
      </x:c>
      <x:c r="W223" s="58" t="n">
        <x:f>W222*(1-'Scenario Inputs'!$C$29)</x:f>
        <x:v>197.45127836456555</x:v>
      </x:c>
      <x:c r="X223" s="58" t="n">
        <x:f>X222*(1-'Scenario Inputs'!$C$29)</x:f>
        <x:v>206.19283517918535</x:v>
      </x:c>
      <x:c r="Y223" s="58" t="n">
        <x:f>Y222*(1-'Scenario Inputs'!$C$29)</x:f>
        <x:v>215.6337165389747</x:v>
      </x:c>
      <x:c r="Z223" s="58" t="n">
        <x:f>Z222*(1-'Scenario Inputs'!$C$29)</x:f>
        <x:v>241.98606460018374</x:v>
      </x:c>
      <x:c r="AA223" s="58" t="n">
        <x:f>AA222*(1-'Scenario Inputs'!$C$29)</x:f>
        <x:v>250.0920053356989</x:v>
      </x:c>
      <x:c r="AB223" s="58" t="n">
        <x:f>AB222*(1-'Scenario Inputs'!$C$29)</x:f>
        <x:v>258.684302515345</x:v>
      </x:c>
      <x:c r="AC223" s="58" t="n">
        <x:f>AC222*(1-'Scenario Inputs'!$C$29)</x:f>
        <x:v>267.7921375257698</x:v>
      </x:c>
      <x:c r="AD223" s="58" t="n">
        <x:f>AD222*(1-'Scenario Inputs'!$C$29)</x:f>
        <x:v>277.44644263682017</x:v>
      </x:c>
      <x:c r="AE223" s="58" t="n">
        <x:f>AE222*(1-'Scenario Inputs'!$C$29)</x:f>
        <x:v>287.6800060545335</x:v>
      </x:c>
      <x:c r="AF223" s="58" t="n">
        <x:f>AF222*(1-'Scenario Inputs'!$C$29)</x:f>
        <x:v>325.2493463627091</x:v>
      </x:c>
      <x:c r="AG223" s="58" t="n">
        <x:f>AG222*(1-'Scenario Inputs'!$C$29)</x:f>
        <x:v>336.7477782188518</x:v>
      </x:c>
      <x:c r="AH223" s="58" t="n">
        <x:f>AH222*(1-'Scenario Inputs'!$C$29)</x:f>
        <x:v>348.9361159863631</x:v>
      </x:c>
      <x:c r="AI223" s="58" t="n">
        <x:f>AI222*(1-'Scenario Inputs'!$C$29)</x:f>
        <x:v>361.8557540199251</x:v>
      </x:c>
      <x:c r="AJ223" s="58" t="n">
        <x:f>AJ222*(1-'Scenario Inputs'!$C$29)</x:f>
        <x:v>375.55057033550077</x:v>
      </x:c>
      <x:c r="AK223" s="58" t="n">
        <x:f>AK222*(1-'Scenario Inputs'!$C$29)</x:f>
        <x:v>390.067075630011</x:v>
      </x:c>
    </x:row>
    <x:row r="224" ht="18" customHeight="1">
      <x:c r="A224" s="4" t="str">
        <x:v>Paid creative allowance (INR)</x:v>
      </x:c>
      <x:c r="B224" s="58" t="n">
        <x:f>B217*'Scenario Inputs'!$C$13</x:f>
        <x:v>1500</x:v>
      </x:c>
      <x:c r="C224" s="58" t="n">
        <x:f>C217*'Scenario Inputs'!$C$13</x:f>
        <x:v>1500</x:v>
      </x:c>
      <x:c r="D224" s="58" t="n">
        <x:f>D217*'Scenario Inputs'!$C$13</x:f>
        <x:v>1500</x:v>
      </x:c>
      <x:c r="E224" s="58" t="n">
        <x:f>E217*'Scenario Inputs'!$C$13</x:f>
        <x:v>3000</x:v>
      </x:c>
      <x:c r="F224" s="58" t="n">
        <x:f>F217*'Scenario Inputs'!$C$13</x:f>
        <x:v>3000</x:v>
      </x:c>
      <x:c r="G224" s="58" t="n">
        <x:f>G217*'Scenario Inputs'!$C$13</x:f>
        <x:v>3000</x:v>
      </x:c>
      <x:c r="H224" s="58" t="n">
        <x:f>H217*'Scenario Inputs'!$C$13</x:f>
        <x:v>6250</x:v>
      </x:c>
      <x:c r="I224" s="58" t="n">
        <x:f>I217*'Scenario Inputs'!$C$13</x:f>
        <x:v>6250</x:v>
      </x:c>
      <x:c r="J224" s="58" t="n">
        <x:f>J217*'Scenario Inputs'!$C$13</x:f>
        <x:v>6250</x:v>
      </x:c>
      <x:c r="K224" s="58" t="n">
        <x:f>K217*'Scenario Inputs'!$C$13</x:f>
        <x:v>6250</x:v>
      </x:c>
      <x:c r="L224" s="58" t="n">
        <x:f>L217*'Scenario Inputs'!$C$13</x:f>
        <x:v>6250</x:v>
      </x:c>
      <x:c r="M224" s="58" t="n">
        <x:f>M217*'Scenario Inputs'!$C$13</x:f>
        <x:v>6250</x:v>
      </x:c>
      <x:c r="N224" s="58" t="n">
        <x:f>N217*'Scenario Inputs'!$C$13</x:f>
        <x:v>12500</x:v>
      </x:c>
      <x:c r="O224" s="58" t="n">
        <x:f>O217*'Scenario Inputs'!$C$13</x:f>
        <x:v>12500</x:v>
      </x:c>
      <x:c r="P224" s="58" t="n">
        <x:f>P217*'Scenario Inputs'!$C$13</x:f>
        <x:v>12500</x:v>
      </x:c>
      <x:c r="Q224" s="58" t="n">
        <x:f>Q217*'Scenario Inputs'!$C$13</x:f>
        <x:v>12500</x:v>
      </x:c>
      <x:c r="R224" s="58" t="n">
        <x:f>R217*'Scenario Inputs'!$C$13</x:f>
        <x:v>12500</x:v>
      </x:c>
      <x:c r="S224" s="58" t="n">
        <x:f>S217*'Scenario Inputs'!$C$13</x:f>
        <x:v>12500</x:v>
      </x:c>
      <x:c r="T224" s="58" t="n">
        <x:f>T217*'Scenario Inputs'!$C$13</x:f>
        <x:v>18750</x:v>
      </x:c>
      <x:c r="U224" s="58" t="n">
        <x:f>U217*'Scenario Inputs'!$C$13</x:f>
        <x:v>18750</x:v>
      </x:c>
      <x:c r="V224" s="58" t="n">
        <x:f>V217*'Scenario Inputs'!$C$13</x:f>
        <x:v>18750</x:v>
      </x:c>
      <x:c r="W224" s="58" t="n">
        <x:f>W217*'Scenario Inputs'!$C$13</x:f>
        <x:v>18750</x:v>
      </x:c>
      <x:c r="X224" s="58" t="n">
        <x:f>X217*'Scenario Inputs'!$C$13</x:f>
        <x:v>18750</x:v>
      </x:c>
      <x:c r="Y224" s="58" t="n">
        <x:f>Y217*'Scenario Inputs'!$C$13</x:f>
        <x:v>18750</x:v>
      </x:c>
      <x:c r="Z224" s="58" t="n">
        <x:f>Z217*'Scenario Inputs'!$C$13</x:f>
        <x:v>25000</x:v>
      </x:c>
      <x:c r="AA224" s="58" t="n">
        <x:f>AA217*'Scenario Inputs'!$C$13</x:f>
        <x:v>25000</x:v>
      </x:c>
      <x:c r="AB224" s="58" t="n">
        <x:f>AB217*'Scenario Inputs'!$C$13</x:f>
        <x:v>25000</x:v>
      </x:c>
      <x:c r="AC224" s="58" t="n">
        <x:f>AC217*'Scenario Inputs'!$C$13</x:f>
        <x:v>25000</x:v>
      </x:c>
      <x:c r="AD224" s="58" t="n">
        <x:f>AD217*'Scenario Inputs'!$C$13</x:f>
        <x:v>25000</x:v>
      </x:c>
      <x:c r="AE224" s="58" t="n">
        <x:f>AE217*'Scenario Inputs'!$C$13</x:f>
        <x:v>25000</x:v>
      </x:c>
      <x:c r="AF224" s="58" t="n">
        <x:f>AF217*'Scenario Inputs'!$C$13</x:f>
        <x:v>31250</x:v>
      </x:c>
      <x:c r="AG224" s="58" t="n">
        <x:f>AG217*'Scenario Inputs'!$C$13</x:f>
        <x:v>31250</x:v>
      </x:c>
      <x:c r="AH224" s="58" t="n">
        <x:f>AH217*'Scenario Inputs'!$C$13</x:f>
        <x:v>31250</x:v>
      </x:c>
      <x:c r="AI224" s="58" t="n">
        <x:f>AI217*'Scenario Inputs'!$C$13</x:f>
        <x:v>31250</x:v>
      </x:c>
      <x:c r="AJ224" s="58" t="n">
        <x:f>AJ217*'Scenario Inputs'!$C$13</x:f>
        <x:v>31250</x:v>
      </x:c>
      <x:c r="AK224" s="58" t="n">
        <x:f>AK217*'Scenario Inputs'!$C$13</x:f>
        <x:v>31250</x:v>
      </x:c>
    </x:row>
    <x:row r="225" ht="18" customHeight="1">
      <x:c r="A225" s="4" t="str">
        <x:v>Organic / partner content cash (INR)</x:v>
      </x:c>
      <x:c r="B225" s="60" t="n">
        <x:f>'Scenario Inputs'!$C$21</x:f>
        <x:v>5000</x:v>
      </x:c>
      <x:c r="C225" s="60" t="n">
        <x:f>'Scenario Inputs'!$C$21</x:f>
        <x:v>5000</x:v>
      </x:c>
      <x:c r="D225" s="60" t="n">
        <x:f>'Scenario Inputs'!$C$21</x:f>
        <x:v>5000</x:v>
      </x:c>
      <x:c r="E225" s="60" t="n">
        <x:f>'Scenario Inputs'!$C$21</x:f>
        <x:v>5000</x:v>
      </x:c>
      <x:c r="F225" s="60" t="n">
        <x:f>'Scenario Inputs'!$C$21</x:f>
        <x:v>5000</x:v>
      </x:c>
      <x:c r="G225" s="60" t="n">
        <x:f>'Scenario Inputs'!$C$21</x:f>
        <x:v>5000</x:v>
      </x:c>
      <x:c r="H225" s="60" t="n">
        <x:f>'Scenario Inputs'!$C$21</x:f>
        <x:v>5000</x:v>
      </x:c>
      <x:c r="I225" s="60" t="n">
        <x:f>'Scenario Inputs'!$C$21</x:f>
        <x:v>5000</x:v>
      </x:c>
      <x:c r="J225" s="60" t="n">
        <x:f>'Scenario Inputs'!$C$21</x:f>
        <x:v>5000</x:v>
      </x:c>
      <x:c r="K225" s="60" t="n">
        <x:f>'Scenario Inputs'!$C$21</x:f>
        <x:v>5000</x:v>
      </x:c>
      <x:c r="L225" s="60" t="n">
        <x:f>'Scenario Inputs'!$C$21</x:f>
        <x:v>5000</x:v>
      </x:c>
      <x:c r="M225" s="60" t="n">
        <x:f>'Scenario Inputs'!$C$21</x:f>
        <x:v>5000</x:v>
      </x:c>
      <x:c r="N225" s="60" t="n">
        <x:f>'Scenario Inputs'!$C$22</x:f>
        <x:v>10000</x:v>
      </x:c>
      <x:c r="O225" s="60" t="n">
        <x:f>'Scenario Inputs'!$C$22</x:f>
        <x:v>10000</x:v>
      </x:c>
      <x:c r="P225" s="60" t="n">
        <x:f>'Scenario Inputs'!$C$22</x:f>
        <x:v>10000</x:v>
      </x:c>
      <x:c r="Q225" s="60" t="n">
        <x:f>'Scenario Inputs'!$C$22</x:f>
        <x:v>10000</x:v>
      </x:c>
      <x:c r="R225" s="60" t="n">
        <x:f>'Scenario Inputs'!$C$22</x:f>
        <x:v>10000</x:v>
      </x:c>
      <x:c r="S225" s="60" t="n">
        <x:f>'Scenario Inputs'!$C$22</x:f>
        <x:v>10000</x:v>
      </x:c>
      <x:c r="T225" s="60" t="n">
        <x:f>'Scenario Inputs'!$C$22</x:f>
        <x:v>10000</x:v>
      </x:c>
      <x:c r="U225" s="60" t="n">
        <x:f>'Scenario Inputs'!$C$22</x:f>
        <x:v>10000</x:v>
      </x:c>
      <x:c r="V225" s="60" t="n">
        <x:f>'Scenario Inputs'!$C$22</x:f>
        <x:v>10000</x:v>
      </x:c>
      <x:c r="W225" s="60" t="n">
        <x:f>'Scenario Inputs'!$C$22</x:f>
        <x:v>10000</x:v>
      </x:c>
      <x:c r="X225" s="60" t="n">
        <x:f>'Scenario Inputs'!$C$22</x:f>
        <x:v>10000</x:v>
      </x:c>
      <x:c r="Y225" s="60" t="n">
        <x:f>'Scenario Inputs'!$C$22</x:f>
        <x:v>10000</x:v>
      </x:c>
      <x:c r="Z225" s="60" t="n">
        <x:f>'Scenario Inputs'!$C$23</x:f>
        <x:v>15000</x:v>
      </x:c>
      <x:c r="AA225" s="60" t="n">
        <x:f>'Scenario Inputs'!$C$23</x:f>
        <x:v>15000</x:v>
      </x:c>
      <x:c r="AB225" s="60" t="n">
        <x:f>'Scenario Inputs'!$C$23</x:f>
        <x:v>15000</x:v>
      </x:c>
      <x:c r="AC225" s="60" t="n">
        <x:f>'Scenario Inputs'!$C$23</x:f>
        <x:v>15000</x:v>
      </x:c>
      <x:c r="AD225" s="60" t="n">
        <x:f>'Scenario Inputs'!$C$23</x:f>
        <x:v>15000</x:v>
      </x:c>
      <x:c r="AE225" s="60" t="n">
        <x:f>'Scenario Inputs'!$C$23</x:f>
        <x:v>15000</x:v>
      </x:c>
      <x:c r="AF225" s="60" t="n">
        <x:f>'Scenario Inputs'!$C$23</x:f>
        <x:v>15000</x:v>
      </x:c>
      <x:c r="AG225" s="60" t="n">
        <x:f>'Scenario Inputs'!$C$23</x:f>
        <x:v>15000</x:v>
      </x:c>
      <x:c r="AH225" s="60" t="n">
        <x:f>'Scenario Inputs'!$C$23</x:f>
        <x:v>15000</x:v>
      </x:c>
      <x:c r="AI225" s="60" t="n">
        <x:f>'Scenario Inputs'!$C$23</x:f>
        <x:v>15000</x:v>
      </x:c>
      <x:c r="AJ225" s="60" t="n">
        <x:f>'Scenario Inputs'!$C$23</x:f>
        <x:v>15000</x:v>
      </x:c>
      <x:c r="AK225" s="60" t="n">
        <x:f>'Scenario Inputs'!$C$23</x:f>
        <x:v>15000</x:v>
      </x:c>
    </x:row>
    <x:row r="226" ht="18" customHeight="1">
      <x:c r="A226" s="74" t="str">
        <x:v>TOTAL ACQUISITION SPEND (INR)</x:v>
      </x:c>
      <x:c r="B226" s="75" t="n">
        <x:f>B217+SUM(B224:B225)</x:f>
        <x:v>12500</x:v>
      </x:c>
      <x:c r="C226" s="75" t="n">
        <x:f>C217+SUM(C224:C225)</x:f>
        <x:v>12500</x:v>
      </x:c>
      <x:c r="D226" s="75" t="n">
        <x:f>D217+SUM(D224:D225)</x:f>
        <x:v>12500</x:v>
      </x:c>
      <x:c r="E226" s="75" t="n">
        <x:f>E217+SUM(E224:E225)</x:f>
        <x:v>20000</x:v>
      </x:c>
      <x:c r="F226" s="75" t="n">
        <x:f>F217+SUM(F224:F225)</x:f>
        <x:v>20000</x:v>
      </x:c>
      <x:c r="G226" s="75" t="n">
        <x:f>G217+SUM(G224:G225)</x:f>
        <x:v>20000</x:v>
      </x:c>
      <x:c r="H226" s="75" t="n">
        <x:f>H217+SUM(H224:H225)</x:f>
        <x:v>36250</x:v>
      </x:c>
      <x:c r="I226" s="75" t="n">
        <x:f>I217+SUM(I224:I225)</x:f>
        <x:v>36250</x:v>
      </x:c>
      <x:c r="J226" s="75" t="n">
        <x:f>J217+SUM(J224:J225)</x:f>
        <x:v>36250</x:v>
      </x:c>
      <x:c r="K226" s="75" t="n">
        <x:f>K217+SUM(K224:K225)</x:f>
        <x:v>36250</x:v>
      </x:c>
      <x:c r="L226" s="75" t="n">
        <x:f>L217+SUM(L224:L225)</x:f>
        <x:v>36250</x:v>
      </x:c>
      <x:c r="M226" s="75" t="n">
        <x:f>M217+SUM(M224:M225)</x:f>
        <x:v>36250</x:v>
      </x:c>
      <x:c r="N226" s="75" t="n">
        <x:f>N217+SUM(N224:N225)</x:f>
        <x:v>72500</x:v>
      </x:c>
      <x:c r="O226" s="75" t="n">
        <x:f>O217+SUM(O224:O225)</x:f>
        <x:v>72500</x:v>
      </x:c>
      <x:c r="P226" s="75" t="n">
        <x:f>P217+SUM(P224:P225)</x:f>
        <x:v>72500</x:v>
      </x:c>
      <x:c r="Q226" s="75" t="n">
        <x:f>Q217+SUM(Q224:Q225)</x:f>
        <x:v>72500</x:v>
      </x:c>
      <x:c r="R226" s="75" t="n">
        <x:f>R217+SUM(R224:R225)</x:f>
        <x:v>72500</x:v>
      </x:c>
      <x:c r="S226" s="75" t="n">
        <x:f>S217+SUM(S224:S225)</x:f>
        <x:v>72500</x:v>
      </x:c>
      <x:c r="T226" s="75" t="n">
        <x:f>T217+SUM(T224:T225)</x:f>
        <x:v>103750</x:v>
      </x:c>
      <x:c r="U226" s="75" t="n">
        <x:f>U217+SUM(U224:U225)</x:f>
        <x:v>103750</x:v>
      </x:c>
      <x:c r="V226" s="75" t="n">
        <x:f>V217+SUM(V224:V225)</x:f>
        <x:v>103750</x:v>
      </x:c>
      <x:c r="W226" s="75" t="n">
        <x:f>W217+SUM(W224:W225)</x:f>
        <x:v>103750</x:v>
      </x:c>
      <x:c r="X226" s="75" t="n">
        <x:f>X217+SUM(X224:X225)</x:f>
        <x:v>103750</x:v>
      </x:c>
      <x:c r="Y226" s="75" t="n">
        <x:f>Y217+SUM(Y224:Y225)</x:f>
        <x:v>103750</x:v>
      </x:c>
      <x:c r="Z226" s="75" t="n">
        <x:f>Z217+SUM(Z224:Z225)</x:f>
        <x:v>140000</x:v>
      </x:c>
      <x:c r="AA226" s="75" t="n">
        <x:f>AA217+SUM(AA224:AA225)</x:f>
        <x:v>140000</x:v>
      </x:c>
      <x:c r="AB226" s="75" t="n">
        <x:f>AB217+SUM(AB224:AB225)</x:f>
        <x:v>140000</x:v>
      </x:c>
      <x:c r="AC226" s="75" t="n">
        <x:f>AC217+SUM(AC224:AC225)</x:f>
        <x:v>140000</x:v>
      </x:c>
      <x:c r="AD226" s="75" t="n">
        <x:f>AD217+SUM(AD224:AD225)</x:f>
        <x:v>140000</x:v>
      </x:c>
      <x:c r="AE226" s="75" t="n">
        <x:f>AE217+SUM(AE224:AE225)</x:f>
        <x:v>140000</x:v>
      </x:c>
      <x:c r="AF226" s="75" t="n">
        <x:f>AF217+SUM(AF224:AF225)</x:f>
        <x:v>171250</x:v>
      </x:c>
      <x:c r="AG226" s="75" t="n">
        <x:f>AG217+SUM(AG224:AG225)</x:f>
        <x:v>171250</x:v>
      </x:c>
      <x:c r="AH226" s="75" t="n">
        <x:f>AH217+SUM(AH224:AH225)</x:f>
        <x:v>171250</x:v>
      </x:c>
      <x:c r="AI226" s="75" t="n">
        <x:f>AI217+SUM(AI224:AI225)</x:f>
        <x:v>171250</x:v>
      </x:c>
      <x:c r="AJ226" s="75" t="n">
        <x:f>AJ217+SUM(AJ224:AJ225)</x:f>
        <x:v>171250</x:v>
      </x:c>
      <x:c r="AK226" s="75" t="n">
        <x:f>AK217+SUM(AK224:AK225)</x:f>
        <x:v>171250</x:v>
      </x:c>
    </x:row>
    <x:row r="227" ht="18" customHeight="1">
      <x:c r="A227" s="4" t="str">
        <x:v>Blended cash CAC (INR / gross buyer)</x:v>
      </x:c>
      <x:c r="B227" s="64" t="n">
        <x:f>IFERROR(B226/B222,0)</x:f>
        <x:v>543.4782608695652</x:v>
      </x:c>
      <x:c r="C227" s="64" t="n">
        <x:f>IFERROR(C226/C222,0)</x:f>
        <x:v>504.0322580645161</x:v>
      </x:c>
      <x:c r="D227" s="64" t="n">
        <x:f>IFERROR(D226/D222,0)</x:f>
        <x:v>466.13961813842485</x:v>
      </x:c>
      <x:c r="E227" s="64" t="n">
        <x:f>IFERROR(E226/E222,0)</x:f>
        <x:v>539.4627813837867</x:v>
      </x:c>
      <x:c r="F227" s="64" t="n">
        <x:f>IFERROR(F226/F222,0)</x:f>
        <x:v>505.01491935275345</x:v>
      </x:c>
      <x:c r="G227" s="64" t="n">
        <x:f>IFERROR(G226/G222,0)</x:f>
        <x:v>471.3076698399191</x:v>
      </x:c>
      <x:c r="H227" s="64" t="n">
        <x:f>IFERROR(H226/H222,0)</x:f>
        <x:v>575.9391808226676</x:v>
      </x:c>
      <x:c r="I227" s="64" t="n">
        <x:f>IFERROR(I226/I222,0)</x:f>
        <x:v>545.1656224859784</x:v>
      </x:c>
      <x:c r="J227" s="64" t="n">
        <x:f>IFERROR(J226/J222,0)</x:f>
        <x:v>514.3829929379713</x:v>
      </x:c>
      <x:c r="K227" s="64" t="n">
        <x:f>IFERROR(K226/K222,0)</x:f>
        <x:v>483.78799926188833</x:v>
      </x:c>
      <x:c r="L227" s="64" t="n">
        <x:f>IFERROR(L226/L222,0)</x:f>
        <x:v>453.57258282521383</x:v>
      </x:c>
      <x:c r="M227" s="64" t="n">
        <x:f>IFERROR(M226/M222,0)</x:f>
        <x:v>423.9191771365997</x:v>
      </x:c>
      <x:c r="N227" s="64" t="n">
        <x:f>IFERROR(N226/N222,0)</x:f>
        <x:v>619.8776172720052</x:v>
      </x:c>
      <x:c r="O227" s="64" t="n">
        <x:f>IFERROR(O226/O222,0)</x:f>
        <x:v>596.8710556002676</x:v>
      </x:c>
      <x:c r="P227" s="64" t="n">
        <x:f>IFERROR(P226/P222,0)</x:f>
        <x:v>573.8682038069225</x:v>
      </x:c>
      <x:c r="Q227" s="64" t="n">
        <x:f>IFERROR(Q226/Q222,0)</x:f>
        <x:v>550.9369998251204</x:v>
      </x:c>
      <x:c r="R227" s="64" t="n">
        <x:f>IFERROR(R226/R222,0)</x:f>
        <x:v>528.144537640092</x:v>
      </x:c>
      <x:c r="S227" s="64" t="n">
        <x:f>IFERROR(S226/S222,0)</x:f>
        <x:v>505.5562881828474</x:v>
      </x:c>
      <x:c r="T227" s="64" t="n">
        <x:f>IFERROR(T226/T222,0)</x:f>
        <x:v>575.3231287129595</x:v>
      </x:c>
      <x:c r="U227" s="64" t="n">
        <x:f>IFERROR(U226/U222,0)</x:f>
        <x:v>553.3705494389106</x:v>
      </x:c>
      <x:c r="V227" s="64" t="n">
        <x:f>IFERROR(V226/V222,0)</x:f>
        <x:v>531.4689722290592</x:v>
      </x:c>
      <x:c r="W227" s="64" t="n">
        <x:f>IFERROR(W226/W222,0)</x:f>
        <x:v>509.6826965798988</x:v>
      </x:c>
      <x:c r="X227" s="64" t="n">
        <x:f>IFERROR(X226/X222,0)</x:f>
        <x:v>488.0746700657381</x:v>
      </x:c>
      <x:c r="Y227" s="64" t="n">
        <x:f>IFERROR(Y226/Y222,0)</x:f>
        <x:v>466.70577132036897</x:v>
      </x:c>
      <x:c r="Z227" s="64" t="n">
        <x:f>IFERROR(Z226/Z222,0)</x:f>
        <x:v>561.1893404869104</x:v>
      </x:c>
      <x:c r="AA227" s="64" t="n">
        <x:f>IFERROR(AA226/AA222,0)</x:f>
        <x:v>543.0001643503775</x:v>
      </x:c>
      <x:c r="AB227" s="64" t="n">
        <x:f>IFERROR(AB226/AB222,0)</x:f>
        <x:v>524.9642080309238</x:v>
      </x:c>
      <x:c r="AC227" s="64" t="n">
        <x:f>IFERROR(AC226/AC222,0)</x:f>
        <x:v>507.1097353891948</x:v>
      </x:c>
      <x:c r="AD227" s="64" t="n">
        <x:f>IFERROR(AD226/AD222,0)</x:f>
        <x:v>489.4638356483215</x:v>
      </x:c>
      <x:c r="AE227" s="64" t="n">
        <x:f>IFERROR(AE226/AE222,0)</x:f>
        <x:v>472.0522703766119</x:v>
      </x:c>
      <x:c r="AF227" s="64" t="n">
        <x:f>IFERROR(AF226/AF222,0)</x:f>
        <x:v>510.72354751100994</x:v>
      </x:c>
      <x:c r="AG227" s="64" t="n">
        <x:f>IFERROR(AG226/AG222,0)</x:f>
        <x:v>493.28462055076653</x:v>
      </x:c>
      <x:c r="AH227" s="64" t="n">
        <x:f>IFERROR(AH226/AH222,0)</x:f>
        <x:v>476.05418983482895</x:v>
      </x:c>
      <x:c r="AI227" s="64" t="n">
        <x:f>IFERROR(AI226/AI222,0)</x:f>
        <x:v>459.05722972379</x:v>
      </x:c>
      <x:c r="AJ227" s="64" t="n">
        <x:f>IFERROR(AJ226/AJ222,0)</x:f>
        <x:v>442.31726196448653</x:v>
      </x:c>
      <x:c r="AK227" s="64" t="n">
        <x:f>IFERROR(AK226/AK222,0)</x:f>
        <x:v>425.8562446771645</x:v>
      </x:c>
    </x:row>
    <x:row r="228" ht="18" customHeight="1">
      <x:c r="A228" s="4" t="str">
        <x:v>Loaded paid-channel CAC (INR)</x:v>
      </x:c>
      <x:c r="B228" s="64" t="n">
        <x:f>IFERROR((B217+B224)/B221,0)</x:f>
        <x:v>937.5</x:v>
      </x:c>
      <x:c r="C228" s="64" t="n">
        <x:f>IFERROR((C217+C224)/C221,0)</x:f>
        <x:v>937.5</x:v>
      </x:c>
      <x:c r="D228" s="64" t="n">
        <x:f>IFERROR((D217+D224)/D221,0)</x:f>
        <x:v>937.5</x:v>
      </x:c>
      <x:c r="E228" s="64" t="n">
        <x:f>IFERROR((E217+E224)/E221,0)</x:f>
        <x:v>937.5</x:v>
      </x:c>
      <x:c r="F228" s="64" t="n">
        <x:f>IFERROR((F217+F224)/F221,0)</x:f>
        <x:v>937.5</x:v>
      </x:c>
      <x:c r="G228" s="64" t="n">
        <x:f>IFERROR((G217+G224)/G221,0)</x:f>
        <x:v>937.5</x:v>
      </x:c>
      <x:c r="H228" s="64" t="n">
        <x:f>IFERROR((H217+H224)/H221,0)</x:f>
        <x:v>937.4999999999999</x:v>
      </x:c>
      <x:c r="I228" s="64" t="n">
        <x:f>IFERROR((I217+I224)/I221,0)</x:f>
        <x:v>937.4999999999999</x:v>
      </x:c>
      <x:c r="J228" s="64" t="n">
        <x:f>IFERROR((J217+J224)/J221,0)</x:f>
        <x:v>937.4999999999999</x:v>
      </x:c>
      <x:c r="K228" s="64" t="n">
        <x:f>IFERROR((K217+K224)/K221,0)</x:f>
        <x:v>937.4999999999999</x:v>
      </x:c>
      <x:c r="L228" s="64" t="n">
        <x:f>IFERROR((L217+L224)/L221,0)</x:f>
        <x:v>937.4999999999999</x:v>
      </x:c>
      <x:c r="M228" s="64" t="n">
        <x:f>IFERROR((M217+M224)/M221,0)</x:f>
        <x:v>937.4999999999999</x:v>
      </x:c>
      <x:c r="N228" s="64" t="n">
        <x:f>IFERROR((N217+N224)/N221,0)</x:f>
        <x:v>1031.25</x:v>
      </x:c>
      <x:c r="O228" s="64" t="n">
        <x:f>IFERROR((O217+O224)/O221,0)</x:f>
        <x:v>1031.25</x:v>
      </x:c>
      <x:c r="P228" s="64" t="n">
        <x:f>IFERROR((P217+P224)/P221,0)</x:f>
        <x:v>1031.25</x:v>
      </x:c>
      <x:c r="Q228" s="64" t="n">
        <x:f>IFERROR((Q217+Q224)/Q221,0)</x:f>
        <x:v>1031.25</x:v>
      </x:c>
      <x:c r="R228" s="64" t="n">
        <x:f>IFERROR((R217+R224)/R221,0)</x:f>
        <x:v>1031.25</x:v>
      </x:c>
      <x:c r="S228" s="64" t="n">
        <x:f>IFERROR((S217+S224)/S221,0)</x:f>
        <x:v>1031.25</x:v>
      </x:c>
      <x:c r="T228" s="64" t="n">
        <x:f>IFERROR((T217+T224)/T221,0)</x:f>
        <x:v>1031.25</x:v>
      </x:c>
      <x:c r="U228" s="64" t="n">
        <x:f>IFERROR((U217+U224)/U221,0)</x:f>
        <x:v>1031.25</x:v>
      </x:c>
      <x:c r="V228" s="64" t="n">
        <x:f>IFERROR((V217+V224)/V221,0)</x:f>
        <x:v>1031.25</x:v>
      </x:c>
      <x:c r="W228" s="64" t="n">
        <x:f>IFERROR((W217+W224)/W221,0)</x:f>
        <x:v>1031.25</x:v>
      </x:c>
      <x:c r="X228" s="64" t="n">
        <x:f>IFERROR((X217+X224)/X221,0)</x:f>
        <x:v>1031.25</x:v>
      </x:c>
      <x:c r="Y228" s="64" t="n">
        <x:f>IFERROR((Y217+Y224)/Y221,0)</x:f>
        <x:v>1031.25</x:v>
      </x:c>
      <x:c r="Z228" s="64" t="n">
        <x:f>IFERROR((Z217+Z224)/Z221,0)</x:f>
        <x:v>1134.3750000000002</x:v>
      </x:c>
      <x:c r="AA228" s="64" t="n">
        <x:f>IFERROR((AA217+AA224)/AA221,0)</x:f>
        <x:v>1134.3750000000002</x:v>
      </x:c>
      <x:c r="AB228" s="64" t="n">
        <x:f>IFERROR((AB217+AB224)/AB221,0)</x:f>
        <x:v>1134.3750000000002</x:v>
      </x:c>
      <x:c r="AC228" s="64" t="n">
        <x:f>IFERROR((AC217+AC224)/AC221,0)</x:f>
        <x:v>1134.3750000000002</x:v>
      </x:c>
      <x:c r="AD228" s="64" t="n">
        <x:f>IFERROR((AD217+AD224)/AD221,0)</x:f>
        <x:v>1134.3750000000002</x:v>
      </x:c>
      <x:c r="AE228" s="64" t="n">
        <x:f>IFERROR((AE217+AE224)/AE221,0)</x:f>
        <x:v>1134.3750000000002</x:v>
      </x:c>
      <x:c r="AF228" s="64" t="n">
        <x:f>IFERROR((AF217+AF224)/AF221,0)</x:f>
        <x:v>1134.375</x:v>
      </x:c>
      <x:c r="AG228" s="64" t="n">
        <x:f>IFERROR((AG217+AG224)/AG221,0)</x:f>
        <x:v>1134.375</x:v>
      </x:c>
      <x:c r="AH228" s="64" t="n">
        <x:f>IFERROR((AH217+AH224)/AH221,0)</x:f>
        <x:v>1134.375</x:v>
      </x:c>
      <x:c r="AI228" s="64" t="n">
        <x:f>IFERROR((AI217+AI224)/AI221,0)</x:f>
        <x:v>1134.375</x:v>
      </x:c>
      <x:c r="AJ228" s="64" t="n">
        <x:f>IFERROR((AJ217+AJ224)/AJ221,0)</x:f>
        <x:v>1134.375</x:v>
      </x:c>
      <x:c r="AK228" s="64" t="n">
        <x:f>IFERROR((AK217+AK224)/AK221,0)</x:f>
        <x:v>1134.375</x:v>
      </x:c>
    </x:row>
    <x:row r="229" ht="18" customHeight="1">
      <x:c r="A229" s="4" t="str"/>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c r="AA229" s="58"/>
      <x:c r="AB229" s="58"/>
      <x:c r="AC229" s="58"/>
      <x:c r="AD229" s="58"/>
      <x:c r="AE229" s="58"/>
      <x:c r="AF229" s="58"/>
      <x:c r="AG229" s="58"/>
      <x:c r="AH229" s="58"/>
      <x:c r="AI229" s="58"/>
      <x:c r="AJ229" s="58"/>
      <x:c r="AK229" s="58"/>
    </x:row>
    <x:row r="230" ht="18" customHeight="1">
      <x:c r="A230" s="4" t="str">
        <x:v>New annual payers after refunds</x:v>
      </x:c>
      <x:c r="B230" s="58" t="n">
        <x:f>B222*'Scenario Inputs'!$C$27*(1-'Scenario Inputs'!$C$29)</x:f>
        <x:v>16.732499999999998</x:v>
      </x:c>
      <x:c r="C230" s="58" t="n">
        <x:f>C222*'Scenario Inputs'!$C$27*(1-'Scenario Inputs'!$C$29)</x:f>
        <x:v>18.042</x:v>
      </x:c>
      <x:c r="D230" s="58" t="n">
        <x:f>D222*'Scenario Inputs'!$C$27*(1-'Scenario Inputs'!$C$29)</x:f>
        <x:v>19.508639999999996</x:v>
      </x:c>
      <x:c r="E230" s="58" t="n">
        <x:f>E222*'Scenario Inputs'!$C$27*(1-'Scenario Inputs'!$C$29)</x:f>
        <x:v>26.971276800000002</x:v>
      </x:c>
      <x:c r="F230" s="58" t="n">
        <x:f>F222*'Scenario Inputs'!$C$27*(1-'Scenario Inputs'!$C$29)</x:f>
        <x:v>28.811030016</x:v>
      </x:c>
      <x:c r="G230" s="58" t="n">
        <x:f>G222*'Scenario Inputs'!$C$27*(1-'Scenario Inputs'!$C$29)</x:f>
        <x:v>30.871553617920004</x:v>
      </x:c>
      <x:c r="H230" s="58" t="n">
        <x:f>H222*'Scenario Inputs'!$C$27*(1-'Scenario Inputs'!$C$29)</x:f>
        <x:v>45.78934005207041</x:v>
      </x:c>
      <x:c r="I230" s="58" t="n">
        <x:f>I222*'Scenario Inputs'!$C$27*(1-'Scenario Inputs'!$C$29)</x:f>
        <x:v>48.374060858318856</x:v>
      </x:c>
      <x:c r="J230" s="58" t="n">
        <x:f>J222*'Scenario Inputs'!$C$27*(1-'Scenario Inputs'!$C$29)</x:f>
        <x:v>51.26894816131712</x:v>
      </x:c>
      <x:c r="K230" s="58" t="n">
        <x:f>K222*'Scenario Inputs'!$C$27*(1-'Scenario Inputs'!$C$29)</x:f>
        <x:v>54.511221940675185</x:v>
      </x:c>
      <x:c r="L230" s="58" t="n">
        <x:f>L222*'Scenario Inputs'!$C$27*(1-'Scenario Inputs'!$C$29)</x:f>
        <x:v>58.14256857355621</x:v>
      </x:c>
      <x:c r="M230" s="58" t="n">
        <x:f>M222*'Scenario Inputs'!$C$27*(1-'Scenario Inputs'!$C$29)</x:f>
        <x:v>62.20967680238296</x:v>
      </x:c>
      <x:c r="N230" s="58" t="n">
        <x:f>N222*'Scenario Inputs'!$C$27*(1-'Scenario Inputs'!$C$29)</x:f>
        <x:v>85.08736003748268</x:v>
      </x:c>
      <x:c r="O230" s="58" t="n">
        <x:f>O222*'Scenario Inputs'!$C$27*(1-'Scenario Inputs'!$C$29)</x:f>
        <x:v>88.36707611320857</x:v>
      </x:c>
      <x:c r="P230" s="58" t="n">
        <x:f>P222*'Scenario Inputs'!$C$27*(1-'Scenario Inputs'!$C$29)</x:f>
        <x:v>91.90916947499254</x:v>
      </x:c>
      <x:c r="Q230" s="58" t="n">
        <x:f>Q222*'Scenario Inputs'!$C$27*(1-'Scenario Inputs'!$C$29)</x:f>
        <x:v>95.73463030571921</x:v>
      </x:c>
      <x:c r="R230" s="58" t="n">
        <x:f>R222*'Scenario Inputs'!$C$27*(1-'Scenario Inputs'!$C$29)</x:f>
        <x:v>99.86612800290402</x:v>
      </x:c>
      <x:c r="S230" s="58" t="n">
        <x:f>S222*'Scenario Inputs'!$C$27*(1-'Scenario Inputs'!$C$29)</x:f>
        <x:v>104.32814551586364</x:v>
      </x:c>
      <x:c r="T230" s="58" t="n">
        <x:f>T222*'Scenario Inputs'!$C$27*(1-'Scenario Inputs'!$C$29)</x:f>
        <x:v>131.19257897531455</x:v>
      </x:c>
      <x:c r="U230" s="58" t="n">
        <x:f>U222*'Scenario Inputs'!$C$27*(1-'Scenario Inputs'!$C$29)</x:f>
        <x:v>136.3970762024306</x:v>
      </x:c>
      <x:c r="V230" s="58" t="n">
        <x:f>V222*'Scenario Inputs'!$C$27*(1-'Scenario Inputs'!$C$29)</x:f>
        <x:v>142.01793320771597</x:v>
      </x:c>
      <x:c r="W230" s="58" t="n">
        <x:f>W222*'Scenario Inputs'!$C$27*(1-'Scenario Inputs'!$C$29)</x:f>
        <x:v>148.08845877342418</x:v>
      </x:c>
      <x:c r="X230" s="58" t="n">
        <x:f>X222*'Scenario Inputs'!$C$27*(1-'Scenario Inputs'!$C$29)</x:f>
        <x:v>154.644626384389</x:v>
      </x:c>
      <x:c r="Y230" s="58" t="n">
        <x:f>Y222*'Scenario Inputs'!$C$27*(1-'Scenario Inputs'!$C$29)</x:f>
        <x:v>161.72528740423104</x:v>
      </x:c>
      <x:c r="Z230" s="58" t="n">
        <x:f>Z222*'Scenario Inputs'!$C$27*(1-'Scenario Inputs'!$C$29)</x:f>
        <x:v>181.48954845013782</x:v>
      </x:c>
      <x:c r="AA230" s="58" t="n">
        <x:f>AA222*'Scenario Inputs'!$C$27*(1-'Scenario Inputs'!$C$29)</x:f>
        <x:v>187.56900400177415</x:v>
      </x:c>
      <x:c r="AB230" s="58" t="n">
        <x:f>AB222*'Scenario Inputs'!$C$27*(1-'Scenario Inputs'!$C$29)</x:f>
        <x:v>194.01322688650873</x:v>
      </x:c>
      <x:c r="AC230" s="58" t="n">
        <x:f>AC222*'Scenario Inputs'!$C$27*(1-'Scenario Inputs'!$C$29)</x:f>
        <x:v>200.84410314432736</x:v>
      </x:c>
      <x:c r="AD230" s="58" t="n">
        <x:f>AD222*'Scenario Inputs'!$C$27*(1-'Scenario Inputs'!$C$29)</x:f>
        <x:v>208.08483197761512</x:v>
      </x:c>
      <x:c r="AE230" s="58" t="n">
        <x:f>AE222*'Scenario Inputs'!$C$27*(1-'Scenario Inputs'!$C$29)</x:f>
        <x:v>215.76000454090016</x:v>
      </x:c>
      <x:c r="AF230" s="58" t="n">
        <x:f>AF222*'Scenario Inputs'!$C$27*(1-'Scenario Inputs'!$C$29)</x:f>
        <x:v>243.93700977203184</x:v>
      </x:c>
      <x:c r="AG230" s="58" t="n">
        <x:f>AG222*'Scenario Inputs'!$C$27*(1-'Scenario Inputs'!$C$29)</x:f>
        <x:v>252.5608336641389</x:v>
      </x:c>
      <x:c r="AH230" s="58" t="n">
        <x:f>AH222*'Scenario Inputs'!$C$27*(1-'Scenario Inputs'!$C$29)</x:f>
        <x:v>261.70208698977234</x:v>
      </x:c>
      <x:c r="AI230" s="58" t="n">
        <x:f>AI222*'Scenario Inputs'!$C$27*(1-'Scenario Inputs'!$C$29)</x:f>
        <x:v>271.3918155149438</x:v>
      </x:c>
      <x:c r="AJ230" s="58" t="n">
        <x:f>AJ222*'Scenario Inputs'!$C$27*(1-'Scenario Inputs'!$C$29)</x:f>
        <x:v>281.66292775162555</x:v>
      </x:c>
      <x:c r="AK230" s="58" t="n">
        <x:f>AK222*'Scenario Inputs'!$C$27*(1-'Scenario Inputs'!$C$29)</x:f>
        <x:v>292.55030672250825</x:v>
      </x:c>
    </x:row>
    <x:row r="231" ht="18" customHeight="1">
      <x:c r="A231" s="4" t="str">
        <x:v>First annual renewals after refunds</x:v>
      </x:c>
      <x:c r="B231" s="58" t="n">
        <x:f>0*'Scenario Inputs'!$C$30*(1-'Scenario Inputs'!$C$29)</x:f>
        <x:v>0</x:v>
      </x:c>
      <x:c r="C231" s="58" t="n">
        <x:f>0*'Scenario Inputs'!$C$30*(1-'Scenario Inputs'!$C$29)</x:f>
        <x:v>0</x:v>
      </x:c>
      <x:c r="D231" s="58" t="n">
        <x:f>0*'Scenario Inputs'!$C$30*(1-'Scenario Inputs'!$C$29)</x:f>
        <x:v>0</x:v>
      </x:c>
      <x:c r="E231" s="58" t="n">
        <x:f>0*'Scenario Inputs'!$C$30*(1-'Scenario Inputs'!$C$29)</x:f>
        <x:v>0</x:v>
      </x:c>
      <x:c r="F231" s="58" t="n">
        <x:f>0*'Scenario Inputs'!$C$30*(1-'Scenario Inputs'!$C$29)</x:f>
        <x:v>0</x:v>
      </x:c>
      <x:c r="G231" s="58" t="n">
        <x:f>0*'Scenario Inputs'!$C$30*(1-'Scenario Inputs'!$C$29)</x:f>
        <x:v>0</x:v>
      </x:c>
      <x:c r="H231" s="58" t="n">
        <x:f>0*'Scenario Inputs'!$C$30*(1-'Scenario Inputs'!$C$29)</x:f>
        <x:v>0</x:v>
      </x:c>
      <x:c r="I231" s="58" t="n">
        <x:f>0*'Scenario Inputs'!$C$30*(1-'Scenario Inputs'!$C$29)</x:f>
        <x:v>0</x:v>
      </x:c>
      <x:c r="J231" s="58" t="n">
        <x:f>0*'Scenario Inputs'!$C$30*(1-'Scenario Inputs'!$C$29)</x:f>
        <x:v>0</x:v>
      </x:c>
      <x:c r="K231" s="58" t="n">
        <x:f>0*'Scenario Inputs'!$C$30*(1-'Scenario Inputs'!$C$29)</x:f>
        <x:v>0</x:v>
      </x:c>
      <x:c r="L231" s="58" t="n">
        <x:f>0*'Scenario Inputs'!$C$30*(1-'Scenario Inputs'!$C$29)</x:f>
        <x:v>0</x:v>
      </x:c>
      <x:c r="M231" s="58" t="n">
        <x:f>0*'Scenario Inputs'!$C$30*(1-'Scenario Inputs'!$C$29)</x:f>
        <x:v>0</x:v>
      </x:c>
      <x:c r="N231" s="58" t="n">
        <x:f>B230*'Scenario Inputs'!$C$30*(1-'Scenario Inputs'!$C$29)</x:f>
        <x:v>4.869157499999999</x:v>
      </x:c>
      <x:c r="O231" s="58" t="n">
        <x:f>C230*'Scenario Inputs'!$C$30*(1-'Scenario Inputs'!$C$29)</x:f>
        <x:v>5.250222</x:v>
      </x:c>
      <x:c r="P231" s="58" t="n">
        <x:f>D230*'Scenario Inputs'!$C$30*(1-'Scenario Inputs'!$C$29)</x:f>
        <x:v>5.677014239999998</x:v>
      </x:c>
      <x:c r="Q231" s="58" t="n">
        <x:f>E230*'Scenario Inputs'!$C$30*(1-'Scenario Inputs'!$C$29)</x:f>
        <x:v>7.8486415488</x:v>
      </x:c>
      <x:c r="R231" s="58" t="n">
        <x:f>F230*'Scenario Inputs'!$C$30*(1-'Scenario Inputs'!$C$29)</x:f>
        <x:v>8.384009734655999</x:v>
      </x:c>
      <x:c r="S231" s="58" t="n">
        <x:f>G230*'Scenario Inputs'!$C$30*(1-'Scenario Inputs'!$C$29)</x:f>
        <x:v>8.983622102814719</x:v>
      </x:c>
      <x:c r="T231" s="58" t="n">
        <x:f>H230*'Scenario Inputs'!$C$30*(1-'Scenario Inputs'!$C$29)</x:f>
        <x:v>13.324697955152487</x:v>
      </x:c>
      <x:c r="U231" s="58" t="n">
        <x:f>I230*'Scenario Inputs'!$C$30*(1-'Scenario Inputs'!$C$29)</x:f>
        <x:v>14.076851709770786</x:v>
      </x:c>
      <x:c r="V231" s="58" t="n">
        <x:f>J230*'Scenario Inputs'!$C$30*(1-'Scenario Inputs'!$C$29)</x:f>
        <x:v>14.919263914943281</x:v>
      </x:c>
      <x:c r="W231" s="58" t="n">
        <x:f>K230*'Scenario Inputs'!$C$30*(1-'Scenario Inputs'!$C$29)</x:f>
        <x:v>15.862765584736477</x:v>
      </x:c>
      <x:c r="X231" s="58" t="n">
        <x:f>L230*'Scenario Inputs'!$C$30*(1-'Scenario Inputs'!$C$29)</x:f>
        <x:v>16.919487454904857</x:v>
      </x:c>
      <x:c r="Y231" s="58" t="n">
        <x:f>M230*'Scenario Inputs'!$C$30*(1-'Scenario Inputs'!$C$29)</x:f>
        <x:v>18.10301594949344</x:v>
      </x:c>
      <x:c r="Z231" s="58" t="n">
        <x:f>N230*'Scenario Inputs'!$C$30*(1-'Scenario Inputs'!$C$29)</x:f>
        <x:v>24.76042177090746</x:v>
      </x:c>
      <x:c r="AA231" s="58" t="n">
        <x:f>O230*'Scenario Inputs'!$C$30*(1-'Scenario Inputs'!$C$29)</x:f>
        <x:v>25.71481914894369</x:v>
      </x:c>
      <x:c r="AB231" s="58" t="n">
        <x:f>P230*'Scenario Inputs'!$C$30*(1-'Scenario Inputs'!$C$29)</x:f>
        <x:v>26.745568317222826</x:v>
      </x:c>
      <x:c r="AC231" s="58" t="n">
        <x:f>Q230*'Scenario Inputs'!$C$30*(1-'Scenario Inputs'!$C$29)</x:f>
        <x:v>27.85877741896429</x:v>
      </x:c>
      <x:c r="AD231" s="58" t="n">
        <x:f>R230*'Scenario Inputs'!$C$30*(1-'Scenario Inputs'!$C$29)</x:f>
        <x:v>29.06104324884507</x:v>
      </x:c>
      <x:c r="AE231" s="58" t="n">
        <x:f>S230*'Scenario Inputs'!$C$30*(1-'Scenario Inputs'!$C$29)</x:f>
        <x:v>30.359490345116317</x:v>
      </x:c>
      <x:c r="AF231" s="58" t="n">
        <x:f>T230*'Scenario Inputs'!$C$30*(1-'Scenario Inputs'!$C$29)</x:f>
        <x:v>38.17704048181653</x:v>
      </x:c>
      <x:c r="AG231" s="58" t="n">
        <x:f>U230*'Scenario Inputs'!$C$30*(1-'Scenario Inputs'!$C$29)</x:f>
        <x:v>39.69154917490731</x:v>
      </x:c>
      <x:c r="AH231" s="58" t="n">
        <x:f>V230*'Scenario Inputs'!$C$30*(1-'Scenario Inputs'!$C$29)</x:f>
        <x:v>41.32721856344535</x:v>
      </x:c>
      <x:c r="AI231" s="58" t="n">
        <x:f>W230*'Scenario Inputs'!$C$30*(1-'Scenario Inputs'!$C$29)</x:f>
        <x:v>43.09374150306644</x:v>
      </x:c>
      <x:c r="AJ231" s="58" t="n">
        <x:f>X230*'Scenario Inputs'!$C$30*(1-'Scenario Inputs'!$C$29)</x:f>
        <x:v>45.0015862778572</x:v>
      </x:c>
      <x:c r="AK231" s="58" t="n">
        <x:f>Y230*'Scenario Inputs'!$C$30*(1-'Scenario Inputs'!$C$29)</x:f>
        <x:v>47.06205863463123</x:v>
      </x:c>
    </x:row>
    <x:row r="232" ht="18" customHeight="1">
      <x:c r="A232" s="4" t="str">
        <x:v>Second annual renewals after refunds</x:v>
      </x:c>
      <x:c r="B232" s="58" t="n">
        <x:f>0*'Scenario Inputs'!$C$31*(1-'Scenario Inputs'!$C$29)</x:f>
        <x:v>0</x:v>
      </x:c>
      <x:c r="C232" s="58" t="n">
        <x:f>0*'Scenario Inputs'!$C$31*(1-'Scenario Inputs'!$C$29)</x:f>
        <x:v>0</x:v>
      </x:c>
      <x:c r="D232" s="58" t="n">
        <x:f>0*'Scenario Inputs'!$C$31*(1-'Scenario Inputs'!$C$29)</x:f>
        <x:v>0</x:v>
      </x:c>
      <x:c r="E232" s="58" t="n">
        <x:f>0*'Scenario Inputs'!$C$31*(1-'Scenario Inputs'!$C$29)</x:f>
        <x:v>0</x:v>
      </x:c>
      <x:c r="F232" s="58" t="n">
        <x:f>0*'Scenario Inputs'!$C$31*(1-'Scenario Inputs'!$C$29)</x:f>
        <x:v>0</x:v>
      </x:c>
      <x:c r="G232" s="58" t="n">
        <x:f>0*'Scenario Inputs'!$C$31*(1-'Scenario Inputs'!$C$29)</x:f>
        <x:v>0</x:v>
      </x:c>
      <x:c r="H232" s="58" t="n">
        <x:f>0*'Scenario Inputs'!$C$31*(1-'Scenario Inputs'!$C$29)</x:f>
        <x:v>0</x:v>
      </x:c>
      <x:c r="I232" s="58" t="n">
        <x:f>0*'Scenario Inputs'!$C$31*(1-'Scenario Inputs'!$C$29)</x:f>
        <x:v>0</x:v>
      </x:c>
      <x:c r="J232" s="58" t="n">
        <x:f>0*'Scenario Inputs'!$C$31*(1-'Scenario Inputs'!$C$29)</x:f>
        <x:v>0</x:v>
      </x:c>
      <x:c r="K232" s="58" t="n">
        <x:f>0*'Scenario Inputs'!$C$31*(1-'Scenario Inputs'!$C$29)</x:f>
        <x:v>0</x:v>
      </x:c>
      <x:c r="L232" s="58" t="n">
        <x:f>0*'Scenario Inputs'!$C$31*(1-'Scenario Inputs'!$C$29)</x:f>
        <x:v>0</x:v>
      </x:c>
      <x:c r="M232" s="58" t="n">
        <x:f>0*'Scenario Inputs'!$C$31*(1-'Scenario Inputs'!$C$29)</x:f>
        <x:v>0</x:v>
      </x:c>
      <x:c r="N232" s="58" t="n">
        <x:f>B231*'Scenario Inputs'!$C$31*(1-'Scenario Inputs'!$C$29)</x:f>
        <x:v>0</x:v>
      </x:c>
      <x:c r="O232" s="58" t="n">
        <x:f>C231*'Scenario Inputs'!$C$31*(1-'Scenario Inputs'!$C$29)</x:f>
        <x:v>0</x:v>
      </x:c>
      <x:c r="P232" s="58" t="n">
        <x:f>D231*'Scenario Inputs'!$C$31*(1-'Scenario Inputs'!$C$29)</x:f>
        <x:v>0</x:v>
      </x:c>
      <x:c r="Q232" s="58" t="n">
        <x:f>E231*'Scenario Inputs'!$C$31*(1-'Scenario Inputs'!$C$29)</x:f>
        <x:v>0</x:v>
      </x:c>
      <x:c r="R232" s="58" t="n">
        <x:f>F231*'Scenario Inputs'!$C$31*(1-'Scenario Inputs'!$C$29)</x:f>
        <x:v>0</x:v>
      </x:c>
      <x:c r="S232" s="58" t="n">
        <x:f>G231*'Scenario Inputs'!$C$31*(1-'Scenario Inputs'!$C$29)</x:f>
        <x:v>0</x:v>
      </x:c>
      <x:c r="T232" s="58" t="n">
        <x:f>H231*'Scenario Inputs'!$C$31*(1-'Scenario Inputs'!$C$29)</x:f>
        <x:v>0</x:v>
      </x:c>
      <x:c r="U232" s="58" t="n">
        <x:f>I231*'Scenario Inputs'!$C$31*(1-'Scenario Inputs'!$C$29)</x:f>
        <x:v>0</x:v>
      </x:c>
      <x:c r="V232" s="58" t="n">
        <x:f>J231*'Scenario Inputs'!$C$31*(1-'Scenario Inputs'!$C$29)</x:f>
        <x:v>0</x:v>
      </x:c>
      <x:c r="W232" s="58" t="n">
        <x:f>K231*'Scenario Inputs'!$C$31*(1-'Scenario Inputs'!$C$29)</x:f>
        <x:v>0</x:v>
      </x:c>
      <x:c r="X232" s="58" t="n">
        <x:f>L231*'Scenario Inputs'!$C$31*(1-'Scenario Inputs'!$C$29)</x:f>
        <x:v>0</x:v>
      </x:c>
      <x:c r="Y232" s="58" t="n">
        <x:f>M231*'Scenario Inputs'!$C$31*(1-'Scenario Inputs'!$C$29)</x:f>
        <x:v>0</x:v>
      </x:c>
      <x:c r="Z232" s="58" t="n">
        <x:f>N231*'Scenario Inputs'!$C$31*(1-'Scenario Inputs'!$C$29)</x:f>
        <x:v>2.59769552625</x:v>
      </x:c>
      <x:c r="AA232" s="58" t="n">
        <x:f>O231*'Scenario Inputs'!$C$31*(1-'Scenario Inputs'!$C$29)</x:f>
        <x:v>2.8009934370000003</x:v>
      </x:c>
      <x:c r="AB232" s="58" t="n">
        <x:f>P231*'Scenario Inputs'!$C$31*(1-'Scenario Inputs'!$C$29)</x:f>
        <x:v>3.0286870970399993</x:v>
      </x:c>
      <x:c r="AC232" s="58" t="n">
        <x:f>Q231*'Scenario Inputs'!$C$31*(1-'Scenario Inputs'!$C$29)</x:f>
        <x:v>4.1872502662848</x:v>
      </x:c>
      <x:c r="AD232" s="58" t="n">
        <x:f>R231*'Scenario Inputs'!$C$31*(1-'Scenario Inputs'!$C$29)</x:f>
        <x:v>4.472869193438976</x:v>
      </x:c>
      <x:c r="AE232" s="58" t="n">
        <x:f>S231*'Scenario Inputs'!$C$31*(1-'Scenario Inputs'!$C$29)</x:f>
        <x:v>4.792762391851653</x:v>
      </x:c>
      <x:c r="AF232" s="58" t="n">
        <x:f>T231*'Scenario Inputs'!$C$31*(1-'Scenario Inputs'!$C$29)</x:f>
        <x:v>7.108726359073852</x:v>
      </x:c>
      <x:c r="AG232" s="58" t="n">
        <x:f>U231*'Scenario Inputs'!$C$31*(1-'Scenario Inputs'!$C$29)</x:f>
        <x:v>7.510000387162715</x:v>
      </x:c>
      <x:c r="AH232" s="58" t="n">
        <x:f>V231*'Scenario Inputs'!$C$31*(1-'Scenario Inputs'!$C$29)</x:f>
        <x:v>7.959427298622241</x:v>
      </x:c>
      <x:c r="AI232" s="58" t="n">
        <x:f>W231*'Scenario Inputs'!$C$31*(1-'Scenario Inputs'!$C$29)</x:f>
        <x:v>8.46278543945691</x:v>
      </x:c>
      <x:c r="AJ232" s="58" t="n">
        <x:f>X231*'Scenario Inputs'!$C$31*(1-'Scenario Inputs'!$C$29)</x:f>
        <x:v>9.026546557191743</x:v>
      </x:c>
      <x:c r="AK232" s="58" t="n">
        <x:f>Y231*'Scenario Inputs'!$C$31*(1-'Scenario Inputs'!$C$29)</x:f>
        <x:v>9.65795900905475</x:v>
      </x:c>
    </x:row>
    <x:row r="233" ht="18" customHeight="1">
      <x:c r="A233" s="4" t="str">
        <x:v>Annual terms ending this month</x:v>
      </x:c>
      <x:c r="B233" s="58" t="n">
        <x:f>0+0+0</x:f>
        <x:v>0</x:v>
      </x:c>
      <x:c r="C233" s="58" t="n">
        <x:f>0+0+0</x:f>
        <x:v>0</x:v>
      </x:c>
      <x:c r="D233" s="58" t="n">
        <x:f>0+0+0</x:f>
        <x:v>0</x:v>
      </x:c>
      <x:c r="E233" s="58" t="n">
        <x:f>0+0+0</x:f>
        <x:v>0</x:v>
      </x:c>
      <x:c r="F233" s="58" t="n">
        <x:f>0+0+0</x:f>
        <x:v>0</x:v>
      </x:c>
      <x:c r="G233" s="58" t="n">
        <x:f>0+0+0</x:f>
        <x:v>0</x:v>
      </x:c>
      <x:c r="H233" s="58" t="n">
        <x:f>0+0+0</x:f>
        <x:v>0</x:v>
      </x:c>
      <x:c r="I233" s="58" t="n">
        <x:f>0+0+0</x:f>
        <x:v>0</x:v>
      </x:c>
      <x:c r="J233" s="58" t="n">
        <x:f>0+0+0</x:f>
        <x:v>0</x:v>
      </x:c>
      <x:c r="K233" s="58" t="n">
        <x:f>0+0+0</x:f>
        <x:v>0</x:v>
      </x:c>
      <x:c r="L233" s="58" t="n">
        <x:f>0+0+0</x:f>
        <x:v>0</x:v>
      </x:c>
      <x:c r="M233" s="58" t="n">
        <x:f>0+0+0</x:f>
        <x:v>0</x:v>
      </x:c>
      <x:c r="N233" s="58" t="n">
        <x:f>B230+B231+B232</x:f>
        <x:v>16.732499999999998</x:v>
      </x:c>
      <x:c r="O233" s="58" t="n">
        <x:f>C230+C231+C232</x:f>
        <x:v>18.042</x:v>
      </x:c>
      <x:c r="P233" s="58" t="n">
        <x:f>D230+D231+D232</x:f>
        <x:v>19.508639999999996</x:v>
      </x:c>
      <x:c r="Q233" s="58" t="n">
        <x:f>E230+E231+E232</x:f>
        <x:v>26.971276800000002</x:v>
      </x:c>
      <x:c r="R233" s="58" t="n">
        <x:f>F230+F231+F232</x:f>
        <x:v>28.811030016</x:v>
      </x:c>
      <x:c r="S233" s="58" t="n">
        <x:f>G230+G231+G232</x:f>
        <x:v>30.871553617920004</x:v>
      </x:c>
      <x:c r="T233" s="58" t="n">
        <x:f>H230+H231+H232</x:f>
        <x:v>45.78934005207041</x:v>
      </x:c>
      <x:c r="U233" s="58" t="n">
        <x:f>I230+I231+I232</x:f>
        <x:v>48.374060858318856</x:v>
      </x:c>
      <x:c r="V233" s="58" t="n">
        <x:f>J230+J231+J232</x:f>
        <x:v>51.26894816131712</x:v>
      </x:c>
      <x:c r="W233" s="58" t="n">
        <x:f>K230+K231+K232</x:f>
        <x:v>54.511221940675185</x:v>
      </x:c>
      <x:c r="X233" s="58" t="n">
        <x:f>L230+L231+L232</x:f>
        <x:v>58.14256857355621</x:v>
      </x:c>
      <x:c r="Y233" s="58" t="n">
        <x:f>M230+M231+M232</x:f>
        <x:v>62.20967680238296</x:v>
      </x:c>
      <x:c r="Z233" s="58" t="n">
        <x:f>N230+N231+N232</x:f>
        <x:v>89.95651753748268</x:v>
      </x:c>
      <x:c r="AA233" s="58" t="n">
        <x:f>O230+O231+O232</x:f>
        <x:v>93.61729811320856</x:v>
      </x:c>
      <x:c r="AB233" s="58" t="n">
        <x:f>P230+P231+P232</x:f>
        <x:v>97.58618371499253</x:v>
      </x:c>
      <x:c r="AC233" s="58" t="n">
        <x:f>Q230+Q231+Q232</x:f>
        <x:v>103.58327185451921</x:v>
      </x:c>
      <x:c r="AD233" s="58" t="n">
        <x:f>R230+R231+R232</x:f>
        <x:v>108.25013773756002</x:v>
      </x:c>
      <x:c r="AE233" s="58" t="n">
        <x:f>S230+S231+S232</x:f>
        <x:v>113.31176761867836</x:v>
      </x:c>
      <x:c r="AF233" s="58" t="n">
        <x:f>T230+T231+T232</x:f>
        <x:v>144.51727693046703</x:v>
      </x:c>
      <x:c r="AG233" s="58" t="n">
        <x:f>U230+U231+U232</x:f>
        <x:v>150.4739279122014</x:v>
      </x:c>
      <x:c r="AH233" s="58" t="n">
        <x:f>V230+V231+V232</x:f>
        <x:v>156.93719712265926</x:v>
      </x:c>
      <x:c r="AI233" s="58" t="n">
        <x:f>W230+W231+W232</x:f>
        <x:v>163.95122435816066</x:v>
      </x:c>
      <x:c r="AJ233" s="58" t="n">
        <x:f>X230+X231+X232</x:f>
        <x:v>171.56411383929387</x:v>
      </x:c>
      <x:c r="AK233" s="58" t="n">
        <x:f>Y230+Y231+Y232</x:f>
        <x:v>179.8283033537245</x:v>
      </x:c>
    </x:row>
    <x:row r="234" ht="18" customHeight="1">
      <x:c r="A234" s="74" t="str">
        <x:v>ACTIVE ANNUAL SUBSCRIBERS</x:v>
      </x:c>
      <x:c r="B234" s="75" t="n">
        <x:f>0+SUM(B230:B232)-B233</x:f>
        <x:v>16.732499999999998</x:v>
      </x:c>
      <x:c r="C234" s="75" t="n">
        <x:f>B234+SUM(C230:C232)-C233</x:f>
        <x:v>34.7745</x:v>
      </x:c>
      <x:c r="D234" s="75" t="n">
        <x:f>C234+SUM(D230:D232)-D233</x:f>
        <x:v>54.28314</x:v>
      </x:c>
      <x:c r="E234" s="75" t="n">
        <x:f>D234+SUM(E230:E232)-E233</x:f>
        <x:v>81.2544168</x:v>
      </x:c>
      <x:c r="F234" s="75" t="n">
        <x:f>E234+SUM(F230:F232)-F233</x:f>
        <x:v>110.065446816</x:v>
      </x:c>
      <x:c r="G234" s="75" t="n">
        <x:f>F234+SUM(G230:G232)-G233</x:f>
        <x:v>140.93700043392002</x:v>
      </x:c>
      <x:c r="H234" s="75" t="n">
        <x:f>G234+SUM(H230:H232)-H233</x:f>
        <x:v>186.72634048599042</x:v>
      </x:c>
      <x:c r="I234" s="75" t="n">
        <x:f>H234+SUM(I230:I232)-I233</x:f>
        <x:v>235.10040134430926</x:v>
      </x:c>
      <x:c r="J234" s="75" t="n">
        <x:f>I234+SUM(J230:J232)-J233</x:f>
        <x:v>286.36934950562636</x:v>
      </x:c>
      <x:c r="K234" s="75" t="n">
        <x:f>J234+SUM(K230:K232)-K233</x:f>
        <x:v>340.88057144630153</x:v>
      </x:c>
      <x:c r="L234" s="75" t="n">
        <x:f>K234+SUM(L230:L232)-L233</x:f>
        <x:v>399.02314001985775</x:v>
      </x:c>
      <x:c r="M234" s="75" t="n">
        <x:f>L234+SUM(M230:M232)-M233</x:f>
        <x:v>461.2328168222407</x:v>
      </x:c>
      <x:c r="N234" s="75" t="n">
        <x:f>M234+SUM(N230:N232)-N233</x:f>
        <x:v>534.4568343597234</x:v>
      </x:c>
      <x:c r="O234" s="75" t="n">
        <x:f>N234+SUM(O230:O232)-O233</x:f>
        <x:v>610.032132472932</x:v>
      </x:c>
      <x:c r="P234" s="75" t="n">
        <x:f>O234+SUM(P230:P232)-P233</x:f>
        <x:v>688.1096761879245</x:v>
      </x:c>
      <x:c r="Q234" s="75" t="n">
        <x:f>P234+SUM(Q230:Q232)-Q233</x:f>
        <x:v>764.7216712424437</x:v>
      </x:c>
      <x:c r="R234" s="75" t="n">
        <x:f>Q234+SUM(R230:R232)-R233</x:f>
        <x:v>844.1607789640037</x:v>
      </x:c>
      <x:c r="S234" s="75" t="n">
        <x:f>R234+SUM(S230:S232)-S233</x:f>
        <x:v>926.6009929647621</x:v>
      </x:c>
      <x:c r="T234" s="75" t="n">
        <x:f>S234+SUM(T230:T232)-T233</x:f>
        <x:v>1025.3289298431587</x:v>
      </x:c>
      <x:c r="U234" s="75" t="n">
        <x:f>T234+SUM(U230:U232)-U233</x:f>
        <x:v>1127.4287968970411</x:v>
      </x:c>
      <x:c r="V234" s="75" t="n">
        <x:f>U234+SUM(V230:V232)-V233</x:f>
        <x:v>1233.0970458583831</x:v>
      </x:c>
      <x:c r="W234" s="75" t="n">
        <x:f>V234+SUM(W230:W232)-W233</x:f>
        <x:v>1342.5370482758688</x:v>
      </x:c>
      <x:c r="X234" s="75" t="n">
        <x:f>W234+SUM(X230:X232)-X233</x:f>
        <x:v>1455.9585935416064</x:v>
      </x:c>
      <x:c r="Y234" s="75" t="n">
        <x:f>X234+SUM(Y230:Y232)-Y233</x:f>
        <x:v>1573.577220092948</x:v>
      </x:c>
      <x:c r="Z234" s="75" t="n">
        <x:f>Y234+SUM(Z230:Z232)-Z233</x:f>
        <x:v>1692.4683683027606</x:v>
      </x:c>
      <x:c r="AA234" s="75" t="n">
        <x:f>Z234+SUM(AA230:AA232)-AA233</x:f>
        <x:v>1814.9358867772698</x:v>
      </x:c>
      <x:c r="AB234" s="75" t="n">
        <x:f>AA234+SUM(AB230:AB232)-AB233</x:f>
        <x:v>1941.1371853630487</x:v>
      </x:c>
      <x:c r="AC234" s="75" t="n">
        <x:f>AB234+SUM(AC230:AC232)-AC233</x:f>
        <x:v>2070.444044338106</x:v>
      </x:c>
      <x:c r="AD234" s="75" t="n">
        <x:f>AC234+SUM(AD230:AD232)-AD233</x:f>
        <x:v>2203.8126510204447</x:v>
      </x:c>
      <x:c r="AE234" s="75" t="n">
        <x:f>AD234+SUM(AE230:AE232)-AE233</x:f>
        <x:v>2341.4131406796346</x:v>
      </x:c>
      <x:c r="AF234" s="75" t="n">
        <x:f>AE234+SUM(AF230:AF232)-AF233</x:f>
        <x:v>2486.1186403620895</x:v>
      </x:c>
      <x:c r="AG234" s="75" t="n">
        <x:f>AF234+SUM(AG230:AG232)-AG233</x:f>
        <x:v>2635.407095676097</x:v>
      </x:c>
      <x:c r="AH234" s="75" t="n">
        <x:f>AG234+SUM(AH230:AH232)-AH233</x:f>
        <x:v>2789.4586314052776</x:v>
      </x:c>
      <x:c r="AI234" s="75" t="n">
        <x:f>AH234+SUM(AI230:AI232)-AI233</x:f>
        <x:v>2948.455749504584</x:v>
      </x:c>
      <x:c r="AJ234" s="75" t="n">
        <x:f>AI234+SUM(AJ230:AJ232)-AJ233</x:f>
        <x:v>3112.582696251965</x:v>
      </x:c>
      <x:c r="AK234" s="75" t="n">
        <x:f>AJ234+SUM(AK230:AK232)-AK233</x:f>
        <x:v>3282.024717264435</x:v>
      </x:c>
    </x:row>
    <x:row r="235" ht="18" customHeight="1">
      <x:c r="A235" s="4" t="str">
        <x:v>Annual charge events before refunds</x:v>
      </x:c>
      <x:c r="B235" s="58" t="n">
        <x:f>SUM(B230:B232)/(1-'Scenario Inputs'!$C$29)</x:f>
        <x:v>17.25</x:v>
      </x:c>
      <x:c r="C235" s="58" t="n">
        <x:f>SUM(C230:C232)/(1-'Scenario Inputs'!$C$29)</x:f>
        <x:v>18.6</x:v>
      </x:c>
      <x:c r="D235" s="58" t="n">
        <x:f>SUM(D230:D232)/(1-'Scenario Inputs'!$C$29)</x:f>
        <x:v>20.112</x:v>
      </x:c>
      <x:c r="E235" s="58" t="n">
        <x:f>SUM(E230:E232)/(1-'Scenario Inputs'!$C$29)</x:f>
        <x:v>27.805440000000004</x:v>
      </x:c>
      <x:c r="F235" s="58" t="n">
        <x:f>SUM(F230:F232)/(1-'Scenario Inputs'!$C$29)</x:f>
        <x:v>29.702092800000003</x:v>
      </x:c>
      <x:c r="G235" s="58" t="n">
        <x:f>SUM(G230:G232)/(1-'Scenario Inputs'!$C$29)</x:f>
        <x:v>31.826343936000004</x:v>
      </x:c>
      <x:c r="H235" s="58" t="n">
        <x:f>SUM(H230:H232)/(1-'Scenario Inputs'!$C$29)</x:f>
        <x:v>47.20550520832001</x:v>
      </x:c>
      <x:c r="I235" s="58" t="n">
        <x:f>SUM(I230:I232)/(1-'Scenario Inputs'!$C$29)</x:f>
        <x:v>49.87016583331841</x:v>
      </x:c>
      <x:c r="J235" s="58" t="n">
        <x:f>SUM(J230:J232)/(1-'Scenario Inputs'!$C$29)</x:f>
        <x:v>52.85458573331662</x:v>
      </x:c>
      <x:c r="K235" s="58" t="n">
        <x:f>SUM(K230:K232)/(1-'Scenario Inputs'!$C$29)</x:f>
        <x:v>56.19713602131463</x:v>
      </x:c>
      <x:c r="L235" s="58" t="n">
        <x:f>SUM(L230:L232)/(1-'Scenario Inputs'!$C$29)</x:f>
        <x:v>59.94079234387238</x:v>
      </x:c>
      <x:c r="M235" s="58" t="n">
        <x:f>SUM(M230:M232)/(1-'Scenario Inputs'!$C$29)</x:f>
        <x:v>64.13368742513707</x:v>
      </x:c>
      <x:c r="N235" s="58" t="n">
        <x:f>SUM(N230:N232)/(1-'Scenario Inputs'!$C$29)</x:f>
        <x:v>92.73867787369349</x:v>
      </x:c>
      <x:c r="O235" s="58" t="n">
        <x:f>SUM(O230:O232)/(1-'Scenario Inputs'!$C$29)</x:f>
        <x:v>96.51267846722533</x:v>
      </x:c>
      <x:c r="P235" s="58" t="n">
        <x:f>SUM(P230:P232)/(1-'Scenario Inputs'!$C$29)</x:f>
        <x:v>100.60431310823972</x:v>
      </x:c>
      <x:c r="Q235" s="58" t="n">
        <x:f>SUM(Q230:Q232)/(1-'Scenario Inputs'!$C$29)</x:f>
        <x:v>106.78687820053527</x:v>
      </x:c>
      <x:c r="R235" s="58" t="n">
        <x:f>SUM(R230:R232)/(1-'Scenario Inputs'!$C$29)</x:f>
        <x:v>111.59808014181446</x:v>
      </x:c>
      <x:c r="S235" s="58" t="n">
        <x:f>SUM(S230:S232)/(1-'Scenario Inputs'!$C$29)</x:f>
        <x:v>116.816255276988</x:v>
      </x:c>
      <x:c r="T235" s="58" t="n">
        <x:f>SUM(T230:T232)/(1-'Scenario Inputs'!$C$29)</x:f>
        <x:v>148.98688343347118</x:v>
      </x:c>
      <x:c r="U235" s="58" t="n">
        <x:f>SUM(U230:U232)/(1-'Scenario Inputs'!$C$29)</x:f>
        <x:v>155.12776073422825</x:v>
      </x:c>
      <x:c r="V235" s="58" t="n">
        <x:f>SUM(V230:V232)/(1-'Scenario Inputs'!$C$29)</x:f>
        <x:v>161.79092486872088</x:v>
      </x:c>
      <x:c r="W235" s="58" t="n">
        <x:f>SUM(W230:W232)/(1-'Scenario Inputs'!$C$29)</x:f>
        <x:v>169.02188078160893</x:v>
      </x:c>
      <x:c r="X235" s="58" t="n">
        <x:f>SUM(X230:X232)/(1-'Scenario Inputs'!$C$29)</x:f>
        <x:v>176.8702204528803</x:v>
      </x:c>
      <x:c r="Y235" s="58" t="n">
        <x:f>SUM(Y230:Y232)/(1-'Scenario Inputs'!$C$29)</x:f>
        <x:v>185.39000345744793</x:v>
      </x:c>
      <x:c r="Z235" s="58" t="n">
        <x:f>SUM(Z230:Z232)/(1-'Scenario Inputs'!$C$29)</x:f>
        <x:v>215.30687190442814</x:v>
      </x:c>
      <x:c r="AA235" s="58" t="n">
        <x:f>SUM(AA230:AA232)/(1-'Scenario Inputs'!$C$29)</x:f>
        <x:v>222.76785215228642</x:v>
      </x:c>
      <x:c r="AB235" s="58" t="n">
        <x:f>SUM(AB230:AB232)/(1-'Scenario Inputs'!$C$29)</x:f>
        <x:v>230.7087446399707</x:v>
      </x:c>
      <x:c r="AC235" s="58" t="n">
        <x:f>SUM(AC230:AC232)/(1-'Scenario Inputs'!$C$29)</x:f>
        <x:v>240.09291838100665</x:v>
      </x:c>
      <x:c r="AD235" s="58" t="n">
        <x:f>SUM(AD230:AD232)/(1-'Scenario Inputs'!$C$29)</x:f>
        <x:v>249.09148909267955</x:v>
      </x:c>
      <x:c r="AE235" s="58" t="n">
        <x:f>SUM(AE230:AE232)/(1-'Scenario Inputs'!$C$29)</x:f>
        <x:v>258.6724301833692</x:v>
      </x:c>
      <x:c r="AF235" s="58" t="n">
        <x:f>SUM(AF230:AF232)/(1-'Scenario Inputs'!$C$29)</x:f>
        <x:v>298.167810941157</x:v>
      </x:c>
      <x:c r="AG235" s="58" t="n">
        <x:f>SUM(AG230:AG232)/(1-'Scenario Inputs'!$C$29)</x:f>
        <x:v>309.0333847692876</x:v>
      </x:c>
      <x:c r="AH235" s="58" t="n">
        <x:f>SUM(AH230:AH232)/(1-'Scenario Inputs'!$C$29)</x:f>
        <x:v>320.60694108437104</x:v>
      </x:c>
      <x:c r="AI235" s="58" t="n">
        <x:f>SUM(AI230:AI232)/(1-'Scenario Inputs'!$C$29)</x:f>
        <x:v>332.93643552316206</x:v>
      </x:c>
      <x:c r="AJ235" s="58" t="n">
        <x:f>SUM(AJ230:AJ232)/(1-'Scenario Inputs'!$C$29)</x:f>
        <x:v>346.0732583367778</x:v>
      </x:c>
      <x:c r="AK235" s="58" t="n">
        <x:f>SUM(AK230:AK232)/(1-'Scenario Inputs'!$C$29)</x:f>
        <x:v>360.072499346592</x:v>
      </x:c>
    </x:row>
    <x:row r="236" ht="18" customHeight="1">
      <x:c r="A236" s="4" t="str"/>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c r="AA236" s="58"/>
      <x:c r="AB236" s="58"/>
      <x:c r="AC236" s="58"/>
      <x:c r="AD236" s="58"/>
      <x:c r="AE236" s="58"/>
      <x:c r="AF236" s="58"/>
      <x:c r="AG236" s="58"/>
      <x:c r="AH236" s="58"/>
      <x:c r="AI236" s="58"/>
      <x:c r="AJ236" s="58"/>
      <x:c r="AK236" s="58"/>
    </x:row>
    <x:row r="237" ht="18" customHeight="1">
      <x:c r="A237" s="4" t="str">
        <x:v>New monthly payers after refunds</x:v>
      </x:c>
      <x:c r="B237" s="58" t="n">
        <x:f>B222*(1-'Scenario Inputs'!$C$27)*(1-'Scenario Inputs'!$C$29)</x:f>
        <x:v>5.5775</x:v>
      </x:c>
      <x:c r="C237" s="58" t="n">
        <x:f>C222*(1-'Scenario Inputs'!$C$27)*(1-'Scenario Inputs'!$C$29)</x:f>
        <x:v>6.014</x:v>
      </x:c>
      <x:c r="D237" s="58" t="n">
        <x:f>D222*(1-'Scenario Inputs'!$C$27)*(1-'Scenario Inputs'!$C$29)</x:f>
        <x:v>6.502879999999999</x:v>
      </x:c>
      <x:c r="E237" s="58" t="n">
        <x:f>E222*(1-'Scenario Inputs'!$C$27)*(1-'Scenario Inputs'!$C$29)</x:f>
        <x:v>8.9904256</x:v>
      </x:c>
      <x:c r="F237" s="58" t="n">
        <x:f>F222*(1-'Scenario Inputs'!$C$27)*(1-'Scenario Inputs'!$C$29)</x:f>
        <x:v>9.603676672</x:v>
      </x:c>
      <x:c r="G237" s="58" t="n">
        <x:f>G222*(1-'Scenario Inputs'!$C$27)*(1-'Scenario Inputs'!$C$29)</x:f>
        <x:v>10.29051787264</x:v>
      </x:c>
      <x:c r="H237" s="58" t="n">
        <x:f>H222*(1-'Scenario Inputs'!$C$27)*(1-'Scenario Inputs'!$C$29)</x:f>
        <x:v>15.263113350690137</x:v>
      </x:c>
      <x:c r="I237" s="58" t="n">
        <x:f>I222*(1-'Scenario Inputs'!$C$27)*(1-'Scenario Inputs'!$C$29)</x:f>
        <x:v>16.12468695277295</x:v>
      </x:c>
      <x:c r="J237" s="58" t="n">
        <x:f>J222*(1-'Scenario Inputs'!$C$27)*(1-'Scenario Inputs'!$C$29)</x:f>
        <x:v>17.089649387105705</x:v>
      </x:c>
      <x:c r="K237" s="58" t="n">
        <x:f>K222*(1-'Scenario Inputs'!$C$27)*(1-'Scenario Inputs'!$C$29)</x:f>
        <x:v>18.170407313558396</x:v>
      </x:c>
      <x:c r="L237" s="58" t="n">
        <x:f>L222*(1-'Scenario Inputs'!$C$27)*(1-'Scenario Inputs'!$C$29)</x:f>
        <x:v>19.3808561911854</x:v>
      </x:c>
      <x:c r="M237" s="58" t="n">
        <x:f>M222*(1-'Scenario Inputs'!$C$27)*(1-'Scenario Inputs'!$C$29)</x:f>
        <x:v>20.73655893412765</x:v>
      </x:c>
      <x:c r="N237" s="58" t="n">
        <x:f>N222*(1-'Scenario Inputs'!$C$27)*(1-'Scenario Inputs'!$C$29)</x:f>
        <x:v>28.36245334582756</x:v>
      </x:c>
      <x:c r="O237" s="58" t="n">
        <x:f>O222*(1-'Scenario Inputs'!$C$27)*(1-'Scenario Inputs'!$C$29)</x:f>
        <x:v>29.455692037736192</x:v>
      </x:c>
      <x:c r="P237" s="58" t="n">
        <x:f>P222*(1-'Scenario Inputs'!$C$27)*(1-'Scenario Inputs'!$C$29)</x:f>
        <x:v>30.636389824997515</x:v>
      </x:c>
      <x:c r="Q237" s="58" t="n">
        <x:f>Q222*(1-'Scenario Inputs'!$C$27)*(1-'Scenario Inputs'!$C$29)</x:f>
        <x:v>31.911543435239736</x:v>
      </x:c>
      <x:c r="R237" s="58" t="n">
        <x:f>R222*(1-'Scenario Inputs'!$C$27)*(1-'Scenario Inputs'!$C$29)</x:f>
        <x:v>33.288709334301345</x:v>
      </x:c>
      <x:c r="S237" s="58" t="n">
        <x:f>S222*(1-'Scenario Inputs'!$C$27)*(1-'Scenario Inputs'!$C$29)</x:f>
        <x:v>34.776048505287875</x:v>
      </x:c>
      <x:c r="T237" s="58" t="n">
        <x:f>T222*(1-'Scenario Inputs'!$C$27)*(1-'Scenario Inputs'!$C$29)</x:f>
        <x:v>43.73085965843818</x:v>
      </x:c>
      <x:c r="U237" s="58" t="n">
        <x:f>U222*(1-'Scenario Inputs'!$C$27)*(1-'Scenario Inputs'!$C$29)</x:f>
        <x:v>45.46569206747687</x:v>
      </x:c>
      <x:c r="V237" s="58" t="n">
        <x:f>V222*(1-'Scenario Inputs'!$C$27)*(1-'Scenario Inputs'!$C$29)</x:f>
        <x:v>47.33931106923866</x:v>
      </x:c>
      <x:c r="W237" s="58" t="n">
        <x:f>W222*(1-'Scenario Inputs'!$C$27)*(1-'Scenario Inputs'!$C$29)</x:f>
        <x:v>49.36281959114139</x:v>
      </x:c>
      <x:c r="X237" s="58" t="n">
        <x:f>X222*(1-'Scenario Inputs'!$C$27)*(1-'Scenario Inputs'!$C$29)</x:f>
        <x:v>51.54820879479634</x:v>
      </x:c>
      <x:c r="Y237" s="58" t="n">
        <x:f>Y222*(1-'Scenario Inputs'!$C$27)*(1-'Scenario Inputs'!$C$29)</x:f>
        <x:v>53.90842913474368</x:v>
      </x:c>
      <x:c r="Z237" s="58" t="n">
        <x:f>Z222*(1-'Scenario Inputs'!$C$27)*(1-'Scenario Inputs'!$C$29)</x:f>
        <x:v>60.496516150045935</x:v>
      </x:c>
      <x:c r="AA237" s="58" t="n">
        <x:f>AA222*(1-'Scenario Inputs'!$C$27)*(1-'Scenario Inputs'!$C$29)</x:f>
        <x:v>62.523001333924725</x:v>
      </x:c>
      <x:c r="AB237" s="58" t="n">
        <x:f>AB222*(1-'Scenario Inputs'!$C$27)*(1-'Scenario Inputs'!$C$29)</x:f>
        <x:v>64.67107562883625</x:v>
      </x:c>
      <x:c r="AC237" s="58" t="n">
        <x:f>AC222*(1-'Scenario Inputs'!$C$27)*(1-'Scenario Inputs'!$C$29)</x:f>
        <x:v>66.94803438144245</x:v>
      </x:c>
      <x:c r="AD237" s="58" t="n">
        <x:f>AD222*(1-'Scenario Inputs'!$C$27)*(1-'Scenario Inputs'!$C$29)</x:f>
        <x:v>69.36161065920504</x:v>
      </x:c>
      <x:c r="AE237" s="58" t="n">
        <x:f>AE222*(1-'Scenario Inputs'!$C$27)*(1-'Scenario Inputs'!$C$29)</x:f>
        <x:v>71.92000151363338</x:v>
      </x:c>
      <x:c r="AF237" s="58" t="n">
        <x:f>AF222*(1-'Scenario Inputs'!$C$27)*(1-'Scenario Inputs'!$C$29)</x:f>
        <x:v>81.31233659067728</x:v>
      </x:c>
      <x:c r="AG237" s="58" t="n">
        <x:f>AG222*(1-'Scenario Inputs'!$C$27)*(1-'Scenario Inputs'!$C$29)</x:f>
        <x:v>84.18694455471295</x:v>
      </x:c>
      <x:c r="AH237" s="58" t="n">
        <x:f>AH222*(1-'Scenario Inputs'!$C$27)*(1-'Scenario Inputs'!$C$29)</x:f>
        <x:v>87.23402899659078</x:v>
      </x:c>
      <x:c r="AI237" s="58" t="n">
        <x:f>AI222*(1-'Scenario Inputs'!$C$27)*(1-'Scenario Inputs'!$C$29)</x:f>
        <x:v>90.46393850498127</x:v>
      </x:c>
      <x:c r="AJ237" s="58" t="n">
        <x:f>AJ222*(1-'Scenario Inputs'!$C$27)*(1-'Scenario Inputs'!$C$29)</x:f>
        <x:v>93.88764258387519</x:v>
      </x:c>
      <x:c r="AK237" s="58" t="n">
        <x:f>AK222*(1-'Scenario Inputs'!$C$27)*(1-'Scenario Inputs'!$C$29)</x:f>
        <x:v>97.51676890750275</x:v>
      </x:c>
    </x:row>
    <x:row r="238" ht="18" customHeight="1">
      <x:c r="A238" s="4" t="str">
        <x:v>First monthly renewals after refunds</x:v>
      </x:c>
      <x:c r="B238" s="58" t="n">
        <x:f>0*'Scenario Inputs'!$C$32*(1-'Scenario Inputs'!$C$29)</x:f>
        <x:v>0</x:v>
      </x:c>
      <x:c r="C238" s="58" t="n">
        <x:f>B237*'Scenario Inputs'!$C$32*(1-'Scenario Inputs'!$C$29)</x:f>
        <x:v>3.2461049999999996</x:v>
      </x:c>
      <x:c r="D238" s="58" t="n">
        <x:f>C237*'Scenario Inputs'!$C$32*(1-'Scenario Inputs'!$C$29)</x:f>
        <x:v>3.500148</x:v>
      </x:c>
      <x:c r="E238" s="58" t="n">
        <x:f>D237*'Scenario Inputs'!$C$32*(1-'Scenario Inputs'!$C$29)</x:f>
        <x:v>3.784676159999999</x:v>
      </x:c>
      <x:c r="F238" s="58" t="n">
        <x:f>E237*'Scenario Inputs'!$C$32*(1-'Scenario Inputs'!$C$29)</x:f>
        <x:v>5.2324276992</x:v>
      </x:c>
      <x:c r="G238" s="58" t="n">
        <x:f>F237*'Scenario Inputs'!$C$32*(1-'Scenario Inputs'!$C$29)</x:f>
        <x:v>5.589339823104</x:v>
      </x:c>
      <x:c r="H238" s="58" t="n">
        <x:f>G237*'Scenario Inputs'!$C$32*(1-'Scenario Inputs'!$C$29)</x:f>
        <x:v>5.98908140187648</x:v>
      </x:c>
      <x:c r="I238" s="58" t="n">
        <x:f>H237*'Scenario Inputs'!$C$32*(1-'Scenario Inputs'!$C$29)</x:f>
        <x:v>8.88313197010166</x:v>
      </x:c>
      <x:c r="J238" s="58" t="n">
        <x:f>I237*'Scenario Inputs'!$C$32*(1-'Scenario Inputs'!$C$29)</x:f>
        <x:v>9.384567806513857</x:v>
      </x:c>
      <x:c r="K238" s="58" t="n">
        <x:f>J237*'Scenario Inputs'!$C$32*(1-'Scenario Inputs'!$C$29)</x:f>
        <x:v>9.94617594329552</x:v>
      </x:c>
      <x:c r="L238" s="58" t="n">
        <x:f>K237*'Scenario Inputs'!$C$32*(1-'Scenario Inputs'!$C$29)</x:f>
        <x:v>10.575177056490984</x:v>
      </x:c>
      <x:c r="M238" s="58" t="n">
        <x:f>L237*'Scenario Inputs'!$C$32*(1-'Scenario Inputs'!$C$29)</x:f>
        <x:v>11.279658303269903</x:v>
      </x:c>
      <x:c r="N238" s="58" t="n">
        <x:f>M237*'Scenario Inputs'!$C$32*(1-'Scenario Inputs'!$C$29)</x:f>
        <x:v>12.068677299662292</x:v>
      </x:c>
      <x:c r="O238" s="58" t="n">
        <x:f>N237*'Scenario Inputs'!$C$32*(1-'Scenario Inputs'!$C$29)</x:f>
        <x:v>16.50694784727164</x:v>
      </x:c>
      <x:c r="P238" s="58" t="n">
        <x:f>O237*'Scenario Inputs'!$C$32*(1-'Scenario Inputs'!$C$29)</x:f>
        <x:v>17.143212765962463</x:v>
      </x:c>
      <x:c r="Q238" s="58" t="n">
        <x:f>P237*'Scenario Inputs'!$C$32*(1-'Scenario Inputs'!$C$29)</x:f>
        <x:v>17.83037887814855</x:v>
      </x:c>
      <x:c r="R238" s="58" t="n">
        <x:f>Q237*'Scenario Inputs'!$C$32*(1-'Scenario Inputs'!$C$29)</x:f>
        <x:v>18.572518279309524</x:v>
      </x:c>
      <x:c r="S238" s="58" t="n">
        <x:f>R237*'Scenario Inputs'!$C$32*(1-'Scenario Inputs'!$C$29)</x:f>
        <x:v>19.374028832563383</x:v>
      </x:c>
      <x:c r="T238" s="58" t="n">
        <x:f>S237*'Scenario Inputs'!$C$32*(1-'Scenario Inputs'!$C$29)</x:f>
        <x:v>20.239660230077543</x:v>
      </x:c>
      <x:c r="U238" s="58" t="n">
        <x:f>T237*'Scenario Inputs'!$C$32*(1-'Scenario Inputs'!$C$29)</x:f>
        <x:v>25.451360321211016</x:v>
      </x:c>
      <x:c r="V238" s="58" t="n">
        <x:f>U237*'Scenario Inputs'!$C$32*(1-'Scenario Inputs'!$C$29)</x:f>
        <x:v>26.461032783271538</x:v>
      </x:c>
      <x:c r="W238" s="58" t="n">
        <x:f>V237*'Scenario Inputs'!$C$32*(1-'Scenario Inputs'!$C$29)</x:f>
        <x:v>27.5514790422969</x:v>
      </x:c>
      <x:c r="X238" s="58" t="n">
        <x:f>W237*'Scenario Inputs'!$C$32*(1-'Scenario Inputs'!$C$29)</x:f>
        <x:v>28.729161002044286</x:v>
      </x:c>
      <x:c r="Y238" s="58" t="n">
        <x:f>X237*'Scenario Inputs'!$C$32*(1-'Scenario Inputs'!$C$29)</x:f>
        <x:v>30.001057518571468</x:v>
      </x:c>
      <x:c r="Z238" s="58" t="n">
        <x:f>Y237*'Scenario Inputs'!$C$32*(1-'Scenario Inputs'!$C$29)</x:f>
        <x:v>31.37470575642082</x:v>
      </x:c>
      <x:c r="AA238" s="58" t="n">
        <x:f>Z237*'Scenario Inputs'!$C$32*(1-'Scenario Inputs'!$C$29)</x:f>
        <x:v>35.20897239932673</x:v>
      </x:c>
      <x:c r="AB238" s="58" t="n">
        <x:f>AA237*'Scenario Inputs'!$C$32*(1-'Scenario Inputs'!$C$29)</x:f>
        <x:v>36.38838677634419</x:v>
      </x:c>
      <x:c r="AC238" s="58" t="n">
        <x:f>AB237*'Scenario Inputs'!$C$32*(1-'Scenario Inputs'!$C$29)</x:f>
        <x:v>37.6385660159827</x:v>
      </x:c>
      <x:c r="AD238" s="58" t="n">
        <x:f>AC237*'Scenario Inputs'!$C$32*(1-'Scenario Inputs'!$C$29)</x:f>
        <x:v>38.9637560099995</x:v>
      </x:c>
      <x:c r="AE238" s="58" t="n">
        <x:f>AD237*'Scenario Inputs'!$C$32*(1-'Scenario Inputs'!$C$29)</x:f>
        <x:v>40.36845740365733</x:v>
      </x:c>
      <x:c r="AF238" s="58" t="n">
        <x:f>AE237*'Scenario Inputs'!$C$32*(1-'Scenario Inputs'!$C$29)</x:f>
        <x:v>41.857440880934625</x:v>
      </x:c>
      <x:c r="AG238" s="58" t="n">
        <x:f>AF237*'Scenario Inputs'!$C$32*(1-'Scenario Inputs'!$C$29)</x:f>
        <x:v>47.32377989577417</x:v>
      </x:c>
      <x:c r="AH238" s="58" t="n">
        <x:f>AG237*'Scenario Inputs'!$C$32*(1-'Scenario Inputs'!$C$29)</x:f>
        <x:v>48.99680173084294</x:v>
      </x:c>
      <x:c r="AI238" s="58" t="n">
        <x:f>AH237*'Scenario Inputs'!$C$32*(1-'Scenario Inputs'!$C$29)</x:f>
        <x:v>50.77020487601583</x:v>
      </x:c>
      <x:c r="AJ238" s="58" t="n">
        <x:f>AI237*'Scenario Inputs'!$C$32*(1-'Scenario Inputs'!$C$29)</x:f>
        <x:v>52.650012209899096</x:v>
      </x:c>
      <x:c r="AK238" s="58" t="n">
        <x:f>AJ237*'Scenario Inputs'!$C$32*(1-'Scenario Inputs'!$C$29)</x:f>
        <x:v>54.64260798381536</x:v>
      </x:c>
    </x:row>
    <x:row r="239" ht="18" customHeight="1">
      <x:c r="A239" s="4" t="str">
        <x:v>Second monthly renewals after refunds</x:v>
      </x:c>
      <x:c r="B239" s="58" t="n">
        <x:f>0*'Scenario Inputs'!$C$33*(1-'Scenario Inputs'!$C$29)</x:f>
        <x:v>0</x:v>
      </x:c>
      <x:c r="C239" s="58" t="n">
        <x:f>B238*'Scenario Inputs'!$C$33*(1-'Scenario Inputs'!$C$29)</x:f>
        <x:v>0</x:v>
      </x:c>
      <x:c r="D239" s="58" t="n">
        <x:f>C238*'Scenario Inputs'!$C$33*(1-'Scenario Inputs'!$C$29)</x:f>
        <x:v>2.3615413874999995</x:v>
      </x:c>
      <x:c r="E239" s="58" t="n">
        <x:f>D238*'Scenario Inputs'!$C$33*(1-'Scenario Inputs'!$C$29)</x:f>
        <x:v>2.54635767</x:v>
      </x:c>
      <x:c r="F239" s="58" t="n">
        <x:f>E238*'Scenario Inputs'!$C$33*(1-'Scenario Inputs'!$C$29)</x:f>
        <x:v>2.753351906399999</x:v>
      </x:c>
      <x:c r="G239" s="58" t="n">
        <x:f>F238*'Scenario Inputs'!$C$33*(1-'Scenario Inputs'!$C$29)</x:f>
        <x:v>3.806591151168</x:v>
      </x:c>
      <x:c r="H239" s="58" t="n">
        <x:f>G238*'Scenario Inputs'!$C$33*(1-'Scenario Inputs'!$C$29)</x:f>
        <x:v>4.06624472130816</x:v>
      </x:c>
      <x:c r="I239" s="58" t="n">
        <x:f>H238*'Scenario Inputs'!$C$33*(1-'Scenario Inputs'!$C$29)</x:f>
        <x:v>4.357056719865139</x:v>
      </x:c>
      <x:c r="J239" s="58" t="n">
        <x:f>I238*'Scenario Inputs'!$C$33*(1-'Scenario Inputs'!$C$29)</x:f>
        <x:v>6.4624785082489575</x:v>
      </x:c>
      <x:c r="K239" s="58" t="n">
        <x:f>J238*'Scenario Inputs'!$C$33*(1-'Scenario Inputs'!$C$29)</x:f>
        <x:v>6.8272730792388305</x:v>
      </x:c>
      <x:c r="L239" s="58" t="n">
        <x:f>K238*'Scenario Inputs'!$C$33*(1-'Scenario Inputs'!$C$29)</x:f>
        <x:v>7.23584299874749</x:v>
      </x:c>
      <x:c r="M239" s="58" t="n">
        <x:f>L238*'Scenario Inputs'!$C$33*(1-'Scenario Inputs'!$C$29)</x:f>
        <x:v>7.69344130859719</x:v>
      </x:c>
      <x:c r="N239" s="58" t="n">
        <x:f>M238*'Scenario Inputs'!$C$33*(1-'Scenario Inputs'!$C$29)</x:f>
        <x:v>8.205951415628853</x:v>
      </x:c>
      <x:c r="O239" s="58" t="n">
        <x:f>N238*'Scenario Inputs'!$C$33*(1-'Scenario Inputs'!$C$29)</x:f>
        <x:v>8.779962735504318</x:v>
      </x:c>
      <x:c r="P239" s="58" t="n">
        <x:f>O238*'Scenario Inputs'!$C$33*(1-'Scenario Inputs'!$C$29)</x:f>
        <x:v>12.008804558890118</x:v>
      </x:c>
      <x:c r="Q239" s="58" t="n">
        <x:f>P238*'Scenario Inputs'!$C$33*(1-'Scenario Inputs'!$C$29)</x:f>
        <x:v>12.471687287237692</x:v>
      </x:c>
      <x:c r="R239" s="58" t="n">
        <x:f>Q238*'Scenario Inputs'!$C$33*(1-'Scenario Inputs'!$C$29)</x:f>
        <x:v>12.97160063385307</x:v>
      </x:c>
      <x:c r="S239" s="58" t="n">
        <x:f>R238*'Scenario Inputs'!$C$33*(1-'Scenario Inputs'!$C$29)</x:f>
        <x:v>13.511507048197679</x:v>
      </x:c>
      <x:c r="T239" s="58" t="n">
        <x:f>S238*'Scenario Inputs'!$C$33*(1-'Scenario Inputs'!$C$29)</x:f>
        <x:v>14.094605975689861</x:v>
      </x:c>
      <x:c r="U239" s="58" t="n">
        <x:f>T238*'Scenario Inputs'!$C$33*(1-'Scenario Inputs'!$C$29)</x:f>
        <x:v>14.724352817381412</x:v>
      </x:c>
      <x:c r="V239" s="58" t="n">
        <x:f>U238*'Scenario Inputs'!$C$33*(1-'Scenario Inputs'!$C$29)</x:f>
        <x:v>18.515864633681016</x:v>
      </x:c>
      <x:c r="W239" s="58" t="n">
        <x:f>V238*'Scenario Inputs'!$C$33*(1-'Scenario Inputs'!$C$29)</x:f>
        <x:v>19.250401349830042</x:v>
      </x:c>
      <x:c r="X239" s="58" t="n">
        <x:f>W238*'Scenario Inputs'!$C$33*(1-'Scenario Inputs'!$C$29)</x:f>
        <x:v>20.043701003270993</x:v>
      </x:c>
      <x:c r="Y239" s="58" t="n">
        <x:f>X238*'Scenario Inputs'!$C$33*(1-'Scenario Inputs'!$C$29)</x:f>
        <x:v>20.900464628987216</x:v>
      </x:c>
      <x:c r="Z239" s="58" t="n">
        <x:f>Y238*'Scenario Inputs'!$C$33*(1-'Scenario Inputs'!$C$29)</x:f>
        <x:v>21.82576934476074</x:v>
      </x:c>
      <x:c r="AA239" s="58" t="n">
        <x:f>Z238*'Scenario Inputs'!$C$33*(1-'Scenario Inputs'!$C$29)</x:f>
        <x:v>22.825098437796147</x:v>
      </x:c>
      <x:c r="AB239" s="58" t="n">
        <x:f>AA238*'Scenario Inputs'!$C$33*(1-'Scenario Inputs'!$C$29)</x:f>
        <x:v>25.614527420510196</x:v>
      </x:c>
      <x:c r="AC239" s="58" t="n">
        <x:f>AB238*'Scenario Inputs'!$C$33*(1-'Scenario Inputs'!$C$29)</x:f>
        <x:v>26.4725513797904</x:v>
      </x:c>
      <x:c r="AD239" s="58" t="n">
        <x:f>AC238*'Scenario Inputs'!$C$33*(1-'Scenario Inputs'!$C$29)</x:f>
        <x:v>27.38205677662741</x:v>
      </x:c>
      <x:c r="AE239" s="58" t="n">
        <x:f>AD238*'Scenario Inputs'!$C$33*(1-'Scenario Inputs'!$C$29)</x:f>
        <x:v>28.346132497274635</x:v>
      </x:c>
      <x:c r="AF239" s="58" t="n">
        <x:f>AE238*'Scenario Inputs'!$C$33*(1-'Scenario Inputs'!$C$29)</x:f>
        <x:v>29.36805276116071</x:v>
      </x:c>
      <x:c r="AG239" s="58" t="n">
        <x:f>AF238*'Scenario Inputs'!$C$33*(1-'Scenario Inputs'!$C$29)</x:f>
        <x:v>30.451288240879936</x:v>
      </x:c>
      <x:c r="AH239" s="58" t="n">
        <x:f>AG238*'Scenario Inputs'!$C$33*(1-'Scenario Inputs'!$C$29)</x:f>
        <x:v>34.428049874175706</x:v>
      </x:c>
      <x:c r="AI239" s="58" t="n">
        <x:f>AH238*'Scenario Inputs'!$C$33*(1-'Scenario Inputs'!$C$29)</x:f>
        <x:v>35.64517325918823</x:v>
      </x:c>
      <x:c r="AJ239" s="58" t="n">
        <x:f>AI238*'Scenario Inputs'!$C$33*(1-'Scenario Inputs'!$C$29)</x:f>
        <x:v>36.93532404730151</x:v>
      </x:c>
      <x:c r="AK239" s="58" t="n">
        <x:f>AJ238*'Scenario Inputs'!$C$33*(1-'Scenario Inputs'!$C$29)</x:f>
        <x:v>38.302883882701586</x:v>
      </x:c>
    </x:row>
    <x:row r="240" ht="18" customHeight="1">
      <x:c r="A240" s="4" t="str">
        <x:v>Later monthly renewals after refunds</x:v>
      </x:c>
      <x:c r="B240" s="58" t="n">
        <x:f>(0+0)*'Scenario Inputs'!$C$34*(1-'Scenario Inputs'!$C$29)</x:f>
        <x:v>0</x:v>
      </x:c>
      <x:c r="C240" s="58" t="n">
        <x:f>(B239+B240)*'Scenario Inputs'!$C$34*(1-'Scenario Inputs'!$C$29)</x:f>
        <x:v>0</x:v>
      </x:c>
      <x:c r="D240" s="58" t="n">
        <x:f>(C239+C240)*'Scenario Inputs'!$C$34*(1-'Scenario Inputs'!$C$29)</x:f>
        <x:v>0</x:v>
      </x:c>
      <x:c r="E240" s="58" t="n">
        <x:f>(D239+D240)*'Scenario Inputs'!$C$34*(1-'Scenario Inputs'!$C$29)</x:f>
        <x:v>2.0158117283699997</x:v>
      </x:c>
      <x:c r="F240" s="58" t="n">
        <x:f>(E239+E240)*'Scenario Inputs'!$C$34*(1-'Scenario Inputs'!$C$29)</x:f>
        <x:v>3.8942677984486314</x:v>
      </x:c>
      <x:c r="G240" s="58" t="n">
        <x:f>(F239+F240)*'Scenario Inputs'!$C$34*(1-'Scenario Inputs'!$C$29)</x:f>
        <x:v>5.67440818005879</x:v>
      </x:c>
      <x:c r="H240" s="58" t="n">
        <x:f>(G239+G240)*'Scenario Inputs'!$C$34*(1-'Scenario Inputs'!$C$29)</x:f>
        <x:v>8.092981029135188</x:v>
      </x:c>
      <x:c r="I240" s="58" t="n">
        <x:f>(H239+H240)*'Scenario Inputs'!$C$34*(1-'Scenario Inputs'!$C$29)</x:f>
        <x:v>10.379115100578442</x:v>
      </x:c>
      <x:c r="J240" s="58" t="n">
        <x:f>(I239+I240)*'Scenario Inputs'!$C$34*(1-'Scenario Inputs'!$C$29)</x:f>
        <x:v>12.57879626593064</x:v>
      </x:c>
      <x:c r="K240" s="58" t="n">
        <x:f>(J239+J240)*'Scenario Inputs'!$C$34*(1-'Scenario Inputs'!$C$29)</x:f>
        <x:v>16.253632147239706</x:v>
      </x:c>
      <x:c r="L240" s="58" t="n">
        <x:f>(K239+K240)*'Scenario Inputs'!$C$34*(1-'Scenario Inputs'!$C$29)</x:f>
        <x:v>19.70186070132208</x:v>
      </x:c>
      <x:c r="M240" s="58" t="n">
        <x:f>(L239+L240)*'Scenario Inputs'!$C$34*(1-'Scenario Inputs'!$C$29)</x:f>
        <x:v>22.994023878379384</x:v>
      </x:c>
      <x:c r="N240" s="58" t="n">
        <x:f>(M239+M240)*'Scenario Inputs'!$C$34*(1-'Scenario Inputs'!$C$29)</x:f>
        <x:v>26.194820283603203</x:v>
      </x:c>
      <x:c r="O240" s="58" t="n">
        <x:f>(N239+N240)*'Scenario Inputs'!$C$34*(1-'Scenario Inputs'!$C$29)</x:f>
        <x:v>29.36449872246448</x:v>
      </x:c>
      <x:c r="P240" s="58" t="n">
        <x:f>(O239+O240)*'Scenario Inputs'!$C$34*(1-'Scenario Inputs'!$C$29)</x:f>
        <x:v>32.560112300522164</x:v>
      </x:c>
      <x:c r="Q240" s="58" t="n">
        <x:f>(P239+P240)*'Scenario Inputs'!$C$34*(1-'Scenario Inputs'!$C$29)</x:f>
        <x:v>38.04402743119432</x:v>
      </x:c>
      <x:c r="R240" s="58" t="n">
        <x:f>(Q239+Q240)*'Scenario Inputs'!$C$34*(1-'Scenario Inputs'!$C$29)</x:f>
        <x:v>43.120214083653565</x:v>
      </x:c>
      <x:c r="S240" s="58" t="n">
        <x:f>(R239+R240)*'Scenario Inputs'!$C$34*(1-'Scenario Inputs'!$C$29)</x:f>
        <x:v>47.87997304286366</x:v>
      </x:c>
      <x:c r="T240" s="58" t="n">
        <x:f>(S239+S240)*'Scenario Inputs'!$C$34*(1-'Scenario Inputs'!$C$29)</x:f>
        <x:v>52.40376740572996</x:v>
      </x:c>
      <x:c r="U240" s="58" t="n">
        <x:f>(T239+T240)*'Scenario Inputs'!$C$34*(1-'Scenario Inputs'!$C$29)</x:f>
        <x:v>56.76301151837996</x:v>
      </x:c>
      <x:c r="V240" s="58" t="n">
        <x:f>(U239+U240)*'Scenario Inputs'!$C$34*(1-'Scenario Inputs'!$C$29)</x:f>
        <x:v>61.0216141970059</x:v>
      </x:c>
      <x:c r="W240" s="58" t="n">
        <x:f>(V239+V240)*'Scenario Inputs'!$C$34*(1-'Scenario Inputs'!$C$29)</x:f>
        <x:v>67.89319192987435</x:v>
      </x:c>
      <x:c r="X240" s="58" t="n">
        <x:f>(W239+W240)*'Scenario Inputs'!$C$34*(1-'Scenario Inputs'!$C$29)</x:f>
        <x:v>74.38577122355566</x:v>
      </x:c>
      <x:c r="Y240" s="58" t="n">
        <x:f>(X239+X240)*'Scenario Inputs'!$C$34*(1-'Scenario Inputs'!$C$29)</x:f>
        <x:v>80.60499749281924</x:v>
      </x:c>
      <x:c r="Z240" s="58" t="n">
        <x:f>(Y239+Y240)*'Scenario Inputs'!$C$34*(1-'Scenario Inputs'!$C$29)</x:f>
        <x:v>86.645062467174</x:v>
      </x:c>
      <x:c r="AA240" s="58" t="n">
        <x:f>(Z239+Z240)*'Scenario Inputs'!$C$34*(1-'Scenario Inputs'!$C$29)</x:f>
        <x:v>92.5907020346675</x:v>
      </x:c>
      <x:c r="AB240" s="58" t="n">
        <x:f>(AA239+AA240)*'Scenario Inputs'!$C$34*(1-'Scenario Inputs'!$C$29)</x:f>
        <x:v>98.51892728329496</x:v>
      </x:c>
      <x:c r="AC240" s="58" t="n">
        <x:f>(AB239+AB240)*'Scenario Inputs'!$C$34*(1-'Scenario Inputs'!$C$29)</x:f>
        <x:v>105.96031693516808</x:v>
      </x:c>
      <x:c r="AD240" s="58" t="n">
        <x:f>(AC239+AC240)*'Scenario Inputs'!$C$34*(1-'Scenario Inputs'!$C$29)</x:f>
        <x:v>113.04469639364856</x:v>
      </x:c>
      <x:c r="AE240" s="58" t="n">
        <x:f>(AD239+AD240)*'Scenario Inputs'!$C$34*(1-'Scenario Inputs'!$C$29)</x:f>
        <x:v>119.86827650614758</x:v>
      </x:c>
      <x:c r="AF240" s="58" t="n">
        <x:f>(AE239+AE240)*'Scenario Inputs'!$C$34*(1-'Scenario Inputs'!$C$29)</x:f>
        <x:v>126.51581952532119</x:v>
      </x:c>
      <x:c r="AG240" s="58" t="n">
        <x:f>(AF239+AF240)*'Scenario Inputs'!$C$34*(1-'Scenario Inputs'!$C$29)</x:f>
        <x:v>133.06247338374095</x:v>
      </x:c>
      <x:c r="AH240" s="58" t="n">
        <x:f>(AG239+AG240)*'Scenario Inputs'!$C$34*(1-'Scenario Inputs'!$C$29)</x:f>
        <x:v>139.5753469227764</x:v>
      </x:c>
      <x:c r="AI240" s="58" t="n">
        <x:f>(AH239+AH240)*'Scenario Inputs'!$C$34*(1-'Scenario Inputs'!$C$29)</x:f>
        <x:v>148.5292995058783</x:v>
      </x:c>
      <x:c r="AJ240" s="58" t="n">
        <x:f>(AI239+AI240)*'Scenario Inputs'!$C$34*(1-'Scenario Inputs'!$C$29)</x:f>
        <x:v>157.21132995226077</x:v>
      </x:c>
      <x:c r="AK240" s="58" t="n">
        <x:f>(AJ239+AJ240)*'Scenario Inputs'!$C$34*(1-'Scenario Inputs'!$C$29)</x:f>
        <x:v>165.72358385402637</x:v>
      </x:c>
    </x:row>
    <x:row r="241" ht="18" customHeight="1">
      <x:c r="A241" s="74" t="str">
        <x:v>ACTIVE MONTHLY SUBSCRIBERS</x:v>
      </x:c>
      <x:c r="B241" s="75" t="n">
        <x:f>SUM(B237:B240)</x:f>
        <x:v>5.5775</x:v>
      </x:c>
      <x:c r="C241" s="75" t="n">
        <x:f>SUM(C237:C240)</x:f>
        <x:v>9.260105</x:v>
      </x:c>
      <x:c r="D241" s="75" t="n">
        <x:f>SUM(D237:D240)</x:f>
        <x:v>12.364569387499998</x:v>
      </x:c>
      <x:c r="E241" s="75" t="n">
        <x:f>SUM(E237:E240)</x:f>
        <x:v>17.337271158369997</x:v>
      </x:c>
      <x:c r="F241" s="75" t="n">
        <x:f>SUM(F237:F240)</x:f>
        <x:v>21.48372407604863</x:v>
      </x:c>
      <x:c r="G241" s="75" t="n">
        <x:f>SUM(G237:G240)</x:f>
        <x:v>25.36085702697079</x:v>
      </x:c>
      <x:c r="H241" s="75" t="n">
        <x:f>SUM(H237:H240)</x:f>
        <x:v>33.411420503009964</x:v>
      </x:c>
      <x:c r="I241" s="75" t="n">
        <x:f>SUM(I237:I240)</x:f>
        <x:v>39.74399074331819</x:v>
      </x:c>
      <x:c r="J241" s="75" t="n">
        <x:f>SUM(J237:J240)</x:f>
        <x:v>45.515491967799164</x:v>
      </x:c>
      <x:c r="K241" s="75" t="n">
        <x:f>SUM(K237:K240)</x:f>
        <x:v>51.19748848333245</x:v>
      </x:c>
      <x:c r="L241" s="75" t="n">
        <x:f>SUM(L237:L240)</x:f>
        <x:v>56.89373694774595</x:v>
      </x:c>
      <x:c r="M241" s="75" t="n">
        <x:f>SUM(M237:M240)</x:f>
        <x:v>62.70368242437412</x:v>
      </x:c>
      <x:c r="N241" s="75" t="n">
        <x:f>SUM(N237:N240)</x:f>
        <x:v>74.83190234472191</x:v>
      </x:c>
      <x:c r="O241" s="75" t="n">
        <x:f>SUM(O237:O240)</x:f>
        <x:v>84.10710134297663</x:v>
      </x:c>
      <x:c r="P241" s="75" t="n">
        <x:f>SUM(P237:P240)</x:f>
        <x:v>92.34851945037227</x:v>
      </x:c>
      <x:c r="Q241" s="75" t="n">
        <x:f>SUM(Q237:Q240)</x:f>
        <x:v>100.25763703182031</x:v>
      </x:c>
      <x:c r="R241" s="75" t="n">
        <x:f>SUM(R237:R240)</x:f>
        <x:v>107.9530423311175</x:v>
      </x:c>
      <x:c r="S241" s="75" t="n">
        <x:f>SUM(S237:S240)</x:f>
        <x:v>115.5415574289126</x:v>
      </x:c>
      <x:c r="T241" s="75" t="n">
        <x:f>SUM(T237:T240)</x:f>
        <x:v>130.46889326993553</x:v>
      </x:c>
      <x:c r="U241" s="75" t="n">
        <x:f>SUM(U237:U240)</x:f>
        <x:v>142.40441672444928</x:v>
      </x:c>
      <x:c r="V241" s="75" t="n">
        <x:f>SUM(V237:V240)</x:f>
        <x:v>153.33782268319712</x:v>
      </x:c>
      <x:c r="W241" s="75" t="n">
        <x:f>SUM(W237:W240)</x:f>
        <x:v>164.05789191314267</x:v>
      </x:c>
      <x:c r="X241" s="75" t="n">
        <x:f>SUM(X237:X240)</x:f>
        <x:v>174.70684202366726</x:v>
      </x:c>
      <x:c r="Y241" s="75" t="n">
        <x:f>SUM(Y237:Y240)</x:f>
        <x:v>185.41494877512162</x:v>
      </x:c>
      <x:c r="Z241" s="75" t="n">
        <x:f>SUM(Z237:Z240)</x:f>
        <x:v>200.3420537184015</x:v>
      </x:c>
      <x:c r="AA241" s="75" t="n">
        <x:f>SUM(AA237:AA240)</x:f>
        <x:v>213.1477742057151</x:v>
      </x:c>
      <x:c r="AB241" s="75" t="n">
        <x:f>SUM(AB237:AB240)</x:f>
        <x:v>225.1929171089856</x:v>
      </x:c>
      <x:c r="AC241" s="75" t="n">
        <x:f>SUM(AC237:AC240)</x:f>
        <x:v>237.01946871238363</x:v>
      </x:c>
      <x:c r="AD241" s="75" t="n">
        <x:f>SUM(AD237:AD240)</x:f>
        <x:v>248.7521198394805</x:v>
      </x:c>
      <x:c r="AE241" s="75" t="n">
        <x:f>SUM(AE237:AE240)</x:f>
        <x:v>260.5028679207129</x:v>
      </x:c>
      <x:c r="AF241" s="75" t="n">
        <x:f>SUM(AF237:AF240)</x:f>
        <x:v>279.0536497580938</x:v>
      </x:c>
      <x:c r="AG241" s="75" t="n">
        <x:f>SUM(AG237:AG240)</x:f>
        <x:v>295.02448607510803</x:v>
      </x:c>
      <x:c r="AH241" s="75" t="n">
        <x:f>SUM(AH237:AH240)</x:f>
        <x:v>310.2342275243858</x:v>
      </x:c>
      <x:c r="AI241" s="75" t="n">
        <x:f>SUM(AI237:AI240)</x:f>
        <x:v>325.40861614606365</x:v>
      </x:c>
      <x:c r="AJ241" s="75" t="n">
        <x:f>SUM(AJ237:AJ240)</x:f>
        <x:v>340.6843087933366</x:v>
      </x:c>
      <x:c r="AK241" s="75" t="n">
        <x:f>SUM(AK237:AK240)</x:f>
        <x:v>356.1858446280461</x:v>
      </x:c>
    </x:row>
    <x:row r="242" ht="18" customHeight="1">
      <x:c r="A242" s="4" t="str">
        <x:v>Monthly charge events before refunds</x:v>
      </x:c>
      <x:c r="B242" s="58" t="n">
        <x:f>B241/(1-'Scenario Inputs'!$C$29)</x:f>
        <x:v>5.75</x:v>
      </x:c>
      <x:c r="C242" s="58" t="n">
        <x:f>C241/(1-'Scenario Inputs'!$C$29)</x:f>
        <x:v>9.5465</x:v>
      </x:c>
      <x:c r="D242" s="58" t="n">
        <x:f>D241/(1-'Scenario Inputs'!$C$29)</x:f>
        <x:v>12.746978749999998</x:v>
      </x:c>
      <x:c r="E242" s="58" t="n">
        <x:f>E241/(1-'Scenario Inputs'!$C$29)</x:f>
        <x:v>17.873475421</x:v>
      </x:c>
      <x:c r="F242" s="58" t="n">
        <x:f>F241/(1-'Scenario Inputs'!$C$29)</x:f>
        <x:v>22.1481691505656</x:v>
      </x:c>
      <x:c r="G242" s="58" t="n">
        <x:f>G241/(1-'Scenario Inputs'!$C$29)</x:f>
        <x:v>26.145213429866796</x:v>
      </x:c>
      <x:c r="H242" s="58" t="n">
        <x:f>H241/(1-'Scenario Inputs'!$C$29)</x:f>
        <x:v>34.44476340516491</x:v>
      </x:c>
      <x:c r="I242" s="58" t="n">
        <x:f>I241/(1-'Scenario Inputs'!$C$29)</x:f>
        <x:v>40.97318633331773</x:v>
      </x:c>
      <x:c r="J242" s="58" t="n">
        <x:f>J241/(1-'Scenario Inputs'!$C$29)</x:f>
        <x:v>46.92318759566924</x:v>
      </x:c>
      <x:c r="K242" s="58" t="n">
        <x:f>K241/(1-'Scenario Inputs'!$C$29)</x:f>
        <x:v>52.78091596219841</x:v>
      </x:c>
      <x:c r="L242" s="58" t="n">
        <x:f>L241/(1-'Scenario Inputs'!$C$29)</x:f>
        <x:v>58.65333705953191</x:v>
      </x:c>
      <x:c r="M242" s="58" t="n">
        <x:f>M241/(1-'Scenario Inputs'!$C$29)</x:f>
        <x:v>64.64297157151971</x:v>
      </x:c>
      <x:c r="N242" s="58" t="n">
        <x:f>N241/(1-'Scenario Inputs'!$C$29)</x:f>
        <x:v>77.1462910770329</x:v>
      </x:c>
      <x:c r="O242" s="58" t="n">
        <x:f>O241/(1-'Scenario Inputs'!$C$29)</x:f>
        <x:v>86.70835189997591</x:v>
      </x:c>
      <x:c r="P242" s="58" t="n">
        <x:f>P241/(1-'Scenario Inputs'!$C$29)</x:f>
        <x:v>95.2046592271879</x:v>
      </x:c>
      <x:c r="Q242" s="58" t="n">
        <x:f>Q241/(1-'Scenario Inputs'!$C$29)</x:f>
        <x:v>103.35838869259825</x:v>
      </x:c>
      <x:c r="R242" s="58" t="n">
        <x:f>R241/(1-'Scenario Inputs'!$C$29)</x:f>
        <x:v>111.2917962176469</x:v>
      </x:c>
      <x:c r="S242" s="58" t="n">
        <x:f>S241/(1-'Scenario Inputs'!$C$29)</x:f>
        <x:v>119.11500765867278</x:v>
      </x:c>
      <x:c r="T242" s="58" t="n">
        <x:f>T241/(1-'Scenario Inputs'!$C$29)</x:f>
        <x:v>134.5040136803459</x:v>
      </x:c>
      <x:c r="U242" s="58" t="n">
        <x:f>U241/(1-'Scenario Inputs'!$C$29)</x:f>
        <x:v>146.80867703551473</x:v>
      </x:c>
      <x:c r="V242" s="58" t="n">
        <x:f>V241/(1-'Scenario Inputs'!$C$29)</x:f>
        <x:v>158.0802295703063</x:v>
      </x:c>
      <x:c r="W242" s="58" t="n">
        <x:f>W241/(1-'Scenario Inputs'!$C$29)</x:f>
        <x:v>169.1318473331368</x:v>
      </x:c>
      <x:c r="X242" s="58" t="n">
        <x:f>X241/(1-'Scenario Inputs'!$C$29)</x:f>
        <x:v>180.11014641615182</x:v>
      </x:c>
      <x:c r="Y242" s="58" t="n">
        <x:f>Y241/(1-'Scenario Inputs'!$C$29)</x:f>
        <x:v>191.1494317269295</x:v>
      </x:c>
      <x:c r="Z242" s="58" t="n">
        <x:f>Z241/(1-'Scenario Inputs'!$C$29)</x:f>
        <x:v>206.53819970969226</x:v>
      </x:c>
      <x:c r="AA242" s="58" t="n">
        <x:f>AA241/(1-'Scenario Inputs'!$C$29)</x:f>
        <x:v>219.73997340795373</x:v>
      </x:c>
      <x:c r="AB242" s="58" t="n">
        <x:f>AB241/(1-'Scenario Inputs'!$C$29)</x:f>
        <x:v>232.15764650410887</x:v>
      </x:c>
      <x:c r="AC242" s="58" t="n">
        <x:f>AC241/(1-'Scenario Inputs'!$C$29)</x:f>
        <x:v>244.3499677447254</x:v>
      </x:c>
      <x:c r="AD242" s="58" t="n">
        <x:f>AD241/(1-'Scenario Inputs'!$C$29)</x:f>
        <x:v>256.4454843705985</x:v>
      </x:c>
      <x:c r="AE242" s="58" t="n">
        <x:f>AE241/(1-'Scenario Inputs'!$C$29)</x:f>
        <x:v>268.5596576502195</x:v>
      </x:c>
      <x:c r="AF242" s="58" t="n">
        <x:f>AF241/(1-'Scenario Inputs'!$C$29)</x:f>
        <x:v>287.68417500834414</x:v>
      </x:c>
      <x:c r="AG242" s="58" t="n">
        <x:f>AG241/(1-'Scenario Inputs'!$C$29)</x:f>
        <x:v>304.1489547166062</x:v>
      </x:c>
      <x:c r="AH242" s="58" t="n">
        <x:f>AH241/(1-'Scenario Inputs'!$C$29)</x:f>
        <x:v>319.8291005406039</x:v>
      </x:c>
      <x:c r="AI242" s="58" t="n">
        <x:f>AI241/(1-'Scenario Inputs'!$C$29)</x:f>
        <x:v>335.47280015058107</x:v>
      </x:c>
      <x:c r="AJ242" s="58" t="n">
        <x:f>AJ241/(1-'Scenario Inputs'!$C$29)</x:f>
        <x:v>351.220936900347</x:v>
      </x:c>
      <x:c r="AK242" s="58" t="n">
        <x:f>AK241/(1-'Scenario Inputs'!$C$29)</x:f>
        <x:v>367.20190167839803</x:v>
      </x:c>
    </x:row>
    <x:row r="243" ht="18" customHeight="1">
      <x:c r="A243" s="4" t="str"/>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c r="AA243" s="58"/>
      <x:c r="AB243" s="58"/>
      <x:c r="AC243" s="58"/>
      <x:c r="AD243" s="58"/>
      <x:c r="AE243" s="58"/>
      <x:c r="AF243" s="58"/>
      <x:c r="AG243" s="58"/>
      <x:c r="AH243" s="58"/>
      <x:c r="AI243" s="58"/>
      <x:c r="AJ243" s="58"/>
      <x:c r="AK243" s="58"/>
    </x:row>
    <x:row r="244" ht="18" customHeight="1">
      <x:c r="A244" s="74" t="str">
        <x:v>TOTAL ACTIVE PAID SUBSCRIBERS</x:v>
      </x:c>
      <x:c r="B244" s="75" t="n">
        <x:f>B234+B241</x:f>
        <x:v>22.31</x:v>
      </x:c>
      <x:c r="C244" s="75" t="n">
        <x:f>C234+C241</x:f>
        <x:v>44.034605</x:v>
      </x:c>
      <x:c r="D244" s="75" t="n">
        <x:f>D234+D241</x:f>
        <x:v>66.6477093875</x:v>
      </x:c>
      <x:c r="E244" s="75" t="n">
        <x:f>E234+E241</x:f>
        <x:v>98.59168795837</x:v>
      </x:c>
      <x:c r="F244" s="75" t="n">
        <x:f>F234+F241</x:f>
        <x:v>131.54917089204864</x:v>
      </x:c>
      <x:c r="G244" s="75" t="n">
        <x:f>G234+G241</x:f>
        <x:v>166.2978574608908</x:v>
      </x:c>
      <x:c r="H244" s="75" t="n">
        <x:f>H234+H241</x:f>
        <x:v>220.13776098900038</x:v>
      </x:c>
      <x:c r="I244" s="75" t="n">
        <x:f>I234+I241</x:f>
        <x:v>274.84439208762745</x:v>
      </x:c>
      <x:c r="J244" s="75" t="n">
        <x:f>J234+J241</x:f>
        <x:v>331.8848414734255</x:v>
      </x:c>
      <x:c r="K244" s="75" t="n">
        <x:f>K234+K241</x:f>
        <x:v>392.078059929634</x:v>
      </x:c>
      <x:c r="L244" s="75" t="n">
        <x:f>L234+L241</x:f>
        <x:v>455.9168769676037</x:v>
      </x:c>
      <x:c r="M244" s="75" t="n">
        <x:f>M234+M241</x:f>
        <x:v>523.9364992466149</x:v>
      </x:c>
      <x:c r="N244" s="75" t="n">
        <x:f>N234+N241</x:f>
        <x:v>609.2887367044453</x:v>
      </x:c>
      <x:c r="O244" s="75" t="n">
        <x:f>O234+O241</x:f>
        <x:v>694.1392338159086</x:v>
      </x:c>
      <x:c r="P244" s="75" t="n">
        <x:f>P234+P241</x:f>
        <x:v>780.4581956382967</x:v>
      </x:c>
      <x:c r="Q244" s="75" t="n">
        <x:f>Q234+Q241</x:f>
        <x:v>864.979308274264</x:v>
      </x:c>
      <x:c r="R244" s="75" t="n">
        <x:f>R234+R241</x:f>
        <x:v>952.1138212951212</x:v>
      </x:c>
      <x:c r="S244" s="75" t="n">
        <x:f>S234+S241</x:f>
        <x:v>1042.1425503936748</x:v>
      </x:c>
      <x:c r="T244" s="75" t="n">
        <x:f>T234+T241</x:f>
        <x:v>1155.7978231130942</x:v>
      </x:c>
      <x:c r="U244" s="75" t="n">
        <x:f>U234+U241</x:f>
        <x:v>1269.8332136214904</x:v>
      </x:c>
      <x:c r="V244" s="75" t="n">
        <x:f>V234+V241</x:f>
        <x:v>1386.4348685415803</x:v>
      </x:c>
      <x:c r="W244" s="75" t="n">
        <x:f>W234+W241</x:f>
        <x:v>1506.5949401890114</x:v>
      </x:c>
      <x:c r="X244" s="75" t="n">
        <x:f>X234+X241</x:f>
        <x:v>1630.6654355652736</x:v>
      </x:c>
      <x:c r="Y244" s="75" t="n">
        <x:f>Y234+Y241</x:f>
        <x:v>1758.9921688680697</x:v>
      </x:c>
      <x:c r="Z244" s="75" t="n">
        <x:f>Z234+Z241</x:f>
        <x:v>1892.8104220211621</x:v>
      </x:c>
      <x:c r="AA244" s="75" t="n">
        <x:f>AA234+AA241</x:f>
        <x:v>2028.0836609829848</x:v>
      </x:c>
      <x:c r="AB244" s="75" t="n">
        <x:f>AB234+AB241</x:f>
        <x:v>2166.3301024720345</x:v>
      </x:c>
      <x:c r="AC244" s="75" t="n">
        <x:f>AC234+AC241</x:f>
        <x:v>2307.4635130504894</x:v>
      </x:c>
      <x:c r="AD244" s="75" t="n">
        <x:f>AD234+AD241</x:f>
        <x:v>2452.5647708599254</x:v>
      </x:c>
      <x:c r="AE244" s="75" t="n">
        <x:f>AE234+AE241</x:f>
        <x:v>2601.9160086003476</x:v>
      </x:c>
      <x:c r="AF244" s="75" t="n">
        <x:f>AF234+AF241</x:f>
        <x:v>2765.1722901201833</x:v>
      </x:c>
      <x:c r="AG244" s="75" t="n">
        <x:f>AG234+AG241</x:f>
        <x:v>2930.431581751205</x:v>
      </x:c>
      <x:c r="AH244" s="75" t="n">
        <x:f>AH234+AH241</x:f>
        <x:v>3099.6928589296635</x:v>
      </x:c>
      <x:c r="AI244" s="75" t="n">
        <x:f>AI234+AI241</x:f>
        <x:v>3273.864365650648</x:v>
      </x:c>
      <x:c r="AJ244" s="75" t="n">
        <x:f>AJ234+AJ241</x:f>
        <x:v>3453.2670050453016</x:v>
      </x:c>
      <x:c r="AK244" s="75" t="n">
        <x:f>AK234+AK241</x:f>
        <x:v>3638.210561892481</x:v>
      </x:c>
    </x:row>
    <x:row r="245" ht="18" customHeight="1">
      <x:c r="A245" s="4" t="str">
        <x:v>Estimated active free users</x:v>
      </x:c>
      <x:c r="B245" s="58" t="n">
        <x:f>MAX('Commercial Inputs'!$B$27,B244*'Commercial Inputs'!$B$26)</x:f>
        <x:v>500</x:v>
      </x:c>
      <x:c r="C245" s="58" t="n">
        <x:f>MAX('Commercial Inputs'!$B$27,C244*'Commercial Inputs'!$B$26)</x:f>
        <x:v>880.6921</x:v>
      </x:c>
      <x:c r="D245" s="58" t="n">
        <x:f>MAX('Commercial Inputs'!$B$27,D244*'Commercial Inputs'!$B$26)</x:f>
        <x:v>1332.95418775</x:v>
      </x:c>
      <x:c r="E245" s="58" t="n">
        <x:f>MAX('Commercial Inputs'!$B$27,E244*'Commercial Inputs'!$B$26)</x:f>
        <x:v>1971.8337591674</x:v>
      </x:c>
      <x:c r="F245" s="58" t="n">
        <x:f>MAX('Commercial Inputs'!$B$27,F244*'Commercial Inputs'!$B$26)</x:f>
        <x:v>2630.983417840973</x:v>
      </x:c>
      <x:c r="G245" s="58" t="n">
        <x:f>MAX('Commercial Inputs'!$B$27,G244*'Commercial Inputs'!$B$26)</x:f>
        <x:v>3325.957149217816</x:v>
      </x:c>
      <x:c r="H245" s="58" t="n">
        <x:f>MAX('Commercial Inputs'!$B$27,H244*'Commercial Inputs'!$B$26)</x:f>
        <x:v>4402.755219780008</x:v>
      </x:c>
      <x:c r="I245" s="58" t="n">
        <x:f>MAX('Commercial Inputs'!$B$27,I244*'Commercial Inputs'!$B$26)</x:f>
        <x:v>5496.887841752549</x:v>
      </x:c>
      <x:c r="J245" s="58" t="n">
        <x:f>MAX('Commercial Inputs'!$B$27,J244*'Commercial Inputs'!$B$26)</x:f>
        <x:v>6637.69682946851</x:v>
      </x:c>
      <x:c r="K245" s="58" t="n">
        <x:f>MAX('Commercial Inputs'!$B$27,K244*'Commercial Inputs'!$B$26)</x:f>
        <x:v>7841.56119859268</x:v>
      </x:c>
      <x:c r="L245" s="58" t="n">
        <x:f>MAX('Commercial Inputs'!$B$27,L244*'Commercial Inputs'!$B$26)</x:f>
        <x:v>9118.337539352073</x:v>
      </x:c>
      <x:c r="M245" s="58" t="n">
        <x:f>MAX('Commercial Inputs'!$B$27,M244*'Commercial Inputs'!$B$26)</x:f>
        <x:v>10478.729984932297</x:v>
      </x:c>
      <x:c r="N245" s="58" t="n">
        <x:f>MAX('Commercial Inputs'!$B$27,N244*'Commercial Inputs'!$B$26)</x:f>
        <x:v>12185.774734088907</x:v>
      </x:c>
      <x:c r="O245" s="58" t="n">
        <x:f>MAX('Commercial Inputs'!$B$27,O244*'Commercial Inputs'!$B$26)</x:f>
        <x:v>13882.784676318171</x:v>
      </x:c>
      <x:c r="P245" s="58" t="n">
        <x:f>MAX('Commercial Inputs'!$B$27,P244*'Commercial Inputs'!$B$26)</x:f>
        <x:v>15609.163912765935</x:v>
      </x:c>
      <x:c r="Q245" s="58" t="n">
        <x:f>MAX('Commercial Inputs'!$B$27,Q244*'Commercial Inputs'!$B$26)</x:f>
        <x:v>17299.586165485278</x:v>
      </x:c>
      <x:c r="R245" s="58" t="n">
        <x:f>MAX('Commercial Inputs'!$B$27,R244*'Commercial Inputs'!$B$26)</x:f>
        <x:v>19042.276425902422</x:v>
      </x:c>
      <x:c r="S245" s="58" t="n">
        <x:f>MAX('Commercial Inputs'!$B$27,S244*'Commercial Inputs'!$B$26)</x:f>
        <x:v>20842.851007873498</x:v>
      </x:c>
      <x:c r="T245" s="58" t="n">
        <x:f>MAX('Commercial Inputs'!$B$27,T244*'Commercial Inputs'!$B$26)</x:f>
        <x:v>23115.956462261885</x:v>
      </x:c>
      <x:c r="U245" s="58" t="n">
        <x:f>MAX('Commercial Inputs'!$B$27,U244*'Commercial Inputs'!$B$26)</x:f>
        <x:v>25396.664272429807</x:v>
      </x:c>
      <x:c r="V245" s="58" t="n">
        <x:f>MAX('Commercial Inputs'!$B$27,V244*'Commercial Inputs'!$B$26)</x:f>
        <x:v>27728.697370831607</x:v>
      </x:c>
      <x:c r="W245" s="58" t="n">
        <x:f>MAX('Commercial Inputs'!$B$27,W244*'Commercial Inputs'!$B$26)</x:f>
        <x:v>30131.898803780226</x:v>
      </x:c>
      <x:c r="X245" s="58" t="n">
        <x:f>MAX('Commercial Inputs'!$B$27,X244*'Commercial Inputs'!$B$26)</x:f>
        <x:v>32613.30871130547</x:v>
      </x:c>
      <x:c r="Y245" s="58" t="n">
        <x:f>MAX('Commercial Inputs'!$B$27,Y244*'Commercial Inputs'!$B$26)</x:f>
        <x:v>35179.843377361394</x:v>
      </x:c>
      <x:c r="Z245" s="58" t="n">
        <x:f>MAX('Commercial Inputs'!$B$27,Z244*'Commercial Inputs'!$B$26)</x:f>
        <x:v>37856.208440423245</x:v>
      </x:c>
      <x:c r="AA245" s="58" t="n">
        <x:f>MAX('Commercial Inputs'!$B$27,AA244*'Commercial Inputs'!$B$26)</x:f>
        <x:v>40561.6732196597</x:v>
      </x:c>
      <x:c r="AB245" s="58" t="n">
        <x:f>MAX('Commercial Inputs'!$B$27,AB244*'Commercial Inputs'!$B$26)</x:f>
        <x:v>43326.60204944069</x:v>
      </x:c>
      <x:c r="AC245" s="58" t="n">
        <x:f>MAX('Commercial Inputs'!$B$27,AC244*'Commercial Inputs'!$B$26)</x:f>
        <x:v>46149.27026100979</x:v>
      </x:c>
      <x:c r="AD245" s="58" t="n">
        <x:f>MAX('Commercial Inputs'!$B$27,AD244*'Commercial Inputs'!$B$26)</x:f>
        <x:v>49051.295417198504</x:v>
      </x:c>
      <x:c r="AE245" s="58" t="n">
        <x:f>MAX('Commercial Inputs'!$B$27,AE244*'Commercial Inputs'!$B$26)</x:f>
        <x:v>52038.32017200695</x:v>
      </x:c>
      <x:c r="AF245" s="58" t="n">
        <x:f>MAX('Commercial Inputs'!$B$27,AF244*'Commercial Inputs'!$B$26)</x:f>
        <x:v>55303.445802403665</x:v>
      </x:c>
      <x:c r="AG245" s="58" t="n">
        <x:f>MAX('Commercial Inputs'!$B$27,AG244*'Commercial Inputs'!$B$26)</x:f>
        <x:v>58608.6316350241</x:v>
      </x:c>
      <x:c r="AH245" s="58" t="n">
        <x:f>MAX('Commercial Inputs'!$B$27,AH244*'Commercial Inputs'!$B$26)</x:f>
        <x:v>61993.85717859327</x:v>
      </x:c>
      <x:c r="AI245" s="58" t="n">
        <x:f>MAX('Commercial Inputs'!$B$27,AI244*'Commercial Inputs'!$B$26)</x:f>
        <x:v>65477.28731301296</x:v>
      </x:c>
      <x:c r="AJ245" s="58" t="n">
        <x:f>MAX('Commercial Inputs'!$B$27,AJ244*'Commercial Inputs'!$B$26)</x:f>
        <x:v>69065.34010090603</x:v>
      </x:c>
      <x:c r="AK245" s="58" t="n">
        <x:f>MAX('Commercial Inputs'!$B$27,AK244*'Commercial Inputs'!$B$26)</x:f>
        <x:v>72764.21123784962</x:v>
      </x:c>
    </x:row>
    <x:row r="246" ht="18" customHeight="1">
      <x:c r="A246" s="4" t="str">
        <x:v>Earned annual-plan revenue (INR)</x:v>
      </x:c>
      <x:c r="B246" s="58" t="n">
        <x:f>B234*$B$294/'Commercial Inputs'!$B$46</x:f>
        <x:v>2362.165783898305</x:v>
      </x:c>
      <x:c r="C246" s="58" t="n">
        <x:f>C234*$B$294/'Commercial Inputs'!$B$46</x:f>
        <x:v>4909.1967161016955</x:v>
      </x:c>
      <x:c r="D246" s="58" t="n">
        <x:f>D234*$B$294/'Commercial Inputs'!$B$46</x:f>
        <x:v>7663.27661440678</x:v>
      </x:c>
      <x:c r="E246" s="58" t="n">
        <x:f>E234*$B$294/'Commercial Inputs'!$B$46</x:f>
        <x:v>11470.874236101694</x:v>
      </x:c>
      <x:c r="F246" s="58" t="n">
        <x:f>F234*$B$294/'Commercial Inputs'!$B$46</x:f>
        <x:v>15538.194080874579</x:v>
      </x:c>
      <x:c r="G246" s="58" t="n">
        <x:f>G234*$B$294/'Commercial Inputs'!$B$46</x:f>
        <x:v>19896.402815494785</x:v>
      </x:c>
      <x:c r="H246" s="58" t="n">
        <x:f>H234*$B$294/'Commercial Inputs'!$B$46</x:f>
        <x:v>26360.590016348506</x:v>
      </x:c>
      <x:c r="I246" s="58" t="n">
        <x:f>I234*$B$294/'Commercial Inputs'!$B$46</x:f>
        <x:v>33189.668240626714</x:v>
      </x:c>
      <x:c r="J246" s="58" t="n">
        <x:f>J234*$B$294/'Commercial Inputs'!$B$46</x:f>
        <x:v>40427.42441114033</x:v>
      </x:c>
      <x:c r="K246" s="58" t="n">
        <x:f>K234*$B$294/'Commercial Inputs'!$B$46</x:f>
        <x:v>48122.899881437625</x:v>
      </x:c>
      <x:c r="L246" s="58" t="n">
        <x:f>L234*$B$294/'Commercial Inputs'!$B$46</x:f>
        <x:v>56331.02096749263</x:v>
      </x:c>
      <x:c r="M246" s="58" t="n">
        <x:f>M234*$B$294/'Commercial Inputs'!$B$46</x:f>
        <x:v>65113.305143196274</x:v>
      </x:c>
      <x:c r="N246" s="58" t="n">
        <x:f>N234*$B$294/'Commercial Inputs'!$B$46</x:f>
        <x:v>75450.50931391858</x:v>
      </x:c>
      <x:c r="O246" s="58" t="n">
        <x:f>O234*$B$294/'Commercial Inputs'!$B$46</x:f>
        <x:v>86119.64920998523</x:v>
      </x:c>
      <x:c r="P246" s="58" t="n">
        <x:f>P234*$B$294/'Commercial Inputs'!$B$46</x:f>
        <x:v>97142.03691381788</x:v>
      </x:c>
      <x:c r="Q246" s="58" t="n">
        <x:f>Q234*$B$294/'Commercial Inputs'!$B$46</x:f>
        <x:v>107957.52971847774</x:v>
      </x:c>
      <x:c r="R246" s="58" t="n">
        <x:f>R234*$B$294/'Commercial Inputs'!$B$46</x:f>
        <x:v>119172.13256702285</x:v>
      </x:c>
      <x:c r="S246" s="58" t="n">
        <x:f>S234*$B$294/'Commercial Inputs'!$B$46</x:f>
        <x:v>130810.40854071749</x:v>
      </x:c>
      <x:c r="T246" s="58" t="n">
        <x:f>T234*$B$294/'Commercial Inputs'!$B$46</x:f>
        <x:v>144748.06008167192</x:v>
      </x:c>
      <x:c r="U246" s="58" t="n">
        <x:f>U234*$B$294/'Commercial Inputs'!$B$46</x:f>
        <x:v>159161.7348161854</x:v>
      </x:c>
      <x:c r="V246" s="58" t="n">
        <x:f>V234*$B$294/'Commercial Inputs'!$B$46</x:f>
        <x:v>174079.16629031836</x:v>
      </x:c>
      <x:c r="W246" s="58" t="n">
        <x:f>W234*$B$294/'Commercial Inputs'!$B$46</x:f>
        <x:v>189529.06493668514</x:v>
      </x:c>
      <x:c r="X246" s="58" t="n">
        <x:f>X234*$B$294/'Commercial Inputs'!$B$46</x:f>
        <x:v>205541.04720972257</x:v>
      </x:c>
      <x:c r="Y246" s="58" t="n">
        <x:f>Y234*$B$294/'Commercial Inputs'!$B$46</x:f>
        <x:v>222145.54116990135</x:v>
      </x:c>
      <x:c r="Z246" s="58" t="n">
        <x:f>Z234*$B$294/'Commercial Inputs'!$B$46</x:f>
        <x:v>238929.67996025554</x:v>
      </x:c>
      <x:c r="AA246" s="58" t="n">
        <x:f>AA234*$B$294/'Commercial Inputs'!$B$46</x:f>
        <x:v>256218.70322512448</x:v>
      </x:c>
      <x:c r="AB246" s="58" t="n">
        <x:f>AB234*$B$294/'Commercial Inputs'!$B$46</x:f>
        <x:v>274034.8328771705</x:v>
      </x:c>
      <x:c r="AC246" s="58" t="n">
        <x:f>AC234*$B$294/'Commercial Inputs'!$B$46</x:f>
        <x:v>292289.3816830419</x:v>
      </x:c>
      <x:c r="AD246" s="58" t="n">
        <x:f>AD234*$B$294/'Commercial Inputs'!$B$46</x:f>
        <x:v>311117.33682131843</x:v>
      </x:c>
      <x:c r="AE246" s="58" t="n">
        <x:f>AE234*$B$294/'Commercial Inputs'!$B$46</x:f>
        <x:v>330542.7166821038</x:v>
      </x:c>
      <x:c r="AF246" s="58" t="n">
        <x:f>AF234*$B$294/'Commercial Inputs'!$B$46</x:f>
        <x:v>350971.1272658063</x:v>
      </x:c>
      <x:c r="AG246" s="58" t="n">
        <x:f>AG234*$B$294/'Commercial Inputs'!$B$46</x:f>
        <x:v>372046.524311901</x:v>
      </x:c>
      <x:c r="AH246" s="58" t="n">
        <x:f>AH234*$B$294/'Commercial Inputs'!$B$46</x:f>
        <x:v>393794.33645332983</x:v>
      </x:c>
      <x:c r="AI246" s="58" t="n">
        <x:f>AI234*$B$294/'Commercial Inputs'!$B$46</x:f>
        <x:v>416240.3279138181</x:v>
      </x:c>
      <x:c r="AJ246" s="58" t="n">
        <x:f>AJ234*$B$294/'Commercial Inputs'!$B$46</x:f>
        <x:v>439410.509167209</x:v>
      </x:c>
      <x:c r="AK246" s="58" t="n">
        <x:f>AK234*$B$294/'Commercial Inputs'!$B$46</x:f>
        <x:v>463331.0317663564</x:v>
      </x:c>
    </x:row>
    <x:row r="247" ht="18" customHeight="1">
      <x:c r="A247" s="4" t="str">
        <x:v>Earned monthly-plan revenue (INR)</x:v>
      </x:c>
      <x:c r="B247" s="58" t="n">
        <x:f>B241*$B$295</x:f>
        <x:v>1176.947033898305</x:v>
      </x:c>
      <x:c r="C247" s="58" t="n">
        <x:f>C241*$B$295</x:f>
        <x:v>1954.0391059322035</x:v>
      </x:c>
      <x:c r="D247" s="58" t="n">
        <x:f>D241*$B$295</x:f>
        <x:v>2609.1337097351693</x:v>
      </x:c>
      <x:c r="E247" s="58" t="n">
        <x:f>E241*$B$295</x:f>
        <x:v>3658.4580664696014</x:v>
      </x:c>
      <x:c r="F247" s="58" t="n">
        <x:f>F241*$B$295</x:f>
        <x:v>4533.429910962805</x:v>
      </x:c>
      <x:c r="G247" s="58" t="n">
        <x:f>G241*$B$295</x:f>
        <x:v>5351.570677725193</x:v>
      </x:c>
      <x:c r="H247" s="58" t="n">
        <x:f>H241*$B$295</x:f>
        <x:v>7050.376021397866</x:v>
      </x:c>
      <x:c r="I247" s="58" t="n">
        <x:f>I241*$B$295</x:f>
        <x:v>8386.65567380189</x:v>
      </x:c>
      <x:c r="J247" s="58" t="n">
        <x:f>J241*$B$295</x:f>
        <x:v>9604.540254222027</x:v>
      </x:c>
      <x:c r="K247" s="58" t="n">
        <x:f>K241*$B$295</x:f>
        <x:v>10803.537824025238</x:v>
      </x:c>
      <x:c r="L247" s="58" t="n">
        <x:f>L241*$B$295</x:f>
        <x:v>12005.54279660063</x:v>
      </x:c>
      <x:c r="M247" s="58" t="n">
        <x:f>M241*$B$295</x:f>
        <x:v>13231.53976582132</x:v>
      </x:c>
      <x:c r="N247" s="58" t="n">
        <x:f>N241*$B$295</x:f>
        <x:v>15790.7997320642</x:v>
      </x:c>
      <x:c r="O247" s="58" t="n">
        <x:f>O241*$B$295</x:f>
        <x:v>17748.02392745863</x:v>
      </x:c>
      <x:c r="P247" s="58" t="n">
        <x:f>P241*$B$295</x:f>
        <x:v>19487.102833171775</x:v>
      </x:c>
      <x:c r="Q247" s="58" t="n">
        <x:f>Q241*$B$295</x:f>
        <x:v>21156.060695697677</x:v>
      </x:c>
      <x:c r="R247" s="58" t="n">
        <x:f>R241*$B$295</x:f>
        <x:v>22779.921644447677</x:v>
      </x:c>
      <x:c r="S247" s="58" t="n">
        <x:f>S241*$B$295</x:f>
        <x:v>24381.226948982407</x:v>
      </x:c>
      <x:c r="T247" s="58" t="n">
        <x:f>T241*$B$295</x:f>
        <x:v>27531.147817130466</x:v>
      </x:c>
      <x:c r="U247" s="58" t="n">
        <x:f>U241*$B$295</x:f>
        <x:v>30049.74556304057</x:v>
      </x:c>
      <x:c r="V247" s="58" t="n">
        <x:f>V241*$B$295</x:f>
        <x:v>32356.87953230177</x:v>
      </x:c>
      <x:c r="W247" s="58" t="n">
        <x:f>W241*$B$295</x:f>
        <x:v>34618.99583590892</x:v>
      </x:c>
      <x:c r="X247" s="58" t="n">
        <x:f>X241*$B$295</x:f>
        <x:v>36866.10479990945</x:v>
      </x:c>
      <x:c r="Y247" s="58" t="n">
        <x:f>Y241*$B$295</x:f>
        <x:v>39125.696817801094</x:v>
      </x:c>
      <x:c r="Z247" s="58" t="n">
        <x:f>Z241*$B$295</x:f>
        <x:v>42275.56896261185</x:v>
      </x:c>
      <x:c r="AA247" s="58" t="n">
        <x:f>AA241*$B$295</x:f>
        <x:v>44977.79303154497</x:v>
      </x:c>
      <x:c r="AB247" s="58" t="n">
        <x:f>AB241*$B$295</x:f>
        <x:v>47519.52233909951</x:v>
      </x:c>
      <x:c r="AC247" s="58" t="n">
        <x:f>AC241*$B$295</x:f>
        <x:v>50015.12517744367</x:v>
      </x:c>
      <x:c r="AD247" s="58" t="n">
        <x:f>AD241*$B$295</x:f>
        <x:v>52490.91342375479</x:v>
      </x:c>
      <x:c r="AE247" s="58" t="n">
        <x:f>AE241*$B$295</x:f>
        <x:v>54970.520434116544</x:v>
      </x:c>
      <x:c r="AF247" s="58" t="n">
        <x:f>AF241*$B$295</x:f>
        <x:v>58885.049821835055</x:v>
      </x:c>
      <x:c r="AG247" s="58" t="n">
        <x:f>AG241*$B$295</x:f>
        <x:v>62255.16697686602</x:v>
      </x:c>
      <x:c r="AH247" s="58" t="n">
        <x:f>AH241*$B$295</x:f>
        <x:v>65464.68021489159</x:v>
      </x:c>
      <x:c r="AI247" s="58" t="n">
        <x:f>AI241*$B$295</x:f>
        <x:v>68666.7334070931</x:v>
      </x:c>
      <x:c r="AJ247" s="58" t="n">
        <x:f>AJ241*$B$295</x:f>
        <x:v>71890.16346571255</x:v>
      </x:c>
      <x:c r="AK247" s="58" t="n">
        <x:f>AK241*$B$295</x:f>
        <x:v>75161.25026473176</x:v>
      </x:c>
    </x:row>
    <x:row r="248" ht="18" customHeight="1">
      <x:c r="A248" s="74" t="str">
        <x:v>EARNED REVENUE, NET OF SALES TAX / REFUNDS</x:v>
      </x:c>
      <x:c r="B248" s="75" t="n">
        <x:f>SUM(B246:B247)</x:f>
        <x:v>3539.11281779661</x:v>
      </x:c>
      <x:c r="C248" s="75" t="n">
        <x:f>SUM(C246:C247)</x:f>
        <x:v>6863.235822033899</x:v>
      </x:c>
      <x:c r="D248" s="75" t="n">
        <x:f>SUM(D246:D247)</x:f>
        <x:v>10272.410324141949</x:v>
      </x:c>
      <x:c r="E248" s="75" t="n">
        <x:f>SUM(E246:E247)</x:f>
        <x:v>15129.332302571296</x:v>
      </x:c>
      <x:c r="F248" s="75" t="n">
        <x:f>SUM(F246:F247)</x:f>
        <x:v>20071.623991837383</x:v>
      </x:c>
      <x:c r="G248" s="75" t="n">
        <x:f>SUM(G246:G247)</x:f>
        <x:v>25247.97349321998</x:v>
      </x:c>
      <x:c r="H248" s="75" t="n">
        <x:f>SUM(H246:H247)</x:f>
        <x:v>33410.96603774637</x:v>
      </x:c>
      <x:c r="I248" s="75" t="n">
        <x:f>SUM(I246:I247)</x:f>
        <x:v>41576.323914428605</x:v>
      </x:c>
      <x:c r="J248" s="75" t="n">
        <x:f>SUM(J246:J247)</x:f>
        <x:v>50031.96466536236</x:v>
      </x:c>
      <x:c r="K248" s="75" t="n">
        <x:f>SUM(K246:K247)</x:f>
        <x:v>58926.437705462864</x:v>
      </x:c>
      <x:c r="L248" s="75" t="n">
        <x:f>SUM(L246:L247)</x:f>
        <x:v>68336.56376409325</x:v>
      </x:c>
      <x:c r="M248" s="75" t="n">
        <x:f>SUM(M246:M247)</x:f>
        <x:v>78344.8449090176</x:v>
      </x:c>
      <x:c r="N248" s="75" t="n">
        <x:f>SUM(N246:N247)</x:f>
        <x:v>91241.30904598278</x:v>
      </x:c>
      <x:c r="O248" s="75" t="n">
        <x:f>SUM(O246:O247)</x:f>
        <x:v>103867.67313744387</x:v>
      </x:c>
      <x:c r="P248" s="75" t="n">
        <x:f>SUM(P246:P247)</x:f>
        <x:v>116629.13974698965</x:v>
      </x:c>
      <x:c r="Q248" s="75" t="n">
        <x:f>SUM(Q246:Q247)</x:f>
        <x:v>129113.59041417541</x:v>
      </x:c>
      <x:c r="R248" s="75" t="n">
        <x:f>SUM(R246:R247)</x:f>
        <x:v>141952.05421147053</x:v>
      </x:c>
      <x:c r="S248" s="75" t="n">
        <x:f>SUM(S246:S247)</x:f>
        <x:v>155191.6354896999</x:v>
      </x:c>
      <x:c r="T248" s="75" t="n">
        <x:f>SUM(T246:T247)</x:f>
        <x:v>172279.2078988024</x:v>
      </x:c>
      <x:c r="U248" s="75" t="n">
        <x:f>SUM(U246:U247)</x:f>
        <x:v>189211.48037922598</x:v>
      </x:c>
      <x:c r="V248" s="75" t="n">
        <x:f>SUM(V246:V247)</x:f>
        <x:v>206436.04582262013</x:v>
      </x:c>
      <x:c r="W248" s="75" t="n">
        <x:f>SUM(W246:W247)</x:f>
        <x:v>224148.06077259406</x:v>
      </x:c>
      <x:c r="X248" s="75" t="n">
        <x:f>SUM(X246:X247)</x:f>
        <x:v>242407.15200963203</x:v>
      </x:c>
      <x:c r="Y248" s="75" t="n">
        <x:f>SUM(Y246:Y247)</x:f>
        <x:v>261271.23798770245</x:v>
      </x:c>
      <x:c r="Z248" s="75" t="n">
        <x:f>SUM(Z246:Z247)</x:f>
        <x:v>281205.2489228674</x:v>
      </x:c>
      <x:c r="AA248" s="75" t="n">
        <x:f>SUM(AA246:AA247)</x:f>
        <x:v>301196.49625666946</x:v>
      </x:c>
      <x:c r="AB248" s="75" t="n">
        <x:f>SUM(AB246:AB247)</x:f>
        <x:v>321554.35521627</x:v>
      </x:c>
      <x:c r="AC248" s="75" t="n">
        <x:f>SUM(AC246:AC247)</x:f>
        <x:v>342304.5068604856</x:v>
      </x:c>
      <x:c r="AD248" s="75" t="n">
        <x:f>SUM(AD246:AD247)</x:f>
        <x:v>363608.2502450732</x:v>
      </x:c>
      <x:c r="AE248" s="75" t="n">
        <x:f>SUM(AE246:AE247)</x:f>
        <x:v>385513.23711622035</x:v>
      </x:c>
      <x:c r="AF248" s="75" t="n">
        <x:f>SUM(AF246:AF247)</x:f>
        <x:v>409856.1770876414</x:v>
      </x:c>
      <x:c r="AG248" s="75" t="n">
        <x:f>SUM(AG246:AG247)</x:f>
        <x:v>434301.69128876703</x:v>
      </x:c>
      <x:c r="AH248" s="75" t="n">
        <x:f>SUM(AH246:AH247)</x:f>
        <x:v>459259.01666822145</x:v>
      </x:c>
      <x:c r="AI248" s="75" t="n">
        <x:f>SUM(AI246:AI247)</x:f>
        <x:v>484907.0613209112</x:v>
      </x:c>
      <x:c r="AJ248" s="75" t="n">
        <x:f>SUM(AJ246:AJ247)</x:f>
        <x:v>511300.67263292155</x:v>
      </x:c>
      <x:c r="AK248" s="75" t="n">
        <x:f>SUM(AK246:AK247)</x:f>
        <x:v>538492.2820310881</x:v>
      </x:c>
    </x:row>
    <x:row r="249" ht="18" customHeight="1">
      <x:c r="A249" s="4" t="str">
        <x:v>Annual gross billings, ex-tax (INR)</x:v>
      </x:c>
      <x:c r="B249" s="58" t="n">
        <x:f>B235*$B$294</x:f>
        <x:v>29222.669491525427</x:v>
      </x:c>
      <x:c r="C249" s="58" t="n">
        <x:f>C235*$B$294</x:f>
        <x:v>31509.661016949158</x:v>
      </x:c>
      <x:c r="D249" s="58" t="n">
        <x:f>D235*$B$294</x:f>
        <x:v>34071.091525423726</x:v>
      </x:c>
      <x:c r="E249" s="58" t="n">
        <x:f>E235*$B$294</x:f>
        <x:v>47104.30047457628</x:v>
      </x:c>
      <x:c r="F249" s="58" t="n">
        <x:f>F235*$B$294</x:f>
        <x:v>50317.358904406785</x:v>
      </x:c>
      <x:c r="G249" s="58" t="n">
        <x:f>G235*$B$294</x:f>
        <x:v>53915.984345816956</x:v>
      </x:c>
      <x:c r="H249" s="58" t="n">
        <x:f>H235*$B$294</x:f>
        <x:v>79969.32619612856</x:v>
      </x:c>
      <x:c r="I249" s="58" t="n">
        <x:f>I235*$B$294</x:f>
        <x:v>84483.44194983348</x:v>
      </x:c>
      <x:c r="J249" s="58" t="n">
        <x:f>J235*$B$294</x:f>
        <x:v>89539.25159398299</x:v>
      </x:c>
      <x:c r="K249" s="58" t="n">
        <x:f>K235*$B$294</x:f>
        <x:v>95201.75839543046</x:v>
      </x:c>
      <x:c r="L249" s="58" t="n">
        <x:f>L235*$B$294</x:f>
        <x:v>101543.7660130516</x:v>
      </x:c>
      <x:c r="M249" s="58" t="n">
        <x:f>M235*$B$294</x:f>
        <x:v>108646.8145447873</x:v>
      </x:c>
      <x:c r="N249" s="58" t="n">
        <x:f>N235*$B$294</x:f>
        <x:v>157105.6076860282</x:v>
      </x:c>
      <x:c r="O249" s="58" t="n">
        <x:f>O235*$B$294</x:f>
        <x:v>163499.02055591816</x:v>
      </x:c>
      <x:c r="P249" s="58" t="n">
        <x:f>P235*$B$294</x:f>
        <x:v>170430.52703675526</x:v>
      </x:c>
      <x:c r="Q249" s="58" t="n">
        <x:f>Q235*$B$294</x:f>
        <x:v>180904.21146005933</x:v>
      </x:c>
      <x:c r="R249" s="58" t="n">
        <x:f>R235*$B$294</x:f>
        <x:v>189054.71373176874</x:v>
      </x:c>
      <x:c r="S249" s="58" t="n">
        <x:f>S235*$B$294</x:f>
        <x:v>197894.65618533816</x:v>
      </x:c>
      <x:c r="T249" s="58" t="n">
        <x:f>T235*$B$294</x:f>
        <x:v>252393.8813419567</x:v>
      </x:c>
      <x:c r="U249" s="58" t="n">
        <x:f>U235*$B$294</x:f>
        <x:v>262796.94382010365</x:v>
      </x:c>
      <x:c r="V249" s="58" t="n">
        <x:f>V235*$B$294</x:f>
        <x:v>274084.7956038755</x:v>
      </x:c>
      <x:c r="W249" s="58" t="n">
        <x:f>W235*$B$294</x:f>
        <x:v>286334.525154607</x:v>
      </x:c>
      <x:c r="X249" s="58" t="n">
        <x:f>X235*$B$294</x:f>
        <x:v>299630.14464856585</x:v>
      </x:c>
      <x:c r="Y249" s="58" t="n">
        <x:f>Y235*$B$294</x:f>
        <x:v>314063.2346707105</x:v>
      </x:c>
      <x:c r="Z249" s="58" t="n">
        <x:f>Z235*$B$294</x:f>
        <x:v>364744.4380821626</x:v>
      </x:c>
      <x:c r="AA249" s="58" t="n">
        <x:f>AA235*$B$294</x:f>
        <x:v>377383.8444512039</x:v>
      </x:c>
      <x:c r="AB249" s="58" t="n">
        <x:f>AB235*$B$294</x:f>
        <x:v>390836.2546909334</x:v>
      </x:c>
      <x:c r="AC249" s="58" t="n">
        <x:f>AC235*$B$294</x:f>
        <x:v>406733.6812234172</x:v>
      </x:c>
      <x:c r="AD249" s="58" t="n">
        <x:f>AD235*$B$294</x:f>
        <x:v>421977.87008158176</x:v>
      </x:c>
      <x:c r="AE249" s="58" t="n">
        <x:f>AE235*$B$294</x:f>
        <x:v>438208.6338445382</x:v>
      </x:c>
      <x:c r="AF249" s="58" t="n">
        <x:f>AF235*$B$294</x:f>
        <x:v>505116.4865011634</x:v>
      </x:c>
      <x:c r="AG249" s="58" t="n">
        <x:f>AG235*$B$294</x:f>
        <x:v>523523.50521508977</x:v>
      </x:c>
      <x:c r="AH249" s="58" t="n">
        <x:f>AH235*$B$294</x:f>
        <x:v>543129.8942607269</x:v>
      </x:c>
      <x:c r="AI249" s="58" t="n">
        <x:f>AI235*$B$294</x:f>
        <x:v>564016.8937379669</x:v>
      </x:c>
      <x:c r="AJ249" s="58" t="n">
        <x:f>AJ235*$B$294</x:f>
        <x:v>586271.5622162872</x:v>
      </x:c>
      <x:c r="AK249" s="58" t="n">
        <x:f>AK235*$B$294</x:f>
        <x:v>609987.2255879978</x:v>
      </x:c>
    </x:row>
    <x:row r="250" ht="18" customHeight="1">
      <x:c r="A250" s="4" t="str">
        <x:v>Monthly gross billings, ex-tax (INR)</x:v>
      </x:c>
      <x:c r="B250" s="58" t="n">
        <x:f>B242*$B$295</x:f>
        <x:v>1213.3474576271187</x:v>
      </x:c>
      <x:c r="C250" s="58" t="n">
        <x:f>C242*$B$295</x:f>
        <x:v>2014.473305084746</x:v>
      </x:c>
      <x:c r="D250" s="58" t="n">
        <x:f>D242*$B$295</x:f>
        <x:v>2689.828566737288</x:v>
      </x:c>
      <x:c r="E250" s="58" t="n">
        <x:f>E242*$B$295</x:f>
        <x:v>3771.606254092373</x:v>
      </x:c>
      <x:c r="F250" s="58" t="n">
        <x:f>F242*$B$295</x:f>
        <x:v>4673.639083466809</x:v>
      </x:c>
      <x:c r="G250" s="58" t="n">
        <x:f>G242*$B$295</x:f>
        <x:v>5517.08317291257</x:v>
      </x:c>
      <x:c r="H250" s="58" t="n">
        <x:f>H242*$B$295</x:f>
        <x:v>7268.428888039038</x:v>
      </x:c>
      <x:c r="I250" s="58" t="n">
        <x:f>I242*$B$295</x:f>
        <x:v>8646.036777115352</x:v>
      </x:c>
      <x:c r="J250" s="58" t="n">
        <x:f>J242*$B$295</x:f>
        <x:v>9901.587890950545</x:v>
      </x:c>
      <x:c r="K250" s="58" t="n">
        <x:f>K242*$B$295</x:f>
        <x:v>11137.667859819834</x:v>
      </x:c>
      <x:c r="L250" s="58" t="n">
        <x:f>L242*$B$295</x:f>
        <x:v>12376.848243918175</x:v>
      </x:c>
      <x:c r="M250" s="58" t="n">
        <x:f>M242*$B$295</x:f>
        <x:v>13640.762645176617</x:v>
      </x:c>
      <x:c r="N250" s="58" t="n">
        <x:f>N242*$B$295</x:f>
        <x:v>16279.174981509486</x:v>
      </x:c>
      <x:c r="O250" s="58" t="n">
        <x:f>O242*$B$295</x:f>
        <x:v>18296.93188397797</x:v>
      </x:c>
      <x:c r="P250" s="58" t="n">
        <x:f>P242*$B$295</x:f>
        <x:v>20089.796735228636</x:v>
      </x:c>
      <x:c r="Q250" s="58" t="n">
        <x:f>Q242*$B$295</x:f>
        <x:v>21810.37185123472</x:v>
      </x:c>
      <x:c r="R250" s="58" t="n">
        <x:f>R242*$B$295</x:f>
        <x:v>23484.455303554307</x:v>
      </x:c>
      <x:c r="S250" s="58" t="n">
        <x:f>S242*$B$295</x:f>
        <x:v>25135.285514414853</x:v>
      </x:c>
      <x:c r="T250" s="58" t="n">
        <x:f>T242*$B$295</x:f>
        <x:v>28382.62661559842</x:v>
      </x:c>
      <x:c r="U250" s="58" t="n">
        <x:f>U242*$B$295</x:f>
        <x:v>30979.11913715523</x:v>
      </x:c>
      <x:c r="V250" s="58" t="n">
        <x:f>V242*$B$295</x:f>
        <x:v>33357.607765259556</x:v>
      </x:c>
      <x:c r="W250" s="58" t="n">
        <x:f>W242*$B$295</x:f>
        <x:v>35689.68642877209</x:v>
      </x:c>
      <x:c r="X250" s="58" t="n">
        <x:f>X242*$B$295</x:f>
        <x:v>38006.293608154076</x:v>
      </x:c>
      <x:c r="Y250" s="58" t="n">
        <x:f>Y242*$B$295</x:f>
        <x:v>40335.769915258854</x:v>
      </x:c>
      <x:c r="Z250" s="58" t="n">
        <x:f>Z242*$B$295</x:f>
        <x:v>43583.06078619778</x:v>
      </x:c>
      <x:c r="AA250" s="58" t="n">
        <x:f>AA242*$B$295</x:f>
        <x:v>46368.85879540719</x:v>
      </x:c>
      <x:c r="AB250" s="58" t="n">
        <x:f>AB242*$B$295</x:f>
        <x:v>48989.19828773145</x:v>
      </x:c>
      <x:c r="AC250" s="58" t="n">
        <x:f>AC242*$B$295</x:f>
        <x:v>51561.98471901409</x:v>
      </x:c>
      <x:c r="AD250" s="58" t="n">
        <x:f>AD242*$B$295</x:f>
        <x:v>54114.34373582969</x:v>
      </x:c>
      <x:c r="AE250" s="58" t="n">
        <x:f>AE242*$B$295</x:f>
        <x:v>56670.63962280056</x:v>
      </x:c>
      <x:c r="AF250" s="58" t="n">
        <x:f>AF242*$B$295</x:f>
        <x:v>60706.23692972686</x:v>
      </x:c>
      <x:c r="AG250" s="58" t="n">
        <x:f>AG242*$B$295</x:f>
        <x:v>64180.584512233014</x:v>
      </x:c>
      <x:c r="AH250" s="58" t="n">
        <x:f>AH242*$B$295</x:f>
        <x:v>67489.36104627998</x:v>
      </x:c>
      <x:c r="AI250" s="58" t="n">
        <x:f>AI242*$B$295</x:f>
        <x:v>70790.44681143618</x:v>
      </x:c>
      <x:c r="AJ250" s="58" t="n">
        <x:f>AJ242*$B$295</x:f>
        <x:v>74113.57058320883</x:v>
      </x:c>
      <x:c r="AK250" s="58" t="n">
        <x:f>AK242*$B$295</x:f>
        <x:v>77485.8250151874</x:v>
      </x:c>
    </x:row>
    <x:row r="251" ht="18" customHeight="1">
      <x:c r="A251" s="4" t="str">
        <x:v>Total gross billings, ex-tax (INR)</x:v>
      </x:c>
      <x:c r="B251" s="58" t="n">
        <x:f>SUM(B249:B250)</x:f>
        <x:v>30436.016949152545</x:v>
      </x:c>
      <x:c r="C251" s="58" t="n">
        <x:f>SUM(C249:C250)</x:f>
        <x:v>33524.134322033904</x:v>
      </x:c>
      <x:c r="D251" s="58" t="n">
        <x:f>SUM(D249:D250)</x:f>
        <x:v>36760.92009216102</x:v>
      </x:c>
      <x:c r="E251" s="58" t="n">
        <x:f>SUM(E249:E250)</x:f>
        <x:v>50875.906728668655</x:v>
      </x:c>
      <x:c r="F251" s="58" t="n">
        <x:f>SUM(F249:F250)</x:f>
        <x:v>54990.99798787359</x:v>
      </x:c>
      <x:c r="G251" s="58" t="n">
        <x:f>SUM(G249:G250)</x:f>
        <x:v>59433.06751872953</x:v>
      </x:c>
      <x:c r="H251" s="58" t="n">
        <x:f>SUM(H249:H250)</x:f>
        <x:v>87237.7550841676</x:v>
      </x:c>
      <x:c r="I251" s="58" t="n">
        <x:f>SUM(I249:I250)</x:f>
        <x:v>93129.47872694883</x:v>
      </x:c>
      <x:c r="J251" s="58" t="n">
        <x:f>SUM(J249:J250)</x:f>
        <x:v>99440.83948493353</x:v>
      </x:c>
      <x:c r="K251" s="58" t="n">
        <x:f>SUM(K249:K250)</x:f>
        <x:v>106339.42625525029</x:v>
      </x:c>
      <x:c r="L251" s="58" t="n">
        <x:f>SUM(L249:L250)</x:f>
        <x:v>113920.61425696977</x:v>
      </x:c>
      <x:c r="M251" s="58" t="n">
        <x:f>SUM(M249:M250)</x:f>
        <x:v>122287.57718996391</x:v>
      </x:c>
      <x:c r="N251" s="58" t="n">
        <x:f>SUM(N249:N250)</x:f>
        <x:v>173384.7826675377</x:v>
      </x:c>
      <x:c r="O251" s="58" t="n">
        <x:f>SUM(O249:O250)</x:f>
        <x:v>181795.95243989612</x:v>
      </x:c>
      <x:c r="P251" s="58" t="n">
        <x:f>SUM(P249:P250)</x:f>
        <x:v>190520.3237719839</x:v>
      </x:c>
      <x:c r="Q251" s="58" t="n">
        <x:f>SUM(Q249:Q250)</x:f>
        <x:v>202714.58331129406</x:v>
      </x:c>
      <x:c r="R251" s="58" t="n">
        <x:f>SUM(R249:R250)</x:f>
        <x:v>212539.16903532305</x:v>
      </x:c>
      <x:c r="S251" s="58" t="n">
        <x:f>SUM(S249:S250)</x:f>
        <x:v>223029.94169975302</x:v>
      </x:c>
      <x:c r="T251" s="58" t="n">
        <x:f>SUM(T249:T250)</x:f>
        <x:v>280776.5079575551</x:v>
      </x:c>
      <x:c r="U251" s="58" t="n">
        <x:f>SUM(U249:U250)</x:f>
        <x:v>293776.0629572589</x:v>
      </x:c>
      <x:c r="V251" s="58" t="n">
        <x:f>SUM(V249:V250)</x:f>
        <x:v>307442.40336913505</x:v>
      </x:c>
      <x:c r="W251" s="58" t="n">
        <x:f>SUM(W249:W250)</x:f>
        <x:v>322024.21158337913</x:v>
      </x:c>
      <x:c r="X251" s="58" t="n">
        <x:f>SUM(X249:X250)</x:f>
        <x:v>337636.4382567199</x:v>
      </x:c>
      <x:c r="Y251" s="58" t="n">
        <x:f>SUM(Y249:Y250)</x:f>
        <x:v>354399.0045859694</x:v>
      </x:c>
      <x:c r="Z251" s="58" t="n">
        <x:f>SUM(Z249:Z250)</x:f>
        <x:v>408327.49886836036</x:v>
      </x:c>
      <x:c r="AA251" s="58" t="n">
        <x:f>SUM(AA249:AA250)</x:f>
        <x:v>423752.70324661105</x:v>
      </x:c>
      <x:c r="AB251" s="58" t="n">
        <x:f>SUM(AB249:AB250)</x:f>
        <x:v>439825.45297866483</x:v>
      </x:c>
      <x:c r="AC251" s="58" t="n">
        <x:f>SUM(AC249:AC250)</x:f>
        <x:v>458295.6659424313</x:v>
      </x:c>
      <x:c r="AD251" s="58" t="n">
        <x:f>SUM(AD249:AD250)</x:f>
        <x:v>476092.21381741145</x:v>
      </x:c>
      <x:c r="AE251" s="58" t="n">
        <x:f>SUM(AE249:AE250)</x:f>
        <x:v>494879.27346733876</x:v>
      </x:c>
      <x:c r="AF251" s="58" t="n">
        <x:f>SUM(AF249:AF250)</x:f>
        <x:v>565822.7234308902</x:v>
      </x:c>
      <x:c r="AG251" s="58" t="n">
        <x:f>SUM(AG249:AG250)</x:f>
        <x:v>587704.0897273228</x:v>
      </x:c>
      <x:c r="AH251" s="58" t="n">
        <x:f>SUM(AH249:AH250)</x:f>
        <x:v>610619.2553070069</x:v>
      </x:c>
      <x:c r="AI251" s="58" t="n">
        <x:f>SUM(AI249:AI250)</x:f>
        <x:v>634807.3405494031</x:v>
      </x:c>
      <x:c r="AJ251" s="58" t="n">
        <x:f>SUM(AJ249:AJ250)</x:f>
        <x:v>660385.1327994961</x:v>
      </x:c>
      <x:c r="AK251" s="58" t="n">
        <x:f>SUM(AK249:AK250)</x:f>
        <x:v>687473.0506031852</x:v>
      </x:c>
    </x:row>
    <x:row r="252" ht="18" customHeight="1">
      <x:c r="A252" s="4" t="str">
        <x:v>Refunds (INR)</x:v>
      </x:c>
      <x:c r="B252" s="58" t="n">
        <x:f>B251*'Scenario Inputs'!$C$29</x:f>
        <x:v>913.0805084745763</x:v>
      </x:c>
      <x:c r="C252" s="58" t="n">
        <x:f>C251*'Scenario Inputs'!$C$29</x:f>
        <x:v>1005.7240296610171</x:v>
      </x:c>
      <x:c r="D252" s="58" t="n">
        <x:f>D251*'Scenario Inputs'!$C$29</x:f>
        <x:v>1102.8276027648305</x:v>
      </x:c>
      <x:c r="E252" s="58" t="n">
        <x:f>E251*'Scenario Inputs'!$C$29</x:f>
        <x:v>1526.2772018600597</x:v>
      </x:c>
      <x:c r="F252" s="58" t="n">
        <x:f>F251*'Scenario Inputs'!$C$29</x:f>
        <x:v>1649.7299396362077</x:v>
      </x:c>
      <x:c r="G252" s="58" t="n">
        <x:f>G251*'Scenario Inputs'!$C$29</x:f>
        <x:v>1782.9920255618858</x:v>
      </x:c>
      <x:c r="H252" s="58" t="n">
        <x:f>H251*'Scenario Inputs'!$C$29</x:f>
        <x:v>2617.132652525028</x:v>
      </x:c>
      <x:c r="I252" s="58" t="n">
        <x:f>I251*'Scenario Inputs'!$C$29</x:f>
        <x:v>2793.8843618084647</x:v>
      </x:c>
      <x:c r="J252" s="58" t="n">
        <x:f>J251*'Scenario Inputs'!$C$29</x:f>
        <x:v>2983.225184548006</x:v>
      </x:c>
      <x:c r="K252" s="58" t="n">
        <x:f>K251*'Scenario Inputs'!$C$29</x:f>
        <x:v>3190.1827876575085</x:v>
      </x:c>
      <x:c r="L252" s="58" t="n">
        <x:f>L251*'Scenario Inputs'!$C$29</x:f>
        <x:v>3417.618427709093</x:v>
      </x:c>
      <x:c r="M252" s="58" t="n">
        <x:f>M251*'Scenario Inputs'!$C$29</x:f>
        <x:v>3668.6273156989173</x:v>
      </x:c>
      <x:c r="N252" s="58" t="n">
        <x:f>N251*'Scenario Inputs'!$C$29</x:f>
        <x:v>5201.54348002613</x:v>
      </x:c>
      <x:c r="O252" s="58" t="n">
        <x:f>O251*'Scenario Inputs'!$C$29</x:f>
        <x:v>5453.878573196884</x:v>
      </x:c>
      <x:c r="P252" s="58" t="n">
        <x:f>P251*'Scenario Inputs'!$C$29</x:f>
        <x:v>5715.609713159517</x:v>
      </x:c>
      <x:c r="Q252" s="58" t="n">
        <x:f>Q251*'Scenario Inputs'!$C$29</x:f>
        <x:v>6081.437499338822</x:v>
      </x:c>
      <x:c r="R252" s="58" t="n">
        <x:f>R251*'Scenario Inputs'!$C$29</x:f>
        <x:v>6376.175071059692</x:v>
      </x:c>
      <x:c r="S252" s="58" t="n">
        <x:f>S251*'Scenario Inputs'!$C$29</x:f>
        <x:v>6690.89825099259</x:v>
      </x:c>
      <x:c r="T252" s="58" t="n">
        <x:f>T251*'Scenario Inputs'!$C$29</x:f>
        <x:v>8423.295238726654</x:v>
      </x:c>
      <x:c r="U252" s="58" t="n">
        <x:f>U251*'Scenario Inputs'!$C$29</x:f>
        <x:v>8813.281888717767</x:v>
      </x:c>
      <x:c r="V252" s="58" t="n">
        <x:f>V251*'Scenario Inputs'!$C$29</x:f>
        <x:v>9223.272101074052</x:v>
      </x:c>
      <x:c r="W252" s="58" t="n">
        <x:f>W251*'Scenario Inputs'!$C$29</x:f>
        <x:v>9660.726347501373</x:v>
      </x:c>
      <x:c r="X252" s="58" t="n">
        <x:f>X251*'Scenario Inputs'!$C$29</x:f>
        <x:v>10129.093147701597</x:v>
      </x:c>
      <x:c r="Y252" s="58" t="n">
        <x:f>Y251*'Scenario Inputs'!$C$29</x:f>
        <x:v>10631.970137579081</x:v>
      </x:c>
      <x:c r="Z252" s="58" t="n">
        <x:f>Z251*'Scenario Inputs'!$C$29</x:f>
        <x:v>12249.82496605081</x:v>
      </x:c>
      <x:c r="AA252" s="58" t="n">
        <x:f>AA251*'Scenario Inputs'!$C$29</x:f>
        <x:v>12712.581097398332</x:v>
      </x:c>
      <x:c r="AB252" s="58" t="n">
        <x:f>AB251*'Scenario Inputs'!$C$29</x:f>
        <x:v>13194.763589359945</x:v>
      </x:c>
      <x:c r="AC252" s="58" t="n">
        <x:f>AC251*'Scenario Inputs'!$C$29</x:f>
        <x:v>13748.869978272938</x:v>
      </x:c>
      <x:c r="AD252" s="58" t="n">
        <x:f>AD251*'Scenario Inputs'!$C$29</x:f>
        <x:v>14282.766414522343</x:v>
      </x:c>
      <x:c r="AE252" s="58" t="n">
        <x:f>AE251*'Scenario Inputs'!$C$29</x:f>
        <x:v>14846.378204020162</x:v>
      </x:c>
      <x:c r="AF252" s="58" t="n">
        <x:f>AF251*'Scenario Inputs'!$C$29</x:f>
        <x:v>16974.681702926708</x:v>
      </x:c>
      <x:c r="AG252" s="58" t="n">
        <x:f>AG251*'Scenario Inputs'!$C$29</x:f>
        <x:v>17631.122691819684</x:v>
      </x:c>
      <x:c r="AH252" s="58" t="n">
        <x:f>AH251*'Scenario Inputs'!$C$29</x:f>
        <x:v>18318.577659210205</x:v>
      </x:c>
      <x:c r="AI252" s="58" t="n">
        <x:f>AI251*'Scenario Inputs'!$C$29</x:f>
        <x:v>19044.220216482092</x:v>
      </x:c>
      <x:c r="AJ252" s="58" t="n">
        <x:f>AJ251*'Scenario Inputs'!$C$29</x:f>
        <x:v>19811.553983984883</x:v>
      </x:c>
      <x:c r="AK252" s="58" t="n">
        <x:f>AK251*'Scenario Inputs'!$C$29</x:f>
        <x:v>20624.191518095555</x:v>
      </x:c>
    </x:row>
    <x:row r="253" ht="18" customHeight="1">
      <x:c r="A253" s="4" t="str">
        <x:v>Net billings, ex-tax (INR)</x:v>
      </x:c>
      <x:c r="B253" s="58" t="n">
        <x:f>B251-B252</x:f>
        <x:v>29522.936440677968</x:v>
      </x:c>
      <x:c r="C253" s="58" t="n">
        <x:f>C251-C252</x:f>
        <x:v>32518.410292372886</x:v>
      </x:c>
      <x:c r="D253" s="58" t="n">
        <x:f>D251-D252</x:f>
        <x:v>35658.092489396186</x:v>
      </x:c>
      <x:c r="E253" s="58" t="n">
        <x:f>E251-E252</x:f>
        <x:v>49349.629526808596</x:v>
      </x:c>
      <x:c r="F253" s="58" t="n">
        <x:f>F251-F252</x:f>
        <x:v>53341.26804823738</x:v>
      </x:c>
      <x:c r="G253" s="58" t="n">
        <x:f>G251-G252</x:f>
        <x:v>57650.07549316764</x:v>
      </x:c>
      <x:c r="H253" s="58" t="n">
        <x:f>H251-H252</x:f>
        <x:v>84620.62243164257</x:v>
      </x:c>
      <x:c r="I253" s="58" t="n">
        <x:f>I251-I252</x:f>
        <x:v>90335.59436514036</x:v>
      </x:c>
      <x:c r="J253" s="58" t="n">
        <x:f>J251-J252</x:f>
        <x:v>96457.61430038552</x:v>
      </x:c>
      <x:c r="K253" s="58" t="n">
        <x:f>K251-K252</x:f>
        <x:v>103149.24346759278</x:v>
      </x:c>
      <x:c r="L253" s="58" t="n">
        <x:f>L251-L252</x:f>
        <x:v>110502.99582926068</x:v>
      </x:c>
      <x:c r="M253" s="58" t="n">
        <x:f>M251-M252</x:f>
        <x:v>118618.94987426499</x:v>
      </x:c>
      <x:c r="N253" s="58" t="n">
        <x:f>N251-N252</x:f>
        <x:v>168183.23918751156</x:v>
      </x:c>
      <x:c r="O253" s="58" t="n">
        <x:f>O251-O252</x:f>
        <x:v>176342.07386669924</x:v>
      </x:c>
      <x:c r="P253" s="58" t="n">
        <x:f>P251-P252</x:f>
        <x:v>184804.71405882438</x:v>
      </x:c>
      <x:c r="Q253" s="58" t="n">
        <x:f>Q251-Q252</x:f>
        <x:v>196633.14581195524</x:v>
      </x:c>
      <x:c r="R253" s="58" t="n">
        <x:f>R251-R252</x:f>
        <x:v>206162.99396426335</x:v>
      </x:c>
      <x:c r="S253" s="58" t="n">
        <x:f>S251-S252</x:f>
        <x:v>216339.04344876044</x:v>
      </x:c>
      <x:c r="T253" s="58" t="n">
        <x:f>T251-T252</x:f>
        <x:v>272353.21271882846</x:v>
      </x:c>
      <x:c r="U253" s="58" t="n">
        <x:f>U251-U252</x:f>
        <x:v>284962.7810685411</x:v>
      </x:c>
      <x:c r="V253" s="58" t="n">
        <x:f>V251-V252</x:f>
        <x:v>298219.131268061</x:v>
      </x:c>
      <x:c r="W253" s="58" t="n">
        <x:f>W251-W252</x:f>
        <x:v>312363.48523587774</x:v>
      </x:c>
      <x:c r="X253" s="58" t="n">
        <x:f>X251-X252</x:f>
        <x:v>327507.3451090183</x:v>
      </x:c>
      <x:c r="Y253" s="58" t="n">
        <x:f>Y251-Y252</x:f>
        <x:v>343767.0344483903</x:v>
      </x:c>
      <x:c r="Z253" s="58" t="n">
        <x:f>Z251-Z252</x:f>
        <x:v>396077.67390230956</x:v>
      </x:c>
      <x:c r="AA253" s="58" t="n">
        <x:f>AA251-AA252</x:f>
        <x:v>411040.12214921275</x:v>
      </x:c>
      <x:c r="AB253" s="58" t="n">
        <x:f>AB251-AB252</x:f>
        <x:v>426630.6893893049</x:v>
      </x:c>
      <x:c r="AC253" s="58" t="n">
        <x:f>AC251-AC252</x:f>
        <x:v>444546.7959641584</x:v>
      </x:c>
      <x:c r="AD253" s="58" t="n">
        <x:f>AD251-AD252</x:f>
        <x:v>461809.4474028891</x:v>
      </x:c>
      <x:c r="AE253" s="58" t="n">
        <x:f>AE251-AE252</x:f>
        <x:v>480032.8952633186</x:v>
      </x:c>
      <x:c r="AF253" s="58" t="n">
        <x:f>AF251-AF252</x:f>
        <x:v>548848.0417279635</x:v>
      </x:c>
      <x:c r="AG253" s="58" t="n">
        <x:f>AG251-AG252</x:f>
        <x:v>570072.9670355031</x:v>
      </x:c>
      <x:c r="AH253" s="58" t="n">
        <x:f>AH251-AH252</x:f>
        <x:v>592300.6776477967</x:v>
      </x:c>
      <x:c r="AI253" s="58" t="n">
        <x:f>AI251-AI252</x:f>
        <x:v>615763.120332921</x:v>
      </x:c>
      <x:c r="AJ253" s="58" t="n">
        <x:f>AJ251-AJ252</x:f>
        <x:v>640573.5788155112</x:v>
      </x:c>
      <x:c r="AK253" s="58" t="n">
        <x:f>AK251-AK252</x:f>
        <x:v>666848.8590850896</x:v>
      </x:c>
    </x:row>
    <x:row r="254" ht="18" customHeight="1">
      <x:c r="A254" s="4" t="str">
        <x:v>Payment / store fees (INR)</x:v>
      </x:c>
      <x:c r="B254" s="58" t="n">
        <x:f>B235*$B$296+B242*$B$297</x:f>
        <x:v>2706.492371186441</x:v>
      </x:c>
      <x:c r="C254" s="58" t="n">
        <x:f>C235*$B$296+C242*$B$297</x:f>
        <x:v>2981.100120452543</x:v>
      </x:c>
      <x:c r="D254" s="58" t="n">
        <x:f>D235*$B$296+D242*$B$297</x:f>
        <x:v>3268.928058275326</x:v>
      </x:c>
      <x:c r="E254" s="58" t="n">
        <x:f>E235*$B$296+E242*$B$297</x:f>
        <x:v>4524.089129940132</x:v>
      </x:c>
      <x:c r="F254" s="58" t="n">
        <x:f>F235*$B$296+F242*$B$297</x:f>
        <x:v>4890.019505073671</x:v>
      </x:c>
      <x:c r="G254" s="58" t="n">
        <x:f>G235*$B$296+G242*$B$297</x:f>
        <x:v>5285.026096035504</x:v>
      </x:c>
      <x:c r="H254" s="58" t="n">
        <x:f>H235*$B$296+H242*$B$297</x:f>
        <x:v>7757.53013310452</x:v>
      </x:c>
      <x:c r="I254" s="58" t="n">
        <x:f>I235*$B$296+I242*$B$297</x:f>
        <x:v>8281.445766315197</x:v>
      </x:c>
      <x:c r="J254" s="58" t="n">
        <x:f>J235*$B$296+J242*$B$297</x:f>
        <x:v>8842.67721035823</x:v>
      </x:c>
      <x:c r="K254" s="58" t="n">
        <x:f>K235*$B$296+K242*$B$297</x:f>
        <x:v>9456.127140321876</x:v>
      </x:c>
      <x:c r="L254" s="58" t="n">
        <x:f>L235*$B$296+L242*$B$297</x:f>
        <x:v>10130.27670218678</x:v>
      </x:c>
      <x:c r="M254" s="58" t="n">
        <x:f>M235*$B$296+M242*$B$297</x:f>
        <x:v>10874.300514040351</x:v>
      </x:c>
      <x:c r="N254" s="58" t="n">
        <x:f>N235*$B$296+N242*$B$297</x:f>
        <x:v>15418.068413928122</x:v>
      </x:c>
      <x:c r="O254" s="58" t="n">
        <x:f>O235*$B$296+O242*$B$297</x:f>
        <x:v>16166.023274765324</x:v>
      </x:c>
      <x:c r="P254" s="58" t="n">
        <x:f>P235*$B$296+P242*$B$297</x:f>
        <x:v>16941.829271099894</x:v>
      </x:c>
      <x:c r="Q254" s="58" t="n">
        <x:f>Q235*$B$296+Q242*$B$297</x:f>
        <x:v>18026.19160637351</x:v>
      </x:c>
      <x:c r="R254" s="58" t="n">
        <x:f>R235*$B$296+R242*$B$297</x:f>
        <x:v>18899.833067297066</x:v>
      </x:c>
      <x:c r="S254" s="58" t="n">
        <x:f>S235*$B$296+S242*$B$297</x:f>
        <x:v>19832.714535708838</x:v>
      </x:c>
      <x:c r="T254" s="58" t="n">
        <x:f>T235*$B$296+T242*$B$297</x:f>
        <x:v>24967.77019361763</x:v>
      </x:c>
      <x:c r="U254" s="58" t="n">
        <x:f>U235*$B$296+U242*$B$297</x:f>
        <x:v>26123.742622411286</x:v>
      </x:c>
      <x:c r="V254" s="58" t="n">
        <x:f>V235*$B$296+V242*$B$297</x:f>
        <x:v>27339.00827719696</x:v>
      </x:c>
      <x:c r="W254" s="58" t="n">
        <x:f>W235*$B$296+W242*$B$297</x:f>
        <x:v>28635.6809908404</x:v>
      </x:c>
      <x:c r="X254" s="58" t="n">
        <x:f>X235*$B$296+X242*$B$297</x:f>
        <x:v>30023.98263554056</x:v>
      </x:c>
      <x:c r="Y254" s="58" t="n">
        <x:f>Y235*$B$296+Y242*$B$297</x:f>
        <x:v>31514.577083802742</x:v>
      </x:c>
      <x:c r="Z254" s="58" t="n">
        <x:f>Z235*$B$296+Z242*$B$297</x:f>
        <x:v>36310.114509370076</x:v>
      </x:c>
      <x:c r="AA254" s="58" t="n">
        <x:f>AA235*$B$296+AA242*$B$297</x:f>
        <x:v>37681.78538350164</x:v>
      </x:c>
      <x:c r="AB254" s="58" t="n">
        <x:f>AB235*$B$296+AB242*$B$297</x:f>
        <x:v>39111.038580674795</x:v>
      </x:c>
      <x:c r="AC254" s="58" t="n">
        <x:f>AC235*$B$296+AC242*$B$297</x:f>
        <x:v>40753.48379826476</x:v>
      </x:c>
      <x:c r="AD254" s="58" t="n">
        <x:f>AD235*$B$296+AD242*$B$297</x:f>
        <x:v>42336.02402149949</x:v>
      </x:c>
      <x:c r="AE254" s="58" t="n">
        <x:f>AE235*$B$296+AE242*$B$297</x:f>
        <x:v>44006.64451380963</x:v>
      </x:c>
      <x:c r="AF254" s="58" t="n">
        <x:f>AF235*$B$296+AF242*$B$297</x:f>
        <x:v>50315.21985836848</x:v>
      </x:c>
      <x:c r="AG254" s="58" t="n">
        <x:f>AG235*$B$296+AG242*$B$297</x:f>
        <x:v>52260.99847491245</x:v>
      </x:c>
      <x:c r="AH254" s="58" t="n">
        <x:f>AH235*$B$296+AH242*$B$297</x:f>
        <x:v>54298.70665892028</x:v>
      </x:c>
      <x:c r="AI254" s="58" t="n">
        <x:f>AI235*$B$296+AI242*$B$297</x:f>
        <x:v>56449.60795101512</x:v>
      </x:c>
      <x:c r="AJ254" s="58" t="n">
        <x:f>AJ235*$B$296+AJ242*$B$297</x:f>
        <x:v>58724.08754906239</x:v>
      </x:c>
      <x:c r="AK254" s="58" t="n">
        <x:f>AK235*$B$296+AK242*$B$297</x:f>
        <x:v>61132.853551837645</x:v>
      </x:c>
    </x:row>
    <x:row r="255" ht="18" customHeight="1">
      <x:c r="A255" s="4" t="str">
        <x:v>Billing / entitlement reserve (INR)</x:v>
      </x:c>
      <x:c r="B255" s="58" t="n">
        <x:f>B235*$B$298+B242*$B$299</x:f>
        <x:v>359.14500000000004</x:v>
      </x:c>
      <x:c r="C255" s="58" t="n">
        <x:f>C235*$B$298+C242*$B$299</x:f>
        <x:v>395.58478500000007</x:v>
      </x:c>
      <x:c r="D255" s="58" t="n">
        <x:f>D235*$B$298+D242*$B$299</x:f>
        <x:v>433.7788570875</x:v>
      </x:c>
      <x:c r="E255" s="58" t="n">
        <x:f>E235*$B$298+E242*$B$299</x:f>
        <x:v>600.3356993982901</x:v>
      </x:c>
      <x:c r="F255" s="58" t="n">
        <x:f>F235*$B$298+F242*$B$299</x:f>
        <x:v>648.8937762569085</x:v>
      </x:c>
      <x:c r="G255" s="58" t="n">
        <x:f>G235*$B$298+G242*$B$299</x:f>
        <x:v>701.3101967210085</x:v>
      </x:c>
      <x:c r="H255" s="58" t="n">
        <x:f>H235*$B$298+H242*$B$299</x:f>
        <x:v>1029.4055099931777</x:v>
      </x:c>
      <x:c r="I255" s="58" t="n">
        <x:f>I235*$B$298+I242*$B$299</x:f>
        <x:v>1098.9278489779963</x:v>
      </x:c>
      <x:c r="J255" s="58" t="n">
        <x:f>J235*$B$298+J242*$B$299</x:f>
        <x:v>1173.4019059222157</x:v>
      </x:c>
      <x:c r="K255" s="58" t="n">
        <x:f>K235*$B$298+K242*$B$299</x:f>
        <x:v>1254.8052298119535</x:v>
      </x:c>
      <x:c r="L255" s="58" t="n">
        <x:f>L235*$B$298+L242*$B$299</x:f>
        <x:v>1344.2632482322433</x:v>
      </x:c>
      <x:c r="M255" s="58" t="n">
        <x:f>M235*$B$298+M242*$B$299</x:f>
        <x:v>1442.9934108415741</x:v>
      </x:c>
      <x:c r="N255" s="58" t="n">
        <x:f>N235*$B$298+N242*$B$299</x:f>
        <x:v>2045.940435476945</x:v>
      </x:c>
      <x:c r="O255" s="58" t="n">
        <x:f>O235*$B$298+O242*$B$299</x:f>
        <x:v>2145.1922387907744</x:v>
      </x:c>
      <x:c r="P255" s="58" t="n">
        <x:f>P235*$B$298+P242*$B$299</x:f>
        <x:v>2248.13982050941</x:v>
      </x:c>
      <x:c r="Q255" s="58" t="n">
        <x:f>Q235*$B$298+Q242*$B$299</x:f>
        <x:v>2392.03208307327</x:v>
      </x:c>
      <x:c r="R255" s="58" t="n">
        <x:f>R235*$B$298+R242*$B$299</x:f>
        <x:v>2507.962194616812</x:v>
      </x:c>
      <x:c r="S255" s="58" t="n">
        <x:f>S235*$B$298+S242*$B$299</x:f>
        <x:v>2631.7533120570856</x:v>
      </x:c>
      <x:c r="T255" s="58" t="n">
        <x:f>T235*$B$298+T242*$B$299</x:f>
        <x:v>3313.1627938991505</x:v>
      </x:c>
      <x:c r="U255" s="58" t="n">
        <x:f>U235*$B$298+U242*$B$299</x:f>
        <x:v>3466.5575428956545</x:v>
      </x:c>
      <x:c r="V255" s="58" t="n">
        <x:f>V235*$B$298+V242*$B$299</x:f>
        <x:v>3627.820359755793</x:v>
      </x:c>
      <x:c r="W255" s="58" t="n">
        <x:f>W235*$B$298+W242*$B$299</x:f>
        <x:v>3799.885696683874</x:v>
      </x:c>
      <x:c r="X255" s="58" t="n">
        <x:f>X235*$B$298+X242*$B$299</x:f>
        <x:v>3984.1099714292955</x:v>
      </x:c>
      <x:c r="Y255" s="58" t="n">
        <x:f>Y235*$B$298+Y242*$B$299</x:f>
        <x:v>4181.908254114439</x:v>
      </x:c>
      <x:c r="Z255" s="58" t="n">
        <x:f>Z235*$B$298+Z242*$B$299</x:f>
        <x:v>4818.264486646653</x:v>
      </x:c>
      <x:c r="AA255" s="58" t="n">
        <x:f>AA235*$B$298+AA242*$B$299</x:f>
        <x:v>5000.281898310011</x:v>
      </x:c>
      <x:c r="AB255" s="58" t="n">
        <x:f>AB235*$B$298+AB242*$B$299</x:f>
        <x:v>5189.940345148246</x:v>
      </x:c>
      <x:c r="AC255" s="58" t="n">
        <x:f>AC235*$B$298+AC242*$B$299</x:f>
        <x:v>5407.888858120689</x:v>
      </x:c>
      <x:c r="AD255" s="58" t="n">
        <x:f>AD235*$B$298+AD242*$B$299</x:f>
        <x:v>5617.888123045455</x:v>
      </x:c>
      <x:c r="AE255" s="58" t="n">
        <x:f>AE235*$B$298+AE242*$B$299</x:f>
        <x:v>5839.575426914598</x:v>
      </x:c>
      <x:c r="AF255" s="58" t="n">
        <x:f>AF235*$B$298+AF242*$B$299</x:f>
        <x:v>6676.708136484505</x:v>
      </x:c>
      <x:c r="AG255" s="58" t="n">
        <x:f>AG235*$B$298+AG242*$B$299</x:f>
        <x:v>6934.908258782409</x:v>
      </x:c>
      <x:c r="AH255" s="58" t="n">
        <x:f>AH235*$B$298+AH242*$B$299</x:f>
        <x:v>7205.307212622682</x:v>
      </x:c>
      <x:c r="AI255" s="58" t="n">
        <x:f>AI235*$B$298+AI242*$B$299</x:f>
        <x:v>7490.726618482957</x:v>
      </x:c>
      <x:c r="AJ255" s="58" t="n">
        <x:f>AJ235*$B$298+AJ242*$B$299</x:f>
        <x:v>7792.544567034054</x:v>
      </x:c>
      <x:c r="AK255" s="58" t="n">
        <x:f>AK235*$B$298+AK242*$B$299</x:f>
        <x:v>8112.181997117586</x:v>
      </x:c>
    </x:row>
    <x:row r="256" ht="18" customHeight="1">
      <x:c r="A256" s="4" t="str">
        <x:v>Paid users: AI cost (INR)</x:v>
      </x:c>
      <x:c r="B256" s="58" t="n">
        <x:f>B244*'Commercial Inputs'!$B$24*$B$300</x:f>
        <x:v>143.56485</x:v>
      </x:c>
      <x:c r="C256" s="58" t="n">
        <x:f>C244*'Commercial Inputs'!$B$24*$B$300</x:f>
        <x:v>283.36268317500003</x:v>
      </x:c>
      <x:c r="D256" s="58" t="n">
        <x:f>D244*'Commercial Inputs'!$B$24*$B$300</x:f>
        <x:v>428.87800990856255</x:v>
      </x:c>
      <x:c r="E256" s="58" t="n">
        <x:f>E244*'Commercial Inputs'!$B$24*$B$300</x:f>
        <x:v>634.437512012111</x:v>
      </x:c>
      <x:c r="F256" s="58" t="n">
        <x:f>F244*'Commercial Inputs'!$B$24*$B$300</x:f>
        <x:v>846.5189146903331</x:v>
      </x:c>
      <x:c r="G256" s="58" t="n">
        <x:f>G244*'Commercial Inputs'!$B$24*$B$300</x:f>
        <x:v>1070.1267127608323</x:v>
      </x:c>
      <x:c r="H256" s="58" t="n">
        <x:f>H244*'Commercial Inputs'!$B$24*$B$300</x:f>
        <x:v>1416.5864919642177</x:v>
      </x:c>
      <x:c r="I256" s="58" t="n">
        <x:f>I244*'Commercial Inputs'!$B$24*$B$300</x:f>
        <x:v>1768.6236630838828</x:v>
      </x:c>
      <x:c r="J256" s="58" t="n">
        <x:f>J244*'Commercial Inputs'!$B$24*$B$300</x:f>
        <x:v>2135.6789548814936</x:v>
      </x:c>
      <x:c r="K256" s="58" t="n">
        <x:f>K244*'Commercial Inputs'!$B$24*$B$300</x:f>
        <x:v>2523.022315647195</x:v>
      </x:c>
      <x:c r="L256" s="58" t="n">
        <x:f>L244*'Commercial Inputs'!$B$24*$B$300</x:f>
        <x:v>2933.82510328653</x:v>
      </x:c>
      <x:c r="M256" s="58" t="n">
        <x:f>M244*'Commercial Inputs'!$B$24*$B$300</x:f>
        <x:v>3371.5313726519666</x:v>
      </x:c>
      <x:c r="N256" s="58" t="n">
        <x:f>N244*'Commercial Inputs'!$B$24*$B$300</x:f>
        <x:v>3920.773020693106</x:v>
      </x:c>
      <x:c r="O256" s="58" t="n">
        <x:f>O244*'Commercial Inputs'!$B$24*$B$300</x:f>
        <x:v>4466.785969605373</x:v>
      </x:c>
      <x:c r="P256" s="58" t="n">
        <x:f>P244*'Commercial Inputs'!$B$24*$B$300</x:f>
        <x:v>5022.24848893244</x:v>
      </x:c>
      <x:c r="Q256" s="58" t="n">
        <x:f>Q244*'Commercial Inputs'!$B$24*$B$300</x:f>
        <x:v>5566.141848744889</x:v>
      </x:c>
      <x:c r="R256" s="58" t="n">
        <x:f>R244*'Commercial Inputs'!$B$24*$B$300</x:f>
        <x:v>6126.852440034105</x:v>
      </x:c>
      <x:c r="S256" s="58" t="n">
        <x:f>S244*'Commercial Inputs'!$B$24*$B$300</x:f>
        <x:v>6706.187311783297</x:v>
      </x:c>
      <x:c r="T256" s="58" t="n">
        <x:f>T244*'Commercial Inputs'!$B$24*$B$300</x:f>
        <x:v>7437.558991732762</x:v>
      </x:c>
      <x:c r="U256" s="58" t="n">
        <x:f>U244*'Commercial Inputs'!$B$24*$B$300</x:f>
        <x:v>8171.37672965429</x:v>
      </x:c>
      <x:c r="V256" s="58" t="n">
        <x:f>V244*'Commercial Inputs'!$B$24*$B$300</x:f>
        <x:v>8921.708379065069</x:v>
      </x:c>
      <x:c r="W256" s="58" t="n">
        <x:f>W244*'Commercial Inputs'!$B$24*$B$300</x:f>
        <x:v>9694.93844011629</x:v>
      </x:c>
      <x:c r="X256" s="58" t="n">
        <x:f>X244*'Commercial Inputs'!$B$24*$B$300</x:f>
        <x:v>10493.332077862537</x:v>
      </x:c>
      <x:c r="Y256" s="58" t="n">
        <x:f>Y244*'Commercial Inputs'!$B$24*$B$300</x:f>
        <x:v>11319.11460666603</x:v>
      </x:c>
      <x:c r="Z256" s="58" t="n">
        <x:f>Z244*'Commercial Inputs'!$B$24*$B$300</x:f>
        <x:v>12180.23506570618</x:v>
      </x:c>
      <x:c r="AA256" s="58" t="n">
        <x:f>AA244*'Commercial Inputs'!$B$24*$B$300</x:f>
        <x:v>13050.718358425509</x:v>
      </x:c>
      <x:c r="AB256" s="58" t="n">
        <x:f>AB244*'Commercial Inputs'!$B$24*$B$300</x:f>
        <x:v>13940.334209407541</x:v>
      </x:c>
      <x:c r="AC256" s="58" t="n">
        <x:f>AC244*'Commercial Inputs'!$B$24*$B$300</x:f>
        <x:v>14848.527706479901</x:v>
      </x:c>
      <x:c r="AD256" s="58" t="n">
        <x:f>AD244*'Commercial Inputs'!$B$24*$B$300</x:f>
        <x:v>15782.25430048362</x:v>
      </x:c>
      <x:c r="AE256" s="58" t="n">
        <x:f>AE244*'Commercial Inputs'!$B$24*$B$300</x:f>
        <x:v>16743.329515343237</x:v>
      </x:c>
      <x:c r="AF256" s="58" t="n">
        <x:f>AF244*'Commercial Inputs'!$B$24*$B$300</x:f>
        <x:v>17793.883686923382</x:v>
      </x:c>
      <x:c r="AG256" s="58" t="n">
        <x:f>AG244*'Commercial Inputs'!$B$24*$B$300</x:f>
        <x:v>18857.327228569007</x:v>
      </x:c>
      <x:c r="AH256" s="58" t="n">
        <x:f>AH244*'Commercial Inputs'!$B$24*$B$300</x:f>
        <x:v>19946.52354721239</x:v>
      </x:c>
      <x:c r="AI256" s="58" t="n">
        <x:f>AI244*'Commercial Inputs'!$B$24*$B$300</x:f>
        <x:v>21067.31719296192</x:v>
      </x:c>
      <x:c r="AJ256" s="58" t="n">
        <x:f>AJ244*'Commercial Inputs'!$B$24*$B$300</x:f>
        <x:v>22221.77317746652</x:v>
      </x:c>
      <x:c r="AK256" s="58" t="n">
        <x:f>AK244*'Commercial Inputs'!$B$24*$B$300</x:f>
        <x:v>23411.884965778117</x:v>
      </x:c>
    </x:row>
    <x:row r="257" ht="18" customHeight="1">
      <x:c r="A257" s="4" t="str">
        <x:v>Free users: AI cost (INR)</x:v>
      </x:c>
      <x:c r="B257" s="58" t="n">
        <x:f>B245*'Commercial Inputs'!$B$25*$B$300</x:f>
        <x:v>193.05</x:v>
      </x:c>
      <x:c r="C257" s="58" t="n">
        <x:f>C245*'Commercial Inputs'!$B$25*$B$300</x:f>
        <x:v>340.03521981</x:v>
      </x:c>
      <x:c r="D257" s="58" t="n">
        <x:f>D245*'Commercial Inputs'!$B$25*$B$300</x:f>
        <x:v>514.6536118902751</x:v>
      </x:c>
      <x:c r="E257" s="58" t="n">
        <x:f>E245*'Commercial Inputs'!$B$25*$B$300</x:f>
        <x:v>761.3250144145333</x:v>
      </x:c>
      <x:c r="F257" s="58" t="n">
        <x:f>F245*'Commercial Inputs'!$B$25*$B$300</x:f>
        <x:v>1015.8226976283997</x:v>
      </x:c>
      <x:c r="G257" s="58" t="n">
        <x:f>G245*'Commercial Inputs'!$B$25*$B$300</x:f>
        <x:v>1284.1520553129988</x:v>
      </x:c>
      <x:c r="H257" s="58" t="n">
        <x:f>H245*'Commercial Inputs'!$B$25*$B$300</x:f>
        <x:v>1699.9037903570613</x:v>
      </x:c>
      <x:c r="I257" s="58" t="n">
        <x:f>I245*'Commercial Inputs'!$B$25*$B$300</x:f>
        <x:v>2122.3483957006597</x:v>
      </x:c>
      <x:c r="J257" s="58" t="n">
        <x:f>J245*'Commercial Inputs'!$B$25*$B$300</x:f>
        <x:v>2562.814745857792</x:v>
      </x:c>
      <x:c r="K257" s="58" t="n">
        <x:f>K245*'Commercial Inputs'!$B$25*$B$300</x:f>
        <x:v>3027.6267787766337</x:v>
      </x:c>
      <x:c r="L257" s="58" t="n">
        <x:f>L245*'Commercial Inputs'!$B$25*$B$300</x:f>
        <x:v>3520.5901239438354</x:v>
      </x:c>
      <x:c r="M257" s="58" t="n">
        <x:f>M245*'Commercial Inputs'!$B$25*$B$300</x:f>
        <x:v>4045.8376471823603</x:v>
      </x:c>
      <x:c r="N257" s="58" t="n">
        <x:f>N245*'Commercial Inputs'!$B$25*$B$300</x:f>
        <x:v>4704.927624831728</x:v>
      </x:c>
      <x:c r="O257" s="58" t="n">
        <x:f>O245*'Commercial Inputs'!$B$25*$B$300</x:f>
        <x:v>5360.143163526446</x:v>
      </x:c>
      <x:c r="P257" s="58" t="n">
        <x:f>P245*'Commercial Inputs'!$B$25*$B$300</x:f>
        <x:v>6026.698186718928</x:v>
      </x:c>
      <x:c r="Q257" s="58" t="n">
        <x:f>Q245*'Commercial Inputs'!$B$25*$B$300</x:f>
        <x:v>6679.370218493867</x:v>
      </x:c>
      <x:c r="R257" s="58" t="n">
        <x:f>R245*'Commercial Inputs'!$B$25*$B$300</x:f>
        <x:v>7352.222928040926</x:v>
      </x:c>
      <x:c r="S257" s="58" t="n">
        <x:f>S245*'Commercial Inputs'!$B$25*$B$300</x:f>
        <x:v>8047.424774139959</x:v>
      </x:c>
      <x:c r="T257" s="58" t="n">
        <x:f>T245*'Commercial Inputs'!$B$25*$B$300</x:f>
        <x:v>8925.070790079315</x:v>
      </x:c>
      <x:c r="U257" s="58" t="n">
        <x:f>U245*'Commercial Inputs'!$B$25*$B$300</x:f>
        <x:v>9805.65207558515</x:v>
      </x:c>
      <x:c r="V257" s="58" t="n">
        <x:f>V245*'Commercial Inputs'!$B$25*$B$300</x:f>
        <x:v>10706.050054878084</x:v>
      </x:c>
      <x:c r="W257" s="58" t="n">
        <x:f>W245*'Commercial Inputs'!$B$25*$B$300</x:f>
        <x:v>11633.926128139545</x:v>
      </x:c>
      <x:c r="X257" s="58" t="n">
        <x:f>X245*'Commercial Inputs'!$B$25*$B$300</x:f>
        <x:v>12591.998493435045</x:v>
      </x:c>
      <x:c r="Y257" s="58" t="n">
        <x:f>Y245*'Commercial Inputs'!$B$25*$B$300</x:f>
        <x:v>13582.937527999235</x:v>
      </x:c>
      <x:c r="Z257" s="58" t="n">
        <x:f>Z245*'Commercial Inputs'!$B$25*$B$300</x:f>
        <x:v>14616.282078847416</x:v>
      </x:c>
      <x:c r="AA257" s="58" t="n">
        <x:f>AA245*'Commercial Inputs'!$B$25*$B$300</x:f>
        <x:v>15660.862030110611</x:v>
      </x:c>
      <x:c r="AB257" s="58" t="n">
        <x:f>AB245*'Commercial Inputs'!$B$25*$B$300</x:f>
        <x:v>16728.401051289053</x:v>
      </x:c>
      <x:c r="AC257" s="58" t="n">
        <x:f>AC245*'Commercial Inputs'!$B$25*$B$300</x:f>
        <x:v>17818.23324777588</x:v>
      </x:c>
      <x:c r="AD257" s="58" t="n">
        <x:f>AD245*'Commercial Inputs'!$B$25*$B$300</x:f>
        <x:v>18938.705160580343</x:v>
      </x:c>
      <x:c r="AE257" s="58" t="n">
        <x:f>AE245*'Commercial Inputs'!$B$25*$B$300</x:f>
        <x:v>20091.995418411883</x:v>
      </x:c>
      <x:c r="AF257" s="58" t="n">
        <x:f>AF245*'Commercial Inputs'!$B$25*$B$300</x:f>
        <x:v>21352.660424308055</x:v>
      </x:c>
      <x:c r="AG257" s="58" t="n">
        <x:f>AG245*'Commercial Inputs'!$B$25*$B$300</x:f>
        <x:v>22628.79267428281</x:v>
      </x:c>
      <x:c r="AH257" s="58" t="n">
        <x:f>AH245*'Commercial Inputs'!$B$25*$B$300</x:f>
        <x:v>23935.828256654862</x:v>
      </x:c>
      <x:c r="AI257" s="58" t="n">
        <x:f>AI245*'Commercial Inputs'!$B$25*$B$300</x:f>
        <x:v>25280.780631554306</x:v>
      </x:c>
      <x:c r="AJ257" s="58" t="n">
        <x:f>AJ245*'Commercial Inputs'!$B$25*$B$300</x:f>
        <x:v>26666.12781295982</x:v>
      </x:c>
      <x:c r="AK257" s="58" t="n">
        <x:f>AK245*'Commercial Inputs'!$B$25*$B$300</x:f>
        <x:v>28094.261958933745</x:v>
      </x:c>
    </x:row>
    <x:row r="258" ht="18" customHeight="1">
      <x:c r="A258" s="4" t="str">
        <x:v>Variable support/tools (INR)</x:v>
      </x:c>
      <x:c r="B258" s="58" t="n">
        <x:f>B244*'Commercial Inputs'!$B$28</x:f>
        <x:v>111.55</x:v>
      </x:c>
      <x:c r="C258" s="58" t="n">
        <x:f>C244*'Commercial Inputs'!$B$28</x:f>
        <x:v>220.173025</x:v>
      </x:c>
      <x:c r="D258" s="58" t="n">
        <x:f>D244*'Commercial Inputs'!$B$28</x:f>
        <x:v>333.2385469375</x:v>
      </x:c>
      <x:c r="E258" s="58" t="n">
        <x:f>E244*'Commercial Inputs'!$B$28</x:f>
        <x:v>492.95843979185</x:v>
      </x:c>
      <x:c r="F258" s="58" t="n">
        <x:f>F244*'Commercial Inputs'!$B$28</x:f>
        <x:v>657.7458544602432</x:v>
      </x:c>
      <x:c r="G258" s="58" t="n">
        <x:f>G244*'Commercial Inputs'!$B$28</x:f>
        <x:v>831.489287304454</x:v>
      </x:c>
      <x:c r="H258" s="58" t="n">
        <x:f>H244*'Commercial Inputs'!$B$28</x:f>
        <x:v>1100.688804945002</x:v>
      </x:c>
      <x:c r="I258" s="58" t="n">
        <x:f>I244*'Commercial Inputs'!$B$28</x:f>
        <x:v>1374.2219604381373</x:v>
      </x:c>
      <x:c r="J258" s="58" t="n">
        <x:f>J244*'Commercial Inputs'!$B$28</x:f>
        <x:v>1659.4242073671276</x:v>
      </x:c>
      <x:c r="K258" s="58" t="n">
        <x:f>K244*'Commercial Inputs'!$B$28</x:f>
        <x:v>1960.39029964817</x:v>
      </x:c>
      <x:c r="L258" s="58" t="n">
        <x:f>L244*'Commercial Inputs'!$B$28</x:f>
        <x:v>2279.584384838018</x:v>
      </x:c>
      <x:c r="M258" s="58" t="n">
        <x:f>M244*'Commercial Inputs'!$B$28</x:f>
        <x:v>2619.6824962330743</x:v>
      </x:c>
      <x:c r="N258" s="58" t="n">
        <x:f>N244*'Commercial Inputs'!$B$28</x:f>
        <x:v>3046.443683522227</x:v>
      </x:c>
      <x:c r="O258" s="58" t="n">
        <x:f>O244*'Commercial Inputs'!$B$28</x:f>
        <x:v>3470.696169079543</x:v>
      </x:c>
      <x:c r="P258" s="58" t="n">
        <x:f>P244*'Commercial Inputs'!$B$28</x:f>
        <x:v>3902.2909781914836</x:v>
      </x:c>
      <x:c r="Q258" s="58" t="n">
        <x:f>Q244*'Commercial Inputs'!$B$28</x:f>
        <x:v>4324.8965413713195</x:v>
      </x:c>
      <x:c r="R258" s="58" t="n">
        <x:f>R244*'Commercial Inputs'!$B$28</x:f>
        <x:v>4760.569106475606</x:v>
      </x:c>
      <x:c r="S258" s="58" t="n">
        <x:f>S244*'Commercial Inputs'!$B$28</x:f>
        <x:v>5210.7127519683745</x:v>
      </x:c>
      <x:c r="T258" s="58" t="n">
        <x:f>T244*'Commercial Inputs'!$B$28</x:f>
        <x:v>5778.989115565471</x:v>
      </x:c>
      <x:c r="U258" s="58" t="n">
        <x:f>U244*'Commercial Inputs'!$B$28</x:f>
        <x:v>6349.166068107452</x:v>
      </x:c>
      <x:c r="V258" s="58" t="n">
        <x:f>V244*'Commercial Inputs'!$B$28</x:f>
        <x:v>6932.174342707902</x:v>
      </x:c>
      <x:c r="W258" s="58" t="n">
        <x:f>W244*'Commercial Inputs'!$B$28</x:f>
        <x:v>7532.974700945057</x:v>
      </x:c>
      <x:c r="X258" s="58" t="n">
        <x:f>X244*'Commercial Inputs'!$B$28</x:f>
        <x:v>8153.327177826368</x:v>
      </x:c>
      <x:c r="Y258" s="58" t="n">
        <x:f>Y244*'Commercial Inputs'!$B$28</x:f>
        <x:v>8794.960844340349</x:v>
      </x:c>
      <x:c r="Z258" s="58" t="n">
        <x:f>Z244*'Commercial Inputs'!$B$28</x:f>
        <x:v>9464.052110105811</x:v>
      </x:c>
      <x:c r="AA258" s="58" t="n">
        <x:f>AA244*'Commercial Inputs'!$B$28</x:f>
        <x:v>10140.418304914925</x:v>
      </x:c>
      <x:c r="AB258" s="58" t="n">
        <x:f>AB244*'Commercial Inputs'!$B$28</x:f>
        <x:v>10831.650512360173</x:v>
      </x:c>
      <x:c r="AC258" s="58" t="n">
        <x:f>AC244*'Commercial Inputs'!$B$28</x:f>
        <x:v>11537.317565252448</x:v>
      </x:c>
      <x:c r="AD258" s="58" t="n">
        <x:f>AD244*'Commercial Inputs'!$B$28</x:f>
        <x:v>12262.823854299626</x:v>
      </x:c>
      <x:c r="AE258" s="58" t="n">
        <x:f>AE244*'Commercial Inputs'!$B$28</x:f>
        <x:v>13009.580043001737</x:v>
      </x:c>
      <x:c r="AF258" s="58" t="n">
        <x:f>AF244*'Commercial Inputs'!$B$28</x:f>
        <x:v>13825.861450600916</x:v>
      </x:c>
      <x:c r="AG258" s="58" t="n">
        <x:f>AG244*'Commercial Inputs'!$B$28</x:f>
        <x:v>14652.157908756026</x:v>
      </x:c>
      <x:c r="AH258" s="58" t="n">
        <x:f>AH244*'Commercial Inputs'!$B$28</x:f>
        <x:v>15498.464294648318</x:v>
      </x:c>
      <x:c r="AI258" s="58" t="n">
        <x:f>AI244*'Commercial Inputs'!$B$28</x:f>
        <x:v>16369.32182825324</x:v>
      </x:c>
      <x:c r="AJ258" s="58" t="n">
        <x:f>AJ244*'Commercial Inputs'!$B$28</x:f>
        <x:v>17266.335025226508</x:v>
      </x:c>
      <x:c r="AK258" s="58" t="n">
        <x:f>AK244*'Commercial Inputs'!$B$28</x:f>
        <x:v>18191.052809462406</x:v>
      </x:c>
    </x:row>
    <x:row r="259" ht="18" customHeight="1">
      <x:c r="A259" s="4" t="str">
        <x:v>Total direct costs (INR)</x:v>
      </x:c>
      <x:c r="B259" s="58" t="n">
        <x:f>SUM(B254:B258)</x:f>
        <x:v>3513.8022211864413</x:v>
      </x:c>
      <x:c r="C259" s="58" t="n">
        <x:f>SUM(C254:C258)</x:f>
        <x:v>4220.255833437543</x:v>
      </x:c>
      <x:c r="D259" s="58" t="n">
        <x:f>SUM(D254:D258)</x:f>
        <x:v>4979.477084099164</x:v>
      </x:c>
      <x:c r="E259" s="58" t="n">
        <x:f>SUM(E254:E258)</x:f>
        <x:v>7013.145795556916</x:v>
      </x:c>
      <x:c r="F259" s="58" t="n">
        <x:f>SUM(F254:F258)</x:f>
        <x:v>8059.000748109555</x:v>
      </x:c>
      <x:c r="G259" s="58" t="n">
        <x:f>SUM(G254:G258)</x:f>
        <x:v>9172.104348134799</x:v>
      </x:c>
      <x:c r="H259" s="58" t="n">
        <x:f>SUM(H254:H258)</x:f>
        <x:v>13004.11473036398</x:v>
      </x:c>
      <x:c r="I259" s="58" t="n">
        <x:f>SUM(I254:I258)</x:f>
        <x:v>14645.567634515872</x:v>
      </x:c>
      <x:c r="J259" s="58" t="n">
        <x:f>SUM(J254:J258)</x:f>
        <x:v>16373.99702438686</x:v>
      </x:c>
      <x:c r="K259" s="58" t="n">
        <x:f>SUM(K254:K258)</x:f>
        <x:v>18221.971764205828</x:v>
      </x:c>
      <x:c r="L259" s="58" t="n">
        <x:f>SUM(L254:L258)</x:f>
        <x:v>20208.539562487407</x:v>
      </x:c>
      <x:c r="M259" s="58" t="n">
        <x:f>SUM(M254:M258)</x:f>
        <x:v>22354.345440949328</x:v>
      </x:c>
      <x:c r="N259" s="58" t="n">
        <x:f>SUM(N254:N258)</x:f>
        <x:v>29136.153178452125</x:v>
      </x:c>
      <x:c r="O259" s="58" t="n">
        <x:f>SUM(O254:O258)</x:f>
        <x:v>31608.840815767457</x:v>
      </x:c>
      <x:c r="P259" s="58" t="n">
        <x:f>SUM(P254:P258)</x:f>
        <x:v>34141.20674545215</x:v>
      </x:c>
      <x:c r="Q259" s="58" t="n">
        <x:f>SUM(Q254:Q258)</x:f>
        <x:v>36988.63229805686</x:v>
      </x:c>
      <x:c r="R259" s="58" t="n">
        <x:f>SUM(R254:R258)</x:f>
        <x:v>39647.43973646451</x:v>
      </x:c>
      <x:c r="S259" s="58" t="n">
        <x:f>SUM(S254:S258)</x:f>
        <x:v>42428.79268565755</x:v>
      </x:c>
      <x:c r="T259" s="58" t="n">
        <x:f>SUM(T254:T258)</x:f>
        <x:v>50422.551884894325</x:v>
      </x:c>
      <x:c r="U259" s="58" t="n">
        <x:f>SUM(U254:U258)</x:f>
        <x:v>53916.49503865383</x:v>
      </x:c>
      <x:c r="V259" s="58" t="n">
        <x:f>SUM(V254:V258)</x:f>
        <x:v>57526.76141360382</x:v>
      </x:c>
      <x:c r="W259" s="58" t="n">
        <x:f>SUM(W254:W258)</x:f>
        <x:v>61297.40595672517</x:v>
      </x:c>
      <x:c r="X259" s="58" t="n">
        <x:f>SUM(X254:X258)</x:f>
        <x:v>65246.7503560938</x:v>
      </x:c>
      <x:c r="Y259" s="58" t="n">
        <x:f>SUM(Y254:Y258)</x:f>
        <x:v>69393.4983169228</x:v>
      </x:c>
      <x:c r="Z259" s="58" t="n">
        <x:f>SUM(Z254:Z258)</x:f>
        <x:v>77388.94825067614</x:v>
      </x:c>
      <x:c r="AA259" s="58" t="n">
        <x:f>SUM(AA254:AA258)</x:f>
        <x:v>81534.0659752627</x:v>
      </x:c>
      <x:c r="AB259" s="58" t="n">
        <x:f>SUM(AB254:AB258)</x:f>
        <x:v>85801.3646988798</x:v>
      </x:c>
      <x:c r="AC259" s="58" t="n">
        <x:f>SUM(AC254:AC258)</x:f>
        <x:v>90365.45117589369</x:v>
      </x:c>
      <x:c r="AD259" s="58" t="n">
        <x:f>SUM(AD254:AD258)</x:f>
        <x:v>94937.69545990853</x:v>
      </x:c>
      <x:c r="AE259" s="58" t="n">
        <x:f>SUM(AE254:AE258)</x:f>
        <x:v>99691.1249174811</x:v>
      </x:c>
      <x:c r="AF259" s="58" t="n">
        <x:f>SUM(AF254:AF258)</x:f>
        <x:v>109964.33355668533</x:v>
      </x:c>
      <x:c r="AG259" s="58" t="n">
        <x:f>SUM(AG254:AG258)</x:f>
        <x:v>115334.1845453027</x:v>
      </x:c>
      <x:c r="AH259" s="58" t="n">
        <x:f>SUM(AH254:AH258)</x:f>
        <x:v>120884.82997005853</x:v>
      </x:c>
      <x:c r="AI259" s="58" t="n">
        <x:f>SUM(AI254:AI258)</x:f>
        <x:v>126657.75422226754</x:v>
      </x:c>
      <x:c r="AJ259" s="58" t="n">
        <x:f>SUM(AJ254:AJ258)</x:f>
        <x:v>132670.86813174927</x:v>
      </x:c>
      <x:c r="AK259" s="58" t="n">
        <x:f>SUM(AK254:AK258)</x:f>
        <x:v>138942.2352831295</x:v>
      </x:c>
    </x:row>
    <x:row r="260" ht="18" customHeight="1">
      <x:c r="A260" s="74" t="str">
        <x:v>CONTRIBUTION BEFORE ACQUISITION / FIXED</x:v>
      </x:c>
      <x:c r="B260" s="75" t="n">
        <x:f>B248-B259</x:f>
        <x:v>25.310596610168886</x:v>
      </x:c>
      <x:c r="C260" s="75" t="n">
        <x:f>C248-C259</x:f>
        <x:v>2642.9799885963566</x:v>
      </x:c>
      <x:c r="D260" s="75" t="n">
        <x:f>D248-D259</x:f>
        <x:v>5292.933240042785</x:v>
      </x:c>
      <x:c r="E260" s="75" t="n">
        <x:f>E248-E259</x:f>
        <x:v>8116.18650701438</x:v>
      </x:c>
      <x:c r="F260" s="75" t="n">
        <x:f>F248-F259</x:f>
        <x:v>12012.623243727827</x:v>
      </x:c>
      <x:c r="G260" s="75" t="n">
        <x:f>G248-G259</x:f>
        <x:v>16075.86914508518</x:v>
      </x:c>
      <x:c r="H260" s="75" t="n">
        <x:f>H248-H259</x:f>
        <x:v>20406.851307382392</x:v>
      </x:c>
      <x:c r="I260" s="75" t="n">
        <x:f>I248-I259</x:f>
        <x:v>26930.756279912734</x:v>
      </x:c>
      <x:c r="J260" s="75" t="n">
        <x:f>J248-J259</x:f>
        <x:v>33657.9676409755</x:v>
      </x:c>
      <x:c r="K260" s="75" t="n">
        <x:f>K248-K259</x:f>
        <x:v>40704.46594125703</x:v>
      </x:c>
      <x:c r="L260" s="75" t="n">
        <x:f>L248-L259</x:f>
        <x:v>48128.02420160585</x:v>
      </x:c>
      <x:c r="M260" s="75" t="n">
        <x:f>M248-M259</x:f>
        <x:v>55990.49946806827</x:v>
      </x:c>
      <x:c r="N260" s="75" t="n">
        <x:f>N248-N259</x:f>
        <x:v>62105.15586753066</x:v>
      </x:c>
      <x:c r="O260" s="75" t="n">
        <x:f>O248-O259</x:f>
        <x:v>72258.83232167641</x:v>
      </x:c>
      <x:c r="P260" s="75" t="n">
        <x:f>P248-P259</x:f>
        <x:v>82487.93300153749</x:v>
      </x:c>
      <x:c r="Q260" s="75" t="n">
        <x:f>Q248-Q259</x:f>
        <x:v>92124.95811611856</x:v>
      </x:c>
      <x:c r="R260" s="75" t="n">
        <x:f>R248-R259</x:f>
        <x:v>102304.61447500602</x:v>
      </x:c>
      <x:c r="S260" s="75" t="n">
        <x:f>S248-S259</x:f>
        <x:v>112762.84280404235</x:v>
      </x:c>
      <x:c r="T260" s="75" t="n">
        <x:f>T248-T259</x:f>
        <x:v>121856.65601390807</x:v>
      </x:c>
      <x:c r="U260" s="75" t="n">
        <x:f>U248-U259</x:f>
        <x:v>135294.98534057214</x:v>
      </x:c>
      <x:c r="V260" s="75" t="n">
        <x:f>V248-V259</x:f>
        <x:v>148909.2844090163</x:v>
      </x:c>
      <x:c r="W260" s="75" t="n">
        <x:f>W248-W259</x:f>
        <x:v>162850.65481586888</x:v>
      </x:c>
      <x:c r="X260" s="75" t="n">
        <x:f>X248-X259</x:f>
        <x:v>177160.40165353823</x:v>
      </x:c>
      <x:c r="Y260" s="75" t="n">
        <x:f>Y248-Y259</x:f>
        <x:v>191877.73967077964</x:v>
      </x:c>
      <x:c r="Z260" s="75" t="n">
        <x:f>Z248-Z259</x:f>
        <x:v>203816.30067219125</x:v>
      </x:c>
      <x:c r="AA260" s="75" t="n">
        <x:f>AA248-AA259</x:f>
        <x:v>219662.43028140676</x:v>
      </x:c>
      <x:c r="AB260" s="75" t="n">
        <x:f>AB248-AB259</x:f>
        <x:v>235752.99051739022</x:v>
      </x:c>
      <x:c r="AC260" s="75" t="n">
        <x:f>AC248-AC259</x:f>
        <x:v>251939.0556845919</x:v>
      </x:c>
      <x:c r="AD260" s="75" t="n">
        <x:f>AD248-AD259</x:f>
        <x:v>268670.5547851647</x:v>
      </x:c>
      <x:c r="AE260" s="75" t="n">
        <x:f>AE248-AE259</x:f>
        <x:v>285822.11219873925</x:v>
      </x:c>
      <x:c r="AF260" s="75" t="n">
        <x:f>AF248-AF259</x:f>
        <x:v>299891.8435309561</x:v>
      </x:c>
      <x:c r="AG260" s="75" t="n">
        <x:f>AG248-AG259</x:f>
        <x:v>318967.5067434643</x:v>
      </x:c>
      <x:c r="AH260" s="75" t="n">
        <x:f>AH248-AH259</x:f>
        <x:v>338374.1866981629</x:v>
      </x:c>
      <x:c r="AI260" s="75" t="n">
        <x:f>AI248-AI259</x:f>
        <x:v>358249.3070986437</x:v>
      </x:c>
      <x:c r="AJ260" s="75" t="n">
        <x:f>AJ248-AJ259</x:f>
        <x:v>378629.8045011723</x:v>
      </x:c>
      <x:c r="AK260" s="75" t="n">
        <x:f>AK248-AK259</x:f>
        <x:v>399550.04674795864</x:v>
      </x:c>
    </x:row>
    <x:row r="261" ht="18" customHeight="1">
      <x:c r="A261" s="4" t="str">
        <x:v>Contribution margin (%)</x:v>
      </x:c>
      <x:c r="B261" s="62" t="n">
        <x:f>IFERROR(B260/B248,0)</x:f>
        <x:v>0.007151678376256686</x:v>
      </x:c>
      <x:c r="C261" s="62" t="n">
        <x:f>IFERROR(C260/C248,0)</x:f>
        <x:v>0.385092404971904</x:v>
      </x:c>
      <x:c r="D261" s="62" t="n">
        <x:f>IFERROR(D260/D248,0)</x:f>
        <x:v>0.5152571862908817</x:v>
      </x:c>
      <x:c r="E261" s="62" t="n">
        <x:f>IFERROR(E260/E248,0)</x:f>
        <x:v>0.5364537141956357</x:v>
      </x:c>
      <x:c r="F261" s="62" t="n">
        <x:f>IFERROR(F260/F248,0)</x:f>
        <x:v>0.5984878577146051</x:v>
      </x:c>
      <x:c r="G261" s="62" t="n">
        <x:f>IFERROR(G260/G248,0)</x:f>
        <x:v>0.6367191865676725</x:v>
      </x:c>
      <x:c r="H261" s="62" t="n">
        <x:f>IFERROR(H260/H248,0)</x:f>
        <x:v>0.6107830370521926</x:v>
      </x:c>
      <x:c r="I261" s="62" t="n">
        <x:f>IFERROR(I260/I248,0)</x:f>
        <x:v>0.6477426031060604</x:v>
      </x:c>
      <x:c r="J261" s="62" t="n">
        <x:f>IFERROR(J260/J248,0)</x:f>
        <x:v>0.6727292814922627</x:v>
      </x:c>
      <x:c r="K261" s="62" t="n">
        <x:f>IFERROR(K260/K248,0)</x:f>
        <x:v>0.6907674640831625</x:v>
      </x:c>
      <x:c r="L261" s="62" t="n">
        <x:f>IFERROR(L260/L248,0)</x:f>
        <x:v>0.7042792547742095</x:v>
      </x:c>
      <x:c r="M261" s="62" t="n">
        <x:f>IFERROR(M260/M248,0)</x:f>
        <x:v>0.7146673087819679</x:v>
      </x:c>
      <x:c r="N261" s="62" t="n">
        <x:f>IFERROR(N260/N248,0)</x:f>
        <x:v>0.6806692770730809</x:v>
      </x:c>
      <x:c r="O261" s="62" t="n">
        <x:f>IFERROR(O260/O248,0)</x:f>
        <x:v>0.6956816316281509</x:v>
      </x:c>
      <x:c r="P261" s="62" t="n">
        <x:f>IFERROR(P260/P248,0)</x:f>
        <x:v>0.7072669247195285</x:v>
      </x:c>
      <x:c r="Q261" s="62" t="n">
        <x:f>IFERROR(Q260/Q248,0)</x:f>
        <x:v>0.7135186762338238</x:v>
      </x:c>
      <x:c r="R261" s="62" t="n">
        <x:f>IFERROR(R260/R248,0)</x:f>
        <x:v>0.7206983727237899</x:v>
      </x:c>
      <x:c r="S261" s="62" t="n">
        <x:f>IFERROR(S260/S248,0)</x:f>
        <x:v>0.726603869133955</x:v>
      </x:c>
      <x:c r="T261" s="62" t="n">
        <x:f>IFERROR(T260/T248,0)</x:f>
        <x:v>0.7073207353349757</x:v>
      </x:c>
      <x:c r="U261" s="62" t="n">
        <x:f>IFERROR(U260/U248,0)</x:f>
        <x:v>0.7150463865586167</x:v>
      </x:c>
      <x:c r="V261" s="62" t="n">
        <x:f>IFERROR(V260/V248,0)</x:f>
        <x:v>0.7213337371176272</x:v>
      </x:c>
      <x:c r="W261" s="62" t="n">
        <x:f>IFERROR(W260/W248,0)</x:f>
        <x:v>0.726531624920398</x:v>
      </x:c>
      <x:c r="X261" s="62" t="n">
        <x:f>IFERROR(X260/X248,0)</x:f>
        <x:v>0.7308381794217803</x:v>
      </x:c>
      <x:c r="Y261" s="62" t="n">
        <x:f>IFERROR(Y260/Y248,0)</x:f>
        <x:v>0.7344005453819259</x:v>
      </x:c>
      <x:c r="Z261" s="62" t="n">
        <x:f>IFERROR(Z260/Z248,0)</x:f>
        <x:v>0.7247955059618983</x:v>
      </x:c>
      <x:c r="AA261" s="62" t="n">
        <x:f>IFERROR(AA260/AA248,0)</x:f>
        <x:v>0.7292994208479034</x:v>
      </x:c>
      <x:c r="AB261" s="62" t="n">
        <x:f>IFERROR(AB260/AB248,0)</x:f>
        <x:v>0.7331668400473949</x:v>
      </x:c>
      <x:c r="AC261" s="62" t="n">
        <x:f>IFERROR(AC260/AC248,0)</x:f>
        <x:v>0.7360085848570954</x:v>
      </x:c>
      <x:c r="AD261" s="62" t="n">
        <x:f>IFERROR(AD260/AD248,0)</x:f>
        <x:v>0.7389011514564915</x:v>
      </x:c>
      <x:c r="AE261" s="62" t="n">
        <x:f>IFERROR(AE260/AE248,0)</x:f>
        <x:v>0.7414067395890033</x:v>
      </x:c>
      <x:c r="AF261" s="62" t="n">
        <x:f>IFERROR(AF260/AF248,0)</x:f>
        <x:v>0.731700192155037</x:v>
      </x:c>
      <x:c r="AG261" s="62" t="n">
        <x:f>IFERROR(AG260/AG248,0)</x:f>
        <x:v>0.7344376343480158</x:v>
      </x:c>
      <x:c r="AH261" s="62" t="n">
        <x:f>IFERROR(AH260/AH248,0)</x:f>
        <x:v>0.7367828924796302</x:v>
      </x:c>
      <x:c r="AI261" s="62" t="n">
        <x:f>IFERROR(AI260/AI248,0)</x:f>
        <x:v>0.7387999385341071</x:v>
      </x:c>
      <x:c r="AJ261" s="62" t="n">
        <x:f>IFERROR(AJ260/AJ248,0)</x:f>
        <x:v>0.740522797577077</x:v>
      </x:c>
      <x:c r="AK261" s="62" t="n">
        <x:f>IFERROR(AK260/AK248,0)</x:f>
        <x:v>0.7419791519405508</x:v>
      </x:c>
    </x:row>
    <x:row r="262" ht="18" customHeight="1">
      <x:c r="A262" s="4" t="str">
        <x:v>Core operating overhead (INR)</x:v>
      </x:c>
      <x:c r="B262" s="60" t="n">
        <x:f>'Scenario Inputs'!$C$24</x:f>
        <x:v>10000</x:v>
      </x:c>
      <x:c r="C262" s="60" t="n">
        <x:f>'Scenario Inputs'!$C$24</x:f>
        <x:v>10000</x:v>
      </x:c>
      <x:c r="D262" s="60" t="n">
        <x:f>'Scenario Inputs'!$C$24</x:f>
        <x:v>10000</x:v>
      </x:c>
      <x:c r="E262" s="60" t="n">
        <x:f>'Scenario Inputs'!$C$24</x:f>
        <x:v>10000</x:v>
      </x:c>
      <x:c r="F262" s="60" t="n">
        <x:f>'Scenario Inputs'!$C$24</x:f>
        <x:v>10000</x:v>
      </x:c>
      <x:c r="G262" s="60" t="n">
        <x:f>'Scenario Inputs'!$C$24</x:f>
        <x:v>10000</x:v>
      </x:c>
      <x:c r="H262" s="60" t="n">
        <x:f>'Scenario Inputs'!$C$24</x:f>
        <x:v>10000</x:v>
      </x:c>
      <x:c r="I262" s="60" t="n">
        <x:f>'Scenario Inputs'!$C$24</x:f>
        <x:v>10000</x:v>
      </x:c>
      <x:c r="J262" s="60" t="n">
        <x:f>'Scenario Inputs'!$C$24</x:f>
        <x:v>10000</x:v>
      </x:c>
      <x:c r="K262" s="60" t="n">
        <x:f>'Scenario Inputs'!$C$24</x:f>
        <x:v>10000</x:v>
      </x:c>
      <x:c r="L262" s="60" t="n">
        <x:f>'Scenario Inputs'!$C$24</x:f>
        <x:v>10000</x:v>
      </x:c>
      <x:c r="M262" s="60" t="n">
        <x:f>'Scenario Inputs'!$C$24</x:f>
        <x:v>10000</x:v>
      </x:c>
      <x:c r="N262" s="60" t="n">
        <x:f>'Scenario Inputs'!$C$25</x:f>
        <x:v>15000</x:v>
      </x:c>
      <x:c r="O262" s="60" t="n">
        <x:f>'Scenario Inputs'!$C$25</x:f>
        <x:v>15000</x:v>
      </x:c>
      <x:c r="P262" s="60" t="n">
        <x:f>'Scenario Inputs'!$C$25</x:f>
        <x:v>15000</x:v>
      </x:c>
      <x:c r="Q262" s="60" t="n">
        <x:f>'Scenario Inputs'!$C$25</x:f>
        <x:v>15000</x:v>
      </x:c>
      <x:c r="R262" s="60" t="n">
        <x:f>'Scenario Inputs'!$C$25</x:f>
        <x:v>15000</x:v>
      </x:c>
      <x:c r="S262" s="60" t="n">
        <x:f>'Scenario Inputs'!$C$25</x:f>
        <x:v>15000</x:v>
      </x:c>
      <x:c r="T262" s="60" t="n">
        <x:f>'Scenario Inputs'!$C$25</x:f>
        <x:v>15000</x:v>
      </x:c>
      <x:c r="U262" s="60" t="n">
        <x:f>'Scenario Inputs'!$C$25</x:f>
        <x:v>15000</x:v>
      </x:c>
      <x:c r="V262" s="60" t="n">
        <x:f>'Scenario Inputs'!$C$25</x:f>
        <x:v>15000</x:v>
      </x:c>
      <x:c r="W262" s="60" t="n">
        <x:f>'Scenario Inputs'!$C$25</x:f>
        <x:v>15000</x:v>
      </x:c>
      <x:c r="X262" s="60" t="n">
        <x:f>'Scenario Inputs'!$C$25</x:f>
        <x:v>15000</x:v>
      </x:c>
      <x:c r="Y262" s="60" t="n">
        <x:f>'Scenario Inputs'!$C$25</x:f>
        <x:v>15000</x:v>
      </x:c>
      <x:c r="Z262" s="60" t="n">
        <x:f>'Scenario Inputs'!$C$26</x:f>
        <x:v>25000</x:v>
      </x:c>
      <x:c r="AA262" s="60" t="n">
        <x:f>'Scenario Inputs'!$C$26</x:f>
        <x:v>25000</x:v>
      </x:c>
      <x:c r="AB262" s="60" t="n">
        <x:f>'Scenario Inputs'!$C$26</x:f>
        <x:v>25000</x:v>
      </x:c>
      <x:c r="AC262" s="60" t="n">
        <x:f>'Scenario Inputs'!$C$26</x:f>
        <x:v>25000</x:v>
      </x:c>
      <x:c r="AD262" s="60" t="n">
        <x:f>'Scenario Inputs'!$C$26</x:f>
        <x:v>25000</x:v>
      </x:c>
      <x:c r="AE262" s="60" t="n">
        <x:f>'Scenario Inputs'!$C$26</x:f>
        <x:v>25000</x:v>
      </x:c>
      <x:c r="AF262" s="60" t="n">
        <x:f>'Scenario Inputs'!$C$26</x:f>
        <x:v>25000</x:v>
      </x:c>
      <x:c r="AG262" s="60" t="n">
        <x:f>'Scenario Inputs'!$C$26</x:f>
        <x:v>25000</x:v>
      </x:c>
      <x:c r="AH262" s="60" t="n">
        <x:f>'Scenario Inputs'!$C$26</x:f>
        <x:v>25000</x:v>
      </x:c>
      <x:c r="AI262" s="60" t="n">
        <x:f>'Scenario Inputs'!$C$26</x:f>
        <x:v>25000</x:v>
      </x:c>
      <x:c r="AJ262" s="60" t="n">
        <x:f>'Scenario Inputs'!$C$26</x:f>
        <x:v>25000</x:v>
      </x:c>
      <x:c r="AK262" s="60" t="n">
        <x:f>'Scenario Inputs'!$C$26</x:f>
        <x:v>25000</x:v>
      </x:c>
    </x:row>
    <x:row r="263" ht="18" customHeight="1">
      <x:c r="A263" s="4" t="str">
        <x:v>Scaled technical QA reserve (INR)</x:v>
      </x:c>
      <x:c r="B263" s="58" t="n">
        <x:f>IF(B244&gt;='Commercial Inputs'!$B$38,'Commercial Inputs'!$B$42,IF(B244&gt;='Commercial Inputs'!$B$37,'Commercial Inputs'!$B$41,IF(B244&gt;='Commercial Inputs'!$B$36,'Commercial Inputs'!$B$40,IF(B244&gt;='Commercial Inputs'!$B$35,'Commercial Inputs'!$B$39,0))))</x:f>
        <x:v>0</x:v>
      </x:c>
      <x:c r="C263" s="58" t="n">
        <x:f>IF(C244&gt;='Commercial Inputs'!$B$38,'Commercial Inputs'!$B$42,IF(C244&gt;='Commercial Inputs'!$B$37,'Commercial Inputs'!$B$41,IF(C244&gt;='Commercial Inputs'!$B$36,'Commercial Inputs'!$B$40,IF(C244&gt;='Commercial Inputs'!$B$35,'Commercial Inputs'!$B$39,0))))</x:f>
        <x:v>0</x:v>
      </x:c>
      <x:c r="D263" s="58" t="n">
        <x:f>IF(D244&gt;='Commercial Inputs'!$B$38,'Commercial Inputs'!$B$42,IF(D244&gt;='Commercial Inputs'!$B$37,'Commercial Inputs'!$B$41,IF(D244&gt;='Commercial Inputs'!$B$36,'Commercial Inputs'!$B$40,IF(D244&gt;='Commercial Inputs'!$B$35,'Commercial Inputs'!$B$39,0))))</x:f>
        <x:v>0</x:v>
      </x:c>
      <x:c r="E263" s="58" t="n">
        <x:f>IF(E244&gt;='Commercial Inputs'!$B$38,'Commercial Inputs'!$B$42,IF(E244&gt;='Commercial Inputs'!$B$37,'Commercial Inputs'!$B$41,IF(E244&gt;='Commercial Inputs'!$B$36,'Commercial Inputs'!$B$40,IF(E244&gt;='Commercial Inputs'!$B$35,'Commercial Inputs'!$B$39,0))))</x:f>
        <x:v>0</x:v>
      </x:c>
      <x:c r="F263" s="58" t="n">
        <x:f>IF(F244&gt;='Commercial Inputs'!$B$38,'Commercial Inputs'!$B$42,IF(F244&gt;='Commercial Inputs'!$B$37,'Commercial Inputs'!$B$41,IF(F244&gt;='Commercial Inputs'!$B$36,'Commercial Inputs'!$B$40,IF(F244&gt;='Commercial Inputs'!$B$35,'Commercial Inputs'!$B$39,0))))</x:f>
        <x:v>0</x:v>
      </x:c>
      <x:c r="G263" s="58" t="n">
        <x:f>IF(G244&gt;='Commercial Inputs'!$B$38,'Commercial Inputs'!$B$42,IF(G244&gt;='Commercial Inputs'!$B$37,'Commercial Inputs'!$B$41,IF(G244&gt;='Commercial Inputs'!$B$36,'Commercial Inputs'!$B$40,IF(G244&gt;='Commercial Inputs'!$B$35,'Commercial Inputs'!$B$39,0))))</x:f>
        <x:v>0</x:v>
      </x:c>
      <x:c r="H263" s="58" t="n">
        <x:f>IF(H244&gt;='Commercial Inputs'!$B$38,'Commercial Inputs'!$B$42,IF(H244&gt;='Commercial Inputs'!$B$37,'Commercial Inputs'!$B$41,IF(H244&gt;='Commercial Inputs'!$B$36,'Commercial Inputs'!$B$40,IF(H244&gt;='Commercial Inputs'!$B$35,'Commercial Inputs'!$B$39,0))))</x:f>
        <x:v>0</x:v>
      </x:c>
      <x:c r="I263" s="58" t="n">
        <x:f>IF(I244&gt;='Commercial Inputs'!$B$38,'Commercial Inputs'!$B$42,IF(I244&gt;='Commercial Inputs'!$B$37,'Commercial Inputs'!$B$41,IF(I244&gt;='Commercial Inputs'!$B$36,'Commercial Inputs'!$B$40,IF(I244&gt;='Commercial Inputs'!$B$35,'Commercial Inputs'!$B$39,0))))</x:f>
        <x:v>0</x:v>
      </x:c>
      <x:c r="J263" s="58" t="n">
        <x:f>IF(J244&gt;='Commercial Inputs'!$B$38,'Commercial Inputs'!$B$42,IF(J244&gt;='Commercial Inputs'!$B$37,'Commercial Inputs'!$B$41,IF(J244&gt;='Commercial Inputs'!$B$36,'Commercial Inputs'!$B$40,IF(J244&gt;='Commercial Inputs'!$B$35,'Commercial Inputs'!$B$39,0))))</x:f>
        <x:v>0</x:v>
      </x:c>
      <x:c r="K263" s="58" t="n">
        <x:f>IF(K244&gt;='Commercial Inputs'!$B$38,'Commercial Inputs'!$B$42,IF(K244&gt;='Commercial Inputs'!$B$37,'Commercial Inputs'!$B$41,IF(K244&gt;='Commercial Inputs'!$B$36,'Commercial Inputs'!$B$40,IF(K244&gt;='Commercial Inputs'!$B$35,'Commercial Inputs'!$B$39,0))))</x:f>
        <x:v>0</x:v>
      </x:c>
      <x:c r="L263" s="58" t="n">
        <x:f>IF(L244&gt;='Commercial Inputs'!$B$38,'Commercial Inputs'!$B$42,IF(L244&gt;='Commercial Inputs'!$B$37,'Commercial Inputs'!$B$41,IF(L244&gt;='Commercial Inputs'!$B$36,'Commercial Inputs'!$B$40,IF(L244&gt;='Commercial Inputs'!$B$35,'Commercial Inputs'!$B$39,0))))</x:f>
        <x:v>0</x:v>
      </x:c>
      <x:c r="M263" s="58" t="n">
        <x:f>IF(M244&gt;='Commercial Inputs'!$B$38,'Commercial Inputs'!$B$42,IF(M244&gt;='Commercial Inputs'!$B$37,'Commercial Inputs'!$B$41,IF(M244&gt;='Commercial Inputs'!$B$36,'Commercial Inputs'!$B$40,IF(M244&gt;='Commercial Inputs'!$B$35,'Commercial Inputs'!$B$39,0))))</x:f>
        <x:v>10000</x:v>
      </x:c>
      <x:c r="N263" s="58" t="n">
        <x:f>IF(N244&gt;='Commercial Inputs'!$B$38,'Commercial Inputs'!$B$42,IF(N244&gt;='Commercial Inputs'!$B$37,'Commercial Inputs'!$B$41,IF(N244&gt;='Commercial Inputs'!$B$36,'Commercial Inputs'!$B$40,IF(N244&gt;='Commercial Inputs'!$B$35,'Commercial Inputs'!$B$39,0))))</x:f>
        <x:v>10000</x:v>
      </x:c>
      <x:c r="O263" s="58" t="n">
        <x:f>IF(O244&gt;='Commercial Inputs'!$B$38,'Commercial Inputs'!$B$42,IF(O244&gt;='Commercial Inputs'!$B$37,'Commercial Inputs'!$B$41,IF(O244&gt;='Commercial Inputs'!$B$36,'Commercial Inputs'!$B$40,IF(O244&gt;='Commercial Inputs'!$B$35,'Commercial Inputs'!$B$39,0))))</x:f>
        <x:v>10000</x:v>
      </x:c>
      <x:c r="P263" s="58" t="n">
        <x:f>IF(P244&gt;='Commercial Inputs'!$B$38,'Commercial Inputs'!$B$42,IF(P244&gt;='Commercial Inputs'!$B$37,'Commercial Inputs'!$B$41,IF(P244&gt;='Commercial Inputs'!$B$36,'Commercial Inputs'!$B$40,IF(P244&gt;='Commercial Inputs'!$B$35,'Commercial Inputs'!$B$39,0))))</x:f>
        <x:v>10000</x:v>
      </x:c>
      <x:c r="Q263" s="58" t="n">
        <x:f>IF(Q244&gt;='Commercial Inputs'!$B$38,'Commercial Inputs'!$B$42,IF(Q244&gt;='Commercial Inputs'!$B$37,'Commercial Inputs'!$B$41,IF(Q244&gt;='Commercial Inputs'!$B$36,'Commercial Inputs'!$B$40,IF(Q244&gt;='Commercial Inputs'!$B$35,'Commercial Inputs'!$B$39,0))))</x:f>
        <x:v>10000</x:v>
      </x:c>
      <x:c r="R263" s="58" t="n">
        <x:f>IF(R244&gt;='Commercial Inputs'!$B$38,'Commercial Inputs'!$B$42,IF(R244&gt;='Commercial Inputs'!$B$37,'Commercial Inputs'!$B$41,IF(R244&gt;='Commercial Inputs'!$B$36,'Commercial Inputs'!$B$40,IF(R244&gt;='Commercial Inputs'!$B$35,'Commercial Inputs'!$B$39,0))))</x:f>
        <x:v>10000</x:v>
      </x:c>
      <x:c r="S263" s="58" t="n">
        <x:f>IF(S244&gt;='Commercial Inputs'!$B$38,'Commercial Inputs'!$B$42,IF(S244&gt;='Commercial Inputs'!$B$37,'Commercial Inputs'!$B$41,IF(S244&gt;='Commercial Inputs'!$B$36,'Commercial Inputs'!$B$40,IF(S244&gt;='Commercial Inputs'!$B$35,'Commercial Inputs'!$B$39,0))))</x:f>
        <x:v>10000</x:v>
      </x:c>
      <x:c r="T263" s="58" t="n">
        <x:f>IF(T244&gt;='Commercial Inputs'!$B$38,'Commercial Inputs'!$B$42,IF(T244&gt;='Commercial Inputs'!$B$37,'Commercial Inputs'!$B$41,IF(T244&gt;='Commercial Inputs'!$B$36,'Commercial Inputs'!$B$40,IF(T244&gt;='Commercial Inputs'!$B$35,'Commercial Inputs'!$B$39,0))))</x:f>
        <x:v>10000</x:v>
      </x:c>
      <x:c r="U263" s="58" t="n">
        <x:f>IF(U244&gt;='Commercial Inputs'!$B$38,'Commercial Inputs'!$B$42,IF(U244&gt;='Commercial Inputs'!$B$37,'Commercial Inputs'!$B$41,IF(U244&gt;='Commercial Inputs'!$B$36,'Commercial Inputs'!$B$40,IF(U244&gt;='Commercial Inputs'!$B$35,'Commercial Inputs'!$B$39,0))))</x:f>
        <x:v>10000</x:v>
      </x:c>
      <x:c r="V263" s="58" t="n">
        <x:f>IF(V244&gt;='Commercial Inputs'!$B$38,'Commercial Inputs'!$B$42,IF(V244&gt;='Commercial Inputs'!$B$37,'Commercial Inputs'!$B$41,IF(V244&gt;='Commercial Inputs'!$B$36,'Commercial Inputs'!$B$40,IF(V244&gt;='Commercial Inputs'!$B$35,'Commercial Inputs'!$B$39,0))))</x:f>
        <x:v>10000</x:v>
      </x:c>
      <x:c r="W263" s="58" t="n">
        <x:f>IF(W244&gt;='Commercial Inputs'!$B$38,'Commercial Inputs'!$B$42,IF(W244&gt;='Commercial Inputs'!$B$37,'Commercial Inputs'!$B$41,IF(W244&gt;='Commercial Inputs'!$B$36,'Commercial Inputs'!$B$40,IF(W244&gt;='Commercial Inputs'!$B$35,'Commercial Inputs'!$B$39,0))))</x:f>
        <x:v>25000</x:v>
      </x:c>
      <x:c r="X263" s="58" t="n">
        <x:f>IF(X244&gt;='Commercial Inputs'!$B$38,'Commercial Inputs'!$B$42,IF(X244&gt;='Commercial Inputs'!$B$37,'Commercial Inputs'!$B$41,IF(X244&gt;='Commercial Inputs'!$B$36,'Commercial Inputs'!$B$40,IF(X244&gt;='Commercial Inputs'!$B$35,'Commercial Inputs'!$B$39,0))))</x:f>
        <x:v>25000</x:v>
      </x:c>
      <x:c r="Y263" s="58" t="n">
        <x:f>IF(Y244&gt;='Commercial Inputs'!$B$38,'Commercial Inputs'!$B$42,IF(Y244&gt;='Commercial Inputs'!$B$37,'Commercial Inputs'!$B$41,IF(Y244&gt;='Commercial Inputs'!$B$36,'Commercial Inputs'!$B$40,IF(Y244&gt;='Commercial Inputs'!$B$35,'Commercial Inputs'!$B$39,0))))</x:f>
        <x:v>25000</x:v>
      </x:c>
      <x:c r="Z263" s="58" t="n">
        <x:f>IF(Z244&gt;='Commercial Inputs'!$B$38,'Commercial Inputs'!$B$42,IF(Z244&gt;='Commercial Inputs'!$B$37,'Commercial Inputs'!$B$41,IF(Z244&gt;='Commercial Inputs'!$B$36,'Commercial Inputs'!$B$40,IF(Z244&gt;='Commercial Inputs'!$B$35,'Commercial Inputs'!$B$39,0))))</x:f>
        <x:v>25000</x:v>
      </x:c>
      <x:c r="AA263" s="58" t="n">
        <x:f>IF(AA244&gt;='Commercial Inputs'!$B$38,'Commercial Inputs'!$B$42,IF(AA244&gt;='Commercial Inputs'!$B$37,'Commercial Inputs'!$B$41,IF(AA244&gt;='Commercial Inputs'!$B$36,'Commercial Inputs'!$B$40,IF(AA244&gt;='Commercial Inputs'!$B$35,'Commercial Inputs'!$B$39,0))))</x:f>
        <x:v>25000</x:v>
      </x:c>
      <x:c r="AB263" s="58" t="n">
        <x:f>IF(AB244&gt;='Commercial Inputs'!$B$38,'Commercial Inputs'!$B$42,IF(AB244&gt;='Commercial Inputs'!$B$37,'Commercial Inputs'!$B$41,IF(AB244&gt;='Commercial Inputs'!$B$36,'Commercial Inputs'!$B$40,IF(AB244&gt;='Commercial Inputs'!$B$35,'Commercial Inputs'!$B$39,0))))</x:f>
        <x:v>25000</x:v>
      </x:c>
      <x:c r="AC263" s="58" t="n">
        <x:f>IF(AC244&gt;='Commercial Inputs'!$B$38,'Commercial Inputs'!$B$42,IF(AC244&gt;='Commercial Inputs'!$B$37,'Commercial Inputs'!$B$41,IF(AC244&gt;='Commercial Inputs'!$B$36,'Commercial Inputs'!$B$40,IF(AC244&gt;='Commercial Inputs'!$B$35,'Commercial Inputs'!$B$39,0))))</x:f>
        <x:v>25000</x:v>
      </x:c>
      <x:c r="AD263" s="58" t="n">
        <x:f>IF(AD244&gt;='Commercial Inputs'!$B$38,'Commercial Inputs'!$B$42,IF(AD244&gt;='Commercial Inputs'!$B$37,'Commercial Inputs'!$B$41,IF(AD244&gt;='Commercial Inputs'!$B$36,'Commercial Inputs'!$B$40,IF(AD244&gt;='Commercial Inputs'!$B$35,'Commercial Inputs'!$B$39,0))))</x:f>
        <x:v>25000</x:v>
      </x:c>
      <x:c r="AE263" s="58" t="n">
        <x:f>IF(AE244&gt;='Commercial Inputs'!$B$38,'Commercial Inputs'!$B$42,IF(AE244&gt;='Commercial Inputs'!$B$37,'Commercial Inputs'!$B$41,IF(AE244&gt;='Commercial Inputs'!$B$36,'Commercial Inputs'!$B$40,IF(AE244&gt;='Commercial Inputs'!$B$35,'Commercial Inputs'!$B$39,0))))</x:f>
        <x:v>25000</x:v>
      </x:c>
      <x:c r="AF263" s="58" t="n">
        <x:f>IF(AF244&gt;='Commercial Inputs'!$B$38,'Commercial Inputs'!$B$42,IF(AF244&gt;='Commercial Inputs'!$B$37,'Commercial Inputs'!$B$41,IF(AF244&gt;='Commercial Inputs'!$B$36,'Commercial Inputs'!$B$40,IF(AF244&gt;='Commercial Inputs'!$B$35,'Commercial Inputs'!$B$39,0))))</x:f>
        <x:v>25000</x:v>
      </x:c>
      <x:c r="AG263" s="58" t="n">
        <x:f>IF(AG244&gt;='Commercial Inputs'!$B$38,'Commercial Inputs'!$B$42,IF(AG244&gt;='Commercial Inputs'!$B$37,'Commercial Inputs'!$B$41,IF(AG244&gt;='Commercial Inputs'!$B$36,'Commercial Inputs'!$B$40,IF(AG244&gt;='Commercial Inputs'!$B$35,'Commercial Inputs'!$B$39,0))))</x:f>
        <x:v>25000</x:v>
      </x:c>
      <x:c r="AH263" s="58" t="n">
        <x:f>IF(AH244&gt;='Commercial Inputs'!$B$38,'Commercial Inputs'!$B$42,IF(AH244&gt;='Commercial Inputs'!$B$37,'Commercial Inputs'!$B$41,IF(AH244&gt;='Commercial Inputs'!$B$36,'Commercial Inputs'!$B$40,IF(AH244&gt;='Commercial Inputs'!$B$35,'Commercial Inputs'!$B$39,0))))</x:f>
        <x:v>25000</x:v>
      </x:c>
      <x:c r="AI263" s="58" t="n">
        <x:f>IF(AI244&gt;='Commercial Inputs'!$B$38,'Commercial Inputs'!$B$42,IF(AI244&gt;='Commercial Inputs'!$B$37,'Commercial Inputs'!$B$41,IF(AI244&gt;='Commercial Inputs'!$B$36,'Commercial Inputs'!$B$40,IF(AI244&gt;='Commercial Inputs'!$B$35,'Commercial Inputs'!$B$39,0))))</x:f>
        <x:v>25000</x:v>
      </x:c>
      <x:c r="AJ263" s="58" t="n">
        <x:f>IF(AJ244&gt;='Commercial Inputs'!$B$38,'Commercial Inputs'!$B$42,IF(AJ244&gt;='Commercial Inputs'!$B$37,'Commercial Inputs'!$B$41,IF(AJ244&gt;='Commercial Inputs'!$B$36,'Commercial Inputs'!$B$40,IF(AJ244&gt;='Commercial Inputs'!$B$35,'Commercial Inputs'!$B$39,0))))</x:f>
        <x:v>25000</x:v>
      </x:c>
      <x:c r="AK263" s="58" t="n">
        <x:f>IF(AK244&gt;='Commercial Inputs'!$B$38,'Commercial Inputs'!$B$42,IF(AK244&gt;='Commercial Inputs'!$B$37,'Commercial Inputs'!$B$41,IF(AK244&gt;='Commercial Inputs'!$B$36,'Commercial Inputs'!$B$40,IF(AK244&gt;='Commercial Inputs'!$B$35,'Commercial Inputs'!$B$39,0))))</x:f>
        <x:v>25000</x:v>
      </x:c>
    </x:row>
    <x:row r="264" ht="18" customHeight="1">
      <x:c r="A264" s="4" t="str">
        <x:v>Founder cash pay (INR)</x:v>
      </x:c>
      <x:c r="B264" s="60" t="n">
        <x:f>'Commercial Inputs'!$B$32</x:f>
        <x:v>0</x:v>
      </x:c>
      <x:c r="C264" s="60" t="n">
        <x:f>'Commercial Inputs'!$B$32</x:f>
        <x:v>0</x:v>
      </x:c>
      <x:c r="D264" s="60" t="n">
        <x:f>'Commercial Inputs'!$B$32</x:f>
        <x:v>0</x:v>
      </x:c>
      <x:c r="E264" s="60" t="n">
        <x:f>'Commercial Inputs'!$B$32</x:f>
        <x:v>0</x:v>
      </x:c>
      <x:c r="F264" s="60" t="n">
        <x:f>'Commercial Inputs'!$B$32</x:f>
        <x:v>0</x:v>
      </x:c>
      <x:c r="G264" s="60" t="n">
        <x:f>'Commercial Inputs'!$B$32</x:f>
        <x:v>0</x:v>
      </x:c>
      <x:c r="H264" s="60" t="n">
        <x:f>'Commercial Inputs'!$B$32</x:f>
        <x:v>0</x:v>
      </x:c>
      <x:c r="I264" s="60" t="n">
        <x:f>'Commercial Inputs'!$B$32</x:f>
        <x:v>0</x:v>
      </x:c>
      <x:c r="J264" s="60" t="n">
        <x:f>'Commercial Inputs'!$B$32</x:f>
        <x:v>0</x:v>
      </x:c>
      <x:c r="K264" s="60" t="n">
        <x:f>'Commercial Inputs'!$B$32</x:f>
        <x:v>0</x:v>
      </x:c>
      <x:c r="L264" s="60" t="n">
        <x:f>'Commercial Inputs'!$B$32</x:f>
        <x:v>0</x:v>
      </x:c>
      <x:c r="M264" s="60" t="n">
        <x:f>'Commercial Inputs'!$B$32</x:f>
        <x:v>0</x:v>
      </x:c>
      <x:c r="N264" s="60" t="n">
        <x:f>'Commercial Inputs'!$B$32</x:f>
        <x:v>0</x:v>
      </x:c>
      <x:c r="O264" s="60" t="n">
        <x:f>'Commercial Inputs'!$B$32</x:f>
        <x:v>0</x:v>
      </x:c>
      <x:c r="P264" s="60" t="n">
        <x:f>'Commercial Inputs'!$B$32</x:f>
        <x:v>0</x:v>
      </x:c>
      <x:c r="Q264" s="60" t="n">
        <x:f>'Commercial Inputs'!$B$32</x:f>
        <x:v>0</x:v>
      </x:c>
      <x:c r="R264" s="60" t="n">
        <x:f>'Commercial Inputs'!$B$32</x:f>
        <x:v>0</x:v>
      </x:c>
      <x:c r="S264" s="60" t="n">
        <x:f>'Commercial Inputs'!$B$32</x:f>
        <x:v>0</x:v>
      </x:c>
      <x:c r="T264" s="60" t="n">
        <x:f>'Commercial Inputs'!$B$32</x:f>
        <x:v>0</x:v>
      </x:c>
      <x:c r="U264" s="60" t="n">
        <x:f>'Commercial Inputs'!$B$32</x:f>
        <x:v>0</x:v>
      </x:c>
      <x:c r="V264" s="60" t="n">
        <x:f>'Commercial Inputs'!$B$32</x:f>
        <x:v>0</x:v>
      </x:c>
      <x:c r="W264" s="60" t="n">
        <x:f>'Commercial Inputs'!$B$32</x:f>
        <x:v>0</x:v>
      </x:c>
      <x:c r="X264" s="60" t="n">
        <x:f>'Commercial Inputs'!$B$32</x:f>
        <x:v>0</x:v>
      </x:c>
      <x:c r="Y264" s="60" t="n">
        <x:f>'Commercial Inputs'!$B$32</x:f>
        <x:v>0</x:v>
      </x:c>
      <x:c r="Z264" s="60" t="n">
        <x:f>'Commercial Inputs'!$B$32</x:f>
        <x:v>0</x:v>
      </x:c>
      <x:c r="AA264" s="60" t="n">
        <x:f>'Commercial Inputs'!$B$32</x:f>
        <x:v>0</x:v>
      </x:c>
      <x:c r="AB264" s="60" t="n">
        <x:f>'Commercial Inputs'!$B$32</x:f>
        <x:v>0</x:v>
      </x:c>
      <x:c r="AC264" s="60" t="n">
        <x:f>'Commercial Inputs'!$B$32</x:f>
        <x:v>0</x:v>
      </x:c>
      <x:c r="AD264" s="60" t="n">
        <x:f>'Commercial Inputs'!$B$32</x:f>
        <x:v>0</x:v>
      </x:c>
      <x:c r="AE264" s="60" t="n">
        <x:f>'Commercial Inputs'!$B$32</x:f>
        <x:v>0</x:v>
      </x:c>
      <x:c r="AF264" s="60" t="n">
        <x:f>'Commercial Inputs'!$B$32</x:f>
        <x:v>0</x:v>
      </x:c>
      <x:c r="AG264" s="60" t="n">
        <x:f>'Commercial Inputs'!$B$32</x:f>
        <x:v>0</x:v>
      </x:c>
      <x:c r="AH264" s="60" t="n">
        <x:f>'Commercial Inputs'!$B$32</x:f>
        <x:v>0</x:v>
      </x:c>
      <x:c r="AI264" s="60" t="n">
        <x:f>'Commercial Inputs'!$B$32</x:f>
        <x:v>0</x:v>
      </x:c>
      <x:c r="AJ264" s="60" t="n">
        <x:f>'Commercial Inputs'!$B$32</x:f>
        <x:v>0</x:v>
      </x:c>
      <x:c r="AK264" s="60" t="n">
        <x:f>'Commercial Inputs'!$B$32</x:f>
        <x:v>0</x:v>
      </x:c>
    </x:row>
    <x:row r="265" ht="18" customHeight="1">
      <x:c r="A265" s="4" t="str">
        <x:v>One-time launch expense (INR)</x:v>
      </x:c>
      <x:c r="B265" s="60" t="n">
        <x:f>'Commercial Inputs'!$B$30</x:f>
        <x:v>20000</x:v>
      </x:c>
      <x:c r="C265" s="60" t="n">
        <x:f>0</x:f>
        <x:v>0</x:v>
      </x:c>
      <x:c r="D265" s="60" t="n">
        <x:f>0</x:f>
        <x:v>0</x:v>
      </x:c>
      <x:c r="E265" s="60" t="n">
        <x:f>0</x:f>
        <x:v>0</x:v>
      </x:c>
      <x:c r="F265" s="60" t="n">
        <x:f>0</x:f>
        <x:v>0</x:v>
      </x:c>
      <x:c r="G265" s="60" t="n">
        <x:f>0</x:f>
        <x:v>0</x:v>
      </x:c>
      <x:c r="H265" s="60" t="n">
        <x:f>0</x:f>
        <x:v>0</x:v>
      </x:c>
      <x:c r="I265" s="60" t="n">
        <x:f>0</x:f>
        <x:v>0</x:v>
      </x:c>
      <x:c r="J265" s="60" t="n">
        <x:f>0</x:f>
        <x:v>0</x:v>
      </x:c>
      <x:c r="K265" s="60" t="n">
        <x:f>0</x:f>
        <x:v>0</x:v>
      </x:c>
      <x:c r="L265" s="60" t="n">
        <x:f>0</x:f>
        <x:v>0</x:v>
      </x:c>
      <x:c r="M265" s="60" t="n">
        <x:f>0</x:f>
        <x:v>0</x:v>
      </x:c>
      <x:c r="N265" s="60" t="n">
        <x:f>0</x:f>
        <x:v>0</x:v>
      </x:c>
      <x:c r="O265" s="60" t="n">
        <x:f>0</x:f>
        <x:v>0</x:v>
      </x:c>
      <x:c r="P265" s="60" t="n">
        <x:f>0</x:f>
        <x:v>0</x:v>
      </x:c>
      <x:c r="Q265" s="60" t="n">
        <x:f>0</x:f>
        <x:v>0</x:v>
      </x:c>
      <x:c r="R265" s="60" t="n">
        <x:f>0</x:f>
        <x:v>0</x:v>
      </x:c>
      <x:c r="S265" s="60" t="n">
        <x:f>0</x:f>
        <x:v>0</x:v>
      </x:c>
      <x:c r="T265" s="60" t="n">
        <x:f>0</x:f>
        <x:v>0</x:v>
      </x:c>
      <x:c r="U265" s="60" t="n">
        <x:f>0</x:f>
        <x:v>0</x:v>
      </x:c>
      <x:c r="V265" s="60" t="n">
        <x:f>0</x:f>
        <x:v>0</x:v>
      </x:c>
      <x:c r="W265" s="60" t="n">
        <x:f>0</x:f>
        <x:v>0</x:v>
      </x:c>
      <x:c r="X265" s="60" t="n">
        <x:f>0</x:f>
        <x:v>0</x:v>
      </x:c>
      <x:c r="Y265" s="60" t="n">
        <x:f>0</x:f>
        <x:v>0</x:v>
      </x:c>
      <x:c r="Z265" s="60" t="n">
        <x:f>0</x:f>
        <x:v>0</x:v>
      </x:c>
      <x:c r="AA265" s="60" t="n">
        <x:f>0</x:f>
        <x:v>0</x:v>
      </x:c>
      <x:c r="AB265" s="60" t="n">
        <x:f>0</x:f>
        <x:v>0</x:v>
      </x:c>
      <x:c r="AC265" s="60" t="n">
        <x:f>0</x:f>
        <x:v>0</x:v>
      </x:c>
      <x:c r="AD265" s="60" t="n">
        <x:f>0</x:f>
        <x:v>0</x:v>
      </x:c>
      <x:c r="AE265" s="60" t="n">
        <x:f>0</x:f>
        <x:v>0</x:v>
      </x:c>
      <x:c r="AF265" s="60" t="n">
        <x:f>0</x:f>
        <x:v>0</x:v>
      </x:c>
      <x:c r="AG265" s="60" t="n">
        <x:f>0</x:f>
        <x:v>0</x:v>
      </x:c>
      <x:c r="AH265" s="60" t="n">
        <x:f>0</x:f>
        <x:v>0</x:v>
      </x:c>
      <x:c r="AI265" s="60" t="n">
        <x:f>0</x:f>
        <x:v>0</x:v>
      </x:c>
      <x:c r="AJ265" s="60" t="n">
        <x:f>0</x:f>
        <x:v>0</x:v>
      </x:c>
      <x:c r="AK265" s="60" t="n">
        <x:f>0</x:f>
        <x:v>0</x:v>
      </x:c>
    </x:row>
    <x:row r="266" ht="18" customHeight="1">
      <x:c r="A266" s="74" t="str">
        <x:v>OPERATING PROFIT BEFORE INCOME TAX</x:v>
      </x:c>
      <x:c r="B266" s="75" t="n">
        <x:f>B260-B226-SUM(B262:B265)</x:f>
        <x:v>-42474.68940338983</x:v>
      </x:c>
      <x:c r="C266" s="75" t="n">
        <x:f>C260-C226-SUM(C262:C265)</x:f>
        <x:v>-19857.02001140364</x:v>
      </x:c>
      <x:c r="D266" s="75" t="n">
        <x:f>D260-D226-SUM(D262:D265)</x:f>
        <x:v>-17207.066759957215</x:v>
      </x:c>
      <x:c r="E266" s="75" t="n">
        <x:f>E260-E226-SUM(E262:E265)</x:f>
        <x:v>-21883.81349298562</x:v>
      </x:c>
      <x:c r="F266" s="75" t="n">
        <x:f>F260-F226-SUM(F262:F265)</x:f>
        <x:v>-17987.376756272173</x:v>
      </x:c>
      <x:c r="G266" s="75" t="n">
        <x:f>G260-G226-SUM(G262:G265)</x:f>
        <x:v>-13924.13085491482</x:v>
      </x:c>
      <x:c r="H266" s="75" t="n">
        <x:f>H260-H226-SUM(H262:H265)</x:f>
        <x:v>-25843.148692617608</x:v>
      </x:c>
      <x:c r="I266" s="75" t="n">
        <x:f>I260-I226-SUM(I262:I265)</x:f>
        <x:v>-19319.243720087266</x:v>
      </x:c>
      <x:c r="J266" s="75" t="n">
        <x:f>J260-J226-SUM(J262:J265)</x:f>
        <x:v>-12592.032359024503</x:v>
      </x:c>
      <x:c r="K266" s="75" t="n">
        <x:f>K260-K226-SUM(K262:K265)</x:f>
        <x:v>-5545.534058742967</x:v>
      </x:c>
      <x:c r="L266" s="75" t="n">
        <x:f>L260-L226-SUM(L262:L265)</x:f>
        <x:v>1878.0242016058473</x:v>
      </x:c>
      <x:c r="M266" s="75" t="n">
        <x:f>M260-M226-SUM(M262:M265)</x:f>
        <x:v>-259.5005319317279</x:v>
      </x:c>
      <x:c r="N266" s="75" t="n">
        <x:f>N260-N226-SUM(N262:N265)</x:f>
        <x:v>-35394.84413246934</x:v>
      </x:c>
      <x:c r="O266" s="75" t="n">
        <x:f>O260-O226-SUM(O262:O265)</x:f>
        <x:v>-25241.16767832359</x:v>
      </x:c>
      <x:c r="P266" s="75" t="n">
        <x:f>P260-P226-SUM(P262:P265)</x:f>
        <x:v>-15012.066998462513</x:v>
      </x:c>
      <x:c r="Q266" s="75" t="n">
        <x:f>Q260-Q226-SUM(Q262:Q265)</x:f>
        <x:v>-5375.041883881437</x:v>
      </x:c>
      <x:c r="R266" s="75" t="n">
        <x:f>R260-R226-SUM(R262:R265)</x:f>
        <x:v>4804.614475006019</x:v>
      </x:c>
      <x:c r="S266" s="75" t="n">
        <x:f>S260-S226-SUM(S262:S265)</x:f>
        <x:v>15262.842804042346</x:v>
      </x:c>
      <x:c r="T266" s="75" t="n">
        <x:f>T260-T226-SUM(T262:T265)</x:f>
        <x:v>-6893.343986091932</x:v>
      </x:c>
      <x:c r="U266" s="75" t="n">
        <x:f>U260-U226-SUM(U262:U265)</x:f>
        <x:v>6544.985340572137</x:v>
      </x:c>
      <x:c r="V266" s="75" t="n">
        <x:f>V260-V226-SUM(V262:V265)</x:f>
        <x:v>20159.284409016313</x:v>
      </x:c>
      <x:c r="W266" s="75" t="n">
        <x:f>W260-W226-SUM(W262:W265)</x:f>
        <x:v>19100.654815868882</x:v>
      </x:c>
      <x:c r="X266" s="75" t="n">
        <x:f>X260-X226-SUM(X262:X265)</x:f>
        <x:v>33410.401653538225</x:v>
      </x:c>
      <x:c r="Y266" s="75" t="n">
        <x:f>Y260-Y226-SUM(Y262:Y265)</x:f>
        <x:v>48127.73967077964</x:v>
      </x:c>
      <x:c r="Z266" s="75" t="n">
        <x:f>Z260-Z226-SUM(Z262:Z265)</x:f>
        <x:v>13816.300672191253</x:v>
      </x:c>
      <x:c r="AA266" s="75" t="n">
        <x:f>AA260-AA226-SUM(AA262:AA265)</x:f>
        <x:v>29662.430281406763</x:v>
      </x:c>
      <x:c r="AB266" s="75" t="n">
        <x:f>AB260-AB226-SUM(AB262:AB265)</x:f>
        <x:v>45752.99051739022</x:v>
      </x:c>
      <x:c r="AC266" s="75" t="n">
        <x:f>AC260-AC226-SUM(AC262:AC265)</x:f>
        <x:v>61939.055684591905</x:v>
      </x:c>
      <x:c r="AD266" s="75" t="n">
        <x:f>AD260-AD226-SUM(AD262:AD265)</x:f>
        <x:v>78670.55478516471</x:v>
      </x:c>
      <x:c r="AE266" s="75" t="n">
        <x:f>AE260-AE226-SUM(AE262:AE265)</x:f>
        <x:v>95822.11219873925</x:v>
      </x:c>
      <x:c r="AF266" s="75" t="n">
        <x:f>AF260-AF226-SUM(AF262:AF265)</x:f>
        <x:v>78641.84353095607</x:v>
      </x:c>
      <x:c r="AG266" s="75" t="n">
        <x:f>AG260-AG226-SUM(AG262:AG265)</x:f>
        <x:v>97717.50674346433</x:v>
      </x:c>
      <x:c r="AH266" s="75" t="n">
        <x:f>AH260-AH226-SUM(AH262:AH265)</x:f>
        <x:v>117124.18669816293</x:v>
      </x:c>
      <x:c r="AI266" s="75" t="n">
        <x:f>AI260-AI226-SUM(AI262:AI265)</x:f>
        <x:v>136999.30709864368</x:v>
      </x:c>
      <x:c r="AJ266" s="75" t="n">
        <x:f>AJ260-AJ226-SUM(AJ262:AJ265)</x:f>
        <x:v>157379.80450117227</x:v>
      </x:c>
      <x:c r="AK266" s="75" t="n">
        <x:f>AK260-AK226-SUM(AK262:AK265)</x:f>
        <x:v>178300.04674795864</x:v>
      </x:c>
    </x:row>
    <x:row r="267" ht="18" customHeight="1">
      <x:c r="A267" s="4" t="str">
        <x:v>Operating margin (%)</x:v>
      </x:c>
      <x:c r="B267" s="62" t="n">
        <x:f>IFERROR(B266/B248,0)</x:f>
        <x:v>-12.00150760659668</x:v>
      </x:c>
      <x:c r="C267" s="62" t="n">
        <x:f>IFERROR(C266/C248,0)</x:f>
        <x:v>-2.893244604484401</x:v>
      </x:c>
      <x:c r="D267" s="62" t="n">
        <x:f>IFERROR(D266/D248,0)</x:f>
        <x:v>-1.6750758796616232</x:v>
      </x:c>
      <x:c r="E267" s="62" t="n">
        <x:f>IFERROR(E266/E248,0)</x:f>
        <x:v>-1.44644939084763</x:v>
      </x:c>
      <x:c r="F267" s="62" t="n">
        <x:f>IFERROR(F266/F248,0)</x:f>
        <x:v>-0.8961595117359303</x:v>
      </x:c>
      <x:c r="G267" s="62" t="n">
        <x:f>IFERROR(G266/G248,0)</x:f>
        <x:v>-0.5514949886435031</x:v>
      </x:c>
      <x:c r="H267" s="62" t="n">
        <x:f>IFERROR(H266/H248,0)</x:f>
        <x:v>-0.7734930101518481</x:v>
      </x:c>
      <x:c r="I267" s="62" t="n">
        <x:f>IFERROR(I266/I248,0)</x:f>
        <x:v>-0.4646693574893651</x:v>
      </x:c>
      <x:c r="J267" s="62" t="n">
        <x:f>IFERROR(J266/J248,0)</x:f>
        <x:v>-0.25167975000074494</x:v>
      </x:c>
      <x:c r="K267" s="62" t="n">
        <x:f>IFERROR(K266/K248,0)</x:f>
        <x:v>-0.0941094400863275</x:v>
      </x:c>
      <x:c r="L267" s="62" t="n">
        <x:f>IFERROR(L266/L248,0)</x:f>
        <x:v>0.027481981799509735</x:v>
      </x:c>
      <x:c r="M267" s="62" t="n">
        <x:f>IFERROR(M266/M248,0)</x:f>
        <x:v>-0.003312285986820034</x:v>
      </x:c>
      <x:c r="N267" s="62" t="n">
        <x:f>IFERROR(N266/N248,0)</x:f>
        <x:v>-0.38792565015295255</x:v>
      </x:c>
      <x:c r="O267" s="62" t="n">
        <x:f>IFERROR(O266/O248,0)</x:f>
        <x:v>-0.243012738380333</x:v>
      </x:c>
      <x:c r="P267" s="62" t="n">
        <x:f>IFERROR(P266/P248,0)</x:f>
        <x:v>-0.12871626277128564</x:v>
      </x:c>
      <x:c r="Q267" s="62" t="n">
        <x:f>IFERROR(Q266/Q248,0)</x:f>
        <x:v>-0.04163033393029483</x:v>
      </x:c>
      <x:c r="R267" s="62" t="n">
        <x:f>IFERROR(R266/R248,0)</x:f>
        <x:v>0.03384674143460038</x:v>
      </x:c>
      <x:c r="S267" s="62" t="n">
        <x:f>IFERROR(S266/S248,0)</x:f>
        <x:v>0.09834835979323991</x:v>
      </x:c>
      <x:c r="T267" s="62" t="n">
        <x:f>IFERROR(T266/T248,0)</x:f>
        <x:v>-0.04001262874473578</x:v>
      </x:c>
      <x:c r="U267" s="62" t="n">
        <x:f>IFERROR(U266/U248,0)</x:f>
        <x:v>0.03459084685270888</x:v>
      </x:c>
      <x:c r="V267" s="62" t="n">
        <x:f>IFERROR(V266/V248,0)</x:f>
        <x:v>0.09765389725754653</x:v>
      </x:c>
      <x:c r="W267" s="62" t="n">
        <x:f>IFERROR(W266/W248,0)</x:f>
        <x:v>0.08521445490107164</x:v>
      </x:c>
      <x:c r="X267" s="62" t="n">
        <x:f>IFERROR(X266/X248,0)</x:f>
        <x:v>0.13782762338716253</x:v>
      </x:c>
      <x:c r="Y267" s="62" t="n">
        <x:f>IFERROR(Y266/Y248,0)</x:f>
        <x:v>0.1842060382974299</x:v>
      </x:c>
      <x:c r="Z267" s="62" t="n">
        <x:f>IFERROR(Z266/Z248,0)</x:f>
        <x:v>0.04913244231789203</x:v>
      </x:c>
      <x:c r="AA267" s="62" t="n">
        <x:f>IFERROR(AA266/AA248,0)</x:f>
        <x:v>0.09848198983074971</x:v>
      </x:c>
      <x:c r="AB267" s="62" t="n">
        <x:f>IFERROR(AB266/AB248,0)</x:f>
        <x:v>0.14228695638912375</x:v>
      </x:c>
      <x:c r="AC267" s="62" t="n">
        <x:f>IFERROR(AC266/AC248,0)</x:f>
        <x:v>0.18094723979148966</x:v>
      </x:c>
      <x:c r="AD267" s="62" t="n">
        <x:f>IFERROR(AD266/AD248,0)</x:f>
        <x:v>0.21636075290409523</x:v>
      </x:c>
      <x:c r="AE267" s="62" t="n">
        <x:f>IFERROR(AE266/AE248,0)</x:f>
        <x:v>0.24855725555761357</x:v>
      </x:c>
      <x:c r="AF267" s="62" t="n">
        <x:f>IFERROR(AF266/AF248,0)</x:f>
        <x:v>0.1918766824249662</x:v>
      </x:c>
      <x:c r="AG267" s="62" t="n">
        <x:f>IFERROR(AG266/AG248,0)</x:f>
        <x:v>0.22499913931601984</x:v>
      </x:c>
      <x:c r="AH267" s="62" t="n">
        <x:f>IFERROR(AH266/AH248,0)</x:f>
        <x:v>0.25502860574815006</x:v>
      </x:c>
      <x:c r="AI267" s="62" t="n">
        <x:f>IFERROR(AI266/AI248,0)</x:f>
        <x:v>0.28252693768874115</x:v>
      </x:c>
      <x:c r="AJ267" s="62" t="n">
        <x:f>IFERROR(AJ266/AJ248,0)</x:f>
        <x:v>0.30780285050428646</x:v>
      </x:c>
      <x:c r="AK267" s="62" t="n">
        <x:f>IFERROR(AK266/AK248,0)</x:f>
        <x:v>0.3311097534684166</x:v>
      </x:c>
    </x:row>
    <x:row r="268" ht="18" customHeight="1">
      <x:c r="A268" s="4" t="str">
        <x:v>After imputed founder time (INR)</x:v>
      </x:c>
      <x:c r="B268" s="58" t="n">
        <x:f>B266-'Commercial Inputs'!$B$33</x:f>
        <x:v>-142474.6894033898</x:v>
      </x:c>
      <x:c r="C268" s="58" t="n">
        <x:f>C266-'Commercial Inputs'!$B$33</x:f>
        <x:v>-119857.02001140364</x:v>
      </x:c>
      <x:c r="D268" s="58" t="n">
        <x:f>D266-'Commercial Inputs'!$B$33</x:f>
        <x:v>-117207.06675995722</x:v>
      </x:c>
      <x:c r="E268" s="58" t="n">
        <x:f>E266-'Commercial Inputs'!$B$33</x:f>
        <x:v>-121883.81349298562</x:v>
      </x:c>
      <x:c r="F268" s="58" t="n">
        <x:f>F266-'Commercial Inputs'!$B$33</x:f>
        <x:v>-117987.37675627218</x:v>
      </x:c>
      <x:c r="G268" s="58" t="n">
        <x:f>G266-'Commercial Inputs'!$B$33</x:f>
        <x:v>-113924.13085491482</x:v>
      </x:c>
      <x:c r="H268" s="58" t="n">
        <x:f>H266-'Commercial Inputs'!$B$33</x:f>
        <x:v>-125843.1486926176</x:v>
      </x:c>
      <x:c r="I268" s="58" t="n">
        <x:f>I266-'Commercial Inputs'!$B$33</x:f>
        <x:v>-119319.24372008727</x:v>
      </x:c>
      <x:c r="J268" s="58" t="n">
        <x:f>J266-'Commercial Inputs'!$B$33</x:f>
        <x:v>-112592.03235902451</x:v>
      </x:c>
      <x:c r="K268" s="58" t="n">
        <x:f>K266-'Commercial Inputs'!$B$33</x:f>
        <x:v>-105545.53405874297</x:v>
      </x:c>
      <x:c r="L268" s="58" t="n">
        <x:f>L266-'Commercial Inputs'!$B$33</x:f>
        <x:v>-98121.97579839415</x:v>
      </x:c>
      <x:c r="M268" s="58" t="n">
        <x:f>M266-'Commercial Inputs'!$B$33</x:f>
        <x:v>-100259.50053193173</x:v>
      </x:c>
      <x:c r="N268" s="58" t="n">
        <x:f>N266-'Commercial Inputs'!$B$33</x:f>
        <x:v>-135394.84413246933</x:v>
      </x:c>
      <x:c r="O268" s="58" t="n">
        <x:f>O266-'Commercial Inputs'!$B$33</x:f>
        <x:v>-125241.16767832359</x:v>
      </x:c>
      <x:c r="P268" s="58" t="n">
        <x:f>P266-'Commercial Inputs'!$B$33</x:f>
        <x:v>-115012.06699846251</x:v>
      </x:c>
      <x:c r="Q268" s="58" t="n">
        <x:f>Q266-'Commercial Inputs'!$B$33</x:f>
        <x:v>-105375.04188388144</x:v>
      </x:c>
      <x:c r="R268" s="58" t="n">
        <x:f>R266-'Commercial Inputs'!$B$33</x:f>
        <x:v>-95195.38552499398</x:v>
      </x:c>
      <x:c r="S268" s="58" t="n">
        <x:f>S266-'Commercial Inputs'!$B$33</x:f>
        <x:v>-84737.15719595765</x:v>
      </x:c>
      <x:c r="T268" s="58" t="n">
        <x:f>T266-'Commercial Inputs'!$B$33</x:f>
        <x:v>-106893.34398609193</x:v>
      </x:c>
      <x:c r="U268" s="58" t="n">
        <x:f>U266-'Commercial Inputs'!$B$33</x:f>
        <x:v>-93455.01465942786</x:v>
      </x:c>
      <x:c r="V268" s="58" t="n">
        <x:f>V266-'Commercial Inputs'!$B$33</x:f>
        <x:v>-79840.71559098369</x:v>
      </x:c>
      <x:c r="W268" s="58" t="n">
        <x:f>W266-'Commercial Inputs'!$B$33</x:f>
        <x:v>-80899.34518413112</x:v>
      </x:c>
      <x:c r="X268" s="58" t="n">
        <x:f>X266-'Commercial Inputs'!$B$33</x:f>
        <x:v>-66589.59834646177</x:v>
      </x:c>
      <x:c r="Y268" s="58" t="n">
        <x:f>Y266-'Commercial Inputs'!$B$33</x:f>
        <x:v>-51872.26032922036</x:v>
      </x:c>
      <x:c r="Z268" s="58" t="n">
        <x:f>Z266-'Commercial Inputs'!$B$33</x:f>
        <x:v>-86183.69932780875</x:v>
      </x:c>
      <x:c r="AA268" s="58" t="n">
        <x:f>AA266-'Commercial Inputs'!$B$33</x:f>
        <x:v>-70337.56971859324</x:v>
      </x:c>
      <x:c r="AB268" s="58" t="n">
        <x:f>AB266-'Commercial Inputs'!$B$33</x:f>
        <x:v>-54247.00948260978</x:v>
      </x:c>
      <x:c r="AC268" s="58" t="n">
        <x:f>AC266-'Commercial Inputs'!$B$33</x:f>
        <x:v>-38060.944315408095</x:v>
      </x:c>
      <x:c r="AD268" s="58" t="n">
        <x:f>AD266-'Commercial Inputs'!$B$33</x:f>
        <x:v>-21329.445214835287</x:v>
      </x:c>
      <x:c r="AE268" s="58" t="n">
        <x:f>AE266-'Commercial Inputs'!$B$33</x:f>
        <x:v>-4177.887801260746</x:v>
      </x:c>
      <x:c r="AF268" s="58" t="n">
        <x:f>AF266-'Commercial Inputs'!$B$33</x:f>
        <x:v>-21358.156469043926</x:v>
      </x:c>
      <x:c r="AG268" s="58" t="n">
        <x:f>AG266-'Commercial Inputs'!$B$33</x:f>
        <x:v>-2282.493256535672</x:v>
      </x:c>
      <x:c r="AH268" s="58" t="n">
        <x:f>AH266-'Commercial Inputs'!$B$33</x:f>
        <x:v>17124.18669816293</x:v>
      </x:c>
      <x:c r="AI268" s="58" t="n">
        <x:f>AI266-'Commercial Inputs'!$B$33</x:f>
        <x:v>36999.30709864368</x:v>
      </x:c>
      <x:c r="AJ268" s="58" t="n">
        <x:f>AJ266-'Commercial Inputs'!$B$33</x:f>
        <x:v>57379.80450117227</x:v>
      </x:c>
      <x:c r="AK268" s="58" t="n">
        <x:f>AK266-'Commercial Inputs'!$B$33</x:f>
        <x:v>78300.04674795864</x:v>
      </x:c>
    </x:row>
    <x:row r="269" ht="18" customHeight="1">
      <x:c r="A269" s="4" t="str">
        <x:v>Net proceeds awaiting payout (INR)</x:v>
      </x:c>
      <x:c r="B269" s="58" t="n">
        <x:f>B253-B254</x:f>
        <x:v>26816.44406949153</x:v>
      </x:c>
      <x:c r="C269" s="58" t="n">
        <x:f>C253-C254</x:f>
        <x:v>29537.310171920344</x:v>
      </x:c>
      <x:c r="D269" s="58" t="n">
        <x:f>D253-D254</x:f>
        <x:v>32389.16443112086</x:v>
      </x:c>
      <x:c r="E269" s="58" t="n">
        <x:f>E253-E254</x:f>
        <x:v>44825.54039686846</x:v>
      </x:c>
      <x:c r="F269" s="58" t="n">
        <x:f>F253-F254</x:f>
        <x:v>48451.24854316371</x:v>
      </x:c>
      <x:c r="G269" s="58" t="n">
        <x:f>G253-G254</x:f>
        <x:v>52365.04939713214</x:v>
      </x:c>
      <x:c r="H269" s="58" t="n">
        <x:f>H253-H254</x:f>
        <x:v>76863.09229853805</x:v>
      </x:c>
      <x:c r="I269" s="58" t="n">
        <x:f>I253-I254</x:f>
        <x:v>82054.14859882517</x:v>
      </x:c>
      <x:c r="J269" s="58" t="n">
        <x:f>J253-J254</x:f>
        <x:v>87614.93709002729</x:v>
      </x:c>
      <x:c r="K269" s="58" t="n">
        <x:f>K253-K254</x:f>
        <x:v>93693.11632727091</x:v>
      </x:c>
      <x:c r="L269" s="58" t="n">
        <x:f>L253-L254</x:f>
        <x:v>100372.7191270739</x:v>
      </x:c>
      <x:c r="M269" s="58" t="n">
        <x:f>M253-M254</x:f>
        <x:v>107744.64936022463</x:v>
      </x:c>
      <x:c r="N269" s="58" t="n">
        <x:f>N253-N254</x:f>
        <x:v>152765.17077358344</x:v>
      </x:c>
      <x:c r="O269" s="58" t="n">
        <x:f>O253-O254</x:f>
        <x:v>160176.05059193392</x:v>
      </x:c>
      <x:c r="P269" s="58" t="n">
        <x:f>P253-P254</x:f>
        <x:v>167862.88478772447</x:v>
      </x:c>
      <x:c r="Q269" s="58" t="n">
        <x:f>Q253-Q254</x:f>
        <x:v>178606.95420558174</x:v>
      </x:c>
      <x:c r="R269" s="58" t="n">
        <x:f>R253-R254</x:f>
        <x:v>187263.1608969663</x:v>
      </x:c>
      <x:c r="S269" s="58" t="n">
        <x:f>S253-S254</x:f>
        <x:v>196506.3289130516</x:v>
      </x:c>
      <x:c r="T269" s="58" t="n">
        <x:f>T253-T254</x:f>
        <x:v>247385.44252521085</x:v>
      </x:c>
      <x:c r="U269" s="58" t="n">
        <x:f>U253-U254</x:f>
        <x:v>258839.03844612982</x:v>
      </x:c>
      <x:c r="V269" s="58" t="n">
        <x:f>V253-V254</x:f>
        <x:v>270880.12299086404</x:v>
      </x:c>
      <x:c r="W269" s="58" t="n">
        <x:f>W253-W254</x:f>
        <x:v>283727.8042450373</x:v>
      </x:c>
      <x:c r="X269" s="58" t="n">
        <x:f>X253-X254</x:f>
        <x:v>297483.3624734778</x:v>
      </x:c>
      <x:c r="Y269" s="58" t="n">
        <x:f>Y253-Y254</x:f>
        <x:v>312252.4573645876</x:v>
      </x:c>
      <x:c r="Z269" s="58" t="n">
        <x:f>Z253-Z254</x:f>
        <x:v>359767.5593929395</x:v>
      </x:c>
      <x:c r="AA269" s="58" t="n">
        <x:f>AA253-AA254</x:f>
        <x:v>373358.3367657111</x:v>
      </x:c>
      <x:c r="AB269" s="58" t="n">
        <x:f>AB253-AB254</x:f>
        <x:v>387519.6508086301</x:v>
      </x:c>
      <x:c r="AC269" s="58" t="n">
        <x:f>AC253-AC254</x:f>
        <x:v>403793.3121658936</x:v>
      </x:c>
      <x:c r="AD269" s="58" t="n">
        <x:f>AD253-AD254</x:f>
        <x:v>419473.4233813896</x:v>
      </x:c>
      <x:c r="AE269" s="58" t="n">
        <x:f>AE253-AE254</x:f>
        <x:v>436026.25074950897</x:v>
      </x:c>
      <x:c r="AF269" s="58" t="n">
        <x:f>AF253-AF254</x:f>
        <x:v>498532.821869595</x:v>
      </x:c>
      <x:c r="AG269" s="58" t="n">
        <x:f>AG253-AG254</x:f>
        <x:v>517811.9685605907</x:v>
      </x:c>
      <x:c r="AH269" s="58" t="n">
        <x:f>AH253-AH254</x:f>
        <x:v>538001.9709888764</x:v>
      </x:c>
      <x:c r="AI269" s="58" t="n">
        <x:f>AI253-AI254</x:f>
        <x:v>559313.5123819059</x:v>
      </x:c>
      <x:c r="AJ269" s="58" t="n">
        <x:f>AJ253-AJ254</x:f>
        <x:v>581849.4912664487</x:v>
      </x:c>
      <x:c r="AK269" s="58" t="n">
        <x:f>AK253-AK254</x:f>
        <x:v>605716.005533252</x:v>
      </x:c>
    </x:row>
    <x:row r="270" ht="18" customHeight="1">
      <x:c r="A270" s="4" t="str">
        <x:v>Payouts received this month (INR)</x:v>
      </x:c>
      <x:c r="B270" s="58" t="n">
        <x:f>B269*(1-'Commercial Inputs'!$B$31)+0*'Commercial Inputs'!$B$31</x:f>
        <x:v>13408.222034745764</x:v>
      </x:c>
      <x:c r="C270" s="58" t="n">
        <x:f>C269*(1-'Commercial Inputs'!$B$31)+B269*'Commercial Inputs'!$B$31</x:f>
        <x:v>28176.877120705936</x:v>
      </x:c>
      <x:c r="D270" s="58" t="n">
        <x:f>D269*(1-'Commercial Inputs'!$B$31)+C269*'Commercial Inputs'!$B$31</x:f>
        <x:v>30963.237301520603</x:v>
      </x:c>
      <x:c r="E270" s="58" t="n">
        <x:f>E269*(1-'Commercial Inputs'!$B$31)+D269*'Commercial Inputs'!$B$31</x:f>
        <x:v>38607.35241399466</x:v>
      </x:c>
      <x:c r="F270" s="58" t="n">
        <x:f>F269*(1-'Commercial Inputs'!$B$31)+E269*'Commercial Inputs'!$B$31</x:f>
        <x:v>46638.39447001609</x:v>
      </x:c>
      <x:c r="G270" s="58" t="n">
        <x:f>G269*(1-'Commercial Inputs'!$B$31)+F269*'Commercial Inputs'!$B$31</x:f>
        <x:v>50408.14897014793</x:v>
      </x:c>
      <x:c r="H270" s="58" t="n">
        <x:f>H269*(1-'Commercial Inputs'!$B$31)+G269*'Commercial Inputs'!$B$31</x:f>
        <x:v>64614.07084783509</x:v>
      </x:c>
      <x:c r="I270" s="58" t="n">
        <x:f>I269*(1-'Commercial Inputs'!$B$31)+H269*'Commercial Inputs'!$B$31</x:f>
        <x:v>79458.62044868161</x:v>
      </x:c>
      <x:c r="J270" s="58" t="n">
        <x:f>J269*(1-'Commercial Inputs'!$B$31)+I269*'Commercial Inputs'!$B$31</x:f>
        <x:v>84834.54284442624</x:v>
      </x:c>
      <x:c r="K270" s="58" t="n">
        <x:f>K269*(1-'Commercial Inputs'!$B$31)+J269*'Commercial Inputs'!$B$31</x:f>
        <x:v>90654.0267086491</x:v>
      </x:c>
      <x:c r="L270" s="58" t="n">
        <x:f>L269*(1-'Commercial Inputs'!$B$31)+K269*'Commercial Inputs'!$B$31</x:f>
        <x:v>97032.9177271724</x:v>
      </x:c>
      <x:c r="M270" s="58" t="n">
        <x:f>M269*(1-'Commercial Inputs'!$B$31)+L269*'Commercial Inputs'!$B$31</x:f>
        <x:v>104058.68424364927</x:v>
      </x:c>
      <x:c r="N270" s="58" t="n">
        <x:f>N269*(1-'Commercial Inputs'!$B$31)+M269*'Commercial Inputs'!$B$31</x:f>
        <x:v>130254.91006690403</x:v>
      </x:c>
      <x:c r="O270" s="58" t="n">
        <x:f>O269*(1-'Commercial Inputs'!$B$31)+N269*'Commercial Inputs'!$B$31</x:f>
        <x:v>156470.61068275868</x:v>
      </x:c>
      <x:c r="P270" s="58" t="n">
        <x:f>P269*(1-'Commercial Inputs'!$B$31)+O269*'Commercial Inputs'!$B$31</x:f>
        <x:v>164019.46768982918</x:v>
      </x:c>
      <x:c r="Q270" s="58" t="n">
        <x:f>Q269*(1-'Commercial Inputs'!$B$31)+P269*'Commercial Inputs'!$B$31</x:f>
        <x:v>173234.9194966531</x:v>
      </x:c>
      <x:c r="R270" s="58" t="n">
        <x:f>R269*(1-'Commercial Inputs'!$B$31)+Q269*'Commercial Inputs'!$B$31</x:f>
        <x:v>182935.05755127402</x:v>
      </x:c>
      <x:c r="S270" s="58" t="n">
        <x:f>S269*(1-'Commercial Inputs'!$B$31)+R269*'Commercial Inputs'!$B$31</x:f>
        <x:v>191884.74490500893</x:v>
      </x:c>
      <x:c r="T270" s="58" t="n">
        <x:f>T269*(1-'Commercial Inputs'!$B$31)+S269*'Commercial Inputs'!$B$31</x:f>
        <x:v>221945.8857191312</x:v>
      </x:c>
      <x:c r="U270" s="58" t="n">
        <x:f>U269*(1-'Commercial Inputs'!$B$31)+T269*'Commercial Inputs'!$B$31</x:f>
        <x:v>253112.24048567034</x:v>
      </x:c>
      <x:c r="V270" s="58" t="n">
        <x:f>V269*(1-'Commercial Inputs'!$B$31)+U269*'Commercial Inputs'!$B$31</x:f>
        <x:v>264859.58071849693</x:v>
      </x:c>
      <x:c r="W270" s="58" t="n">
        <x:f>W269*(1-'Commercial Inputs'!$B$31)+V269*'Commercial Inputs'!$B$31</x:f>
        <x:v>277303.9636179507</x:v>
      </x:c>
      <x:c r="X270" s="58" t="n">
        <x:f>X269*(1-'Commercial Inputs'!$B$31)+W269*'Commercial Inputs'!$B$31</x:f>
        <x:v>290605.58335925755</x:v>
      </x:c>
      <x:c r="Y270" s="58" t="n">
        <x:f>Y269*(1-'Commercial Inputs'!$B$31)+X269*'Commercial Inputs'!$B$31</x:f>
        <x:v>304867.9099190327</x:v>
      </x:c>
      <x:c r="Z270" s="58" t="n">
        <x:f>Z269*(1-'Commercial Inputs'!$B$31)+Y269*'Commercial Inputs'!$B$31</x:f>
        <x:v>336010.00837876357</x:v>
      </x:c>
      <x:c r="AA270" s="58" t="n">
        <x:f>AA269*(1-'Commercial Inputs'!$B$31)+Z269*'Commercial Inputs'!$B$31</x:f>
        <x:v>366562.94807932526</x:v>
      </x:c>
      <x:c r="AB270" s="58" t="n">
        <x:f>AB269*(1-'Commercial Inputs'!$B$31)+AA269*'Commercial Inputs'!$B$31</x:f>
        <x:v>380438.9937871706</x:v>
      </x:c>
      <x:c r="AC270" s="58" t="n">
        <x:f>AC269*(1-'Commercial Inputs'!$B$31)+AB269*'Commercial Inputs'!$B$31</x:f>
        <x:v>395656.48148726183</x:v>
      </x:c>
      <x:c r="AD270" s="58" t="n">
        <x:f>AD269*(1-'Commercial Inputs'!$B$31)+AC269*'Commercial Inputs'!$B$31</x:f>
        <x:v>411633.3677736416</x:v>
      </x:c>
      <x:c r="AE270" s="58" t="n">
        <x:f>AE269*(1-'Commercial Inputs'!$B$31)+AD269*'Commercial Inputs'!$B$31</x:f>
        <x:v>427749.8370654493</x:v>
      </x:c>
      <x:c r="AF270" s="58" t="n">
        <x:f>AF269*(1-'Commercial Inputs'!$B$31)+AE269*'Commercial Inputs'!$B$31</x:f>
        <x:v>467279.536309552</x:v>
      </x:c>
      <x:c r="AG270" s="58" t="n">
        <x:f>AG269*(1-'Commercial Inputs'!$B$31)+AF269*'Commercial Inputs'!$B$31</x:f>
        <x:v>508172.3952150928</x:v>
      </x:c>
      <x:c r="AH270" s="58" t="n">
        <x:f>AH269*(1-'Commercial Inputs'!$B$31)+AG269*'Commercial Inputs'!$B$31</x:f>
        <x:v>527906.9697747335</x:v>
      </x:c>
      <x:c r="AI270" s="58" t="n">
        <x:f>AI269*(1-'Commercial Inputs'!$B$31)+AH269*'Commercial Inputs'!$B$31</x:f>
        <x:v>548657.7416853912</x:v>
      </x:c>
      <x:c r="AJ270" s="58" t="n">
        <x:f>AJ269*(1-'Commercial Inputs'!$B$31)+AI269*'Commercial Inputs'!$B$31</x:f>
        <x:v>570581.5018241773</x:v>
      </x:c>
      <x:c r="AK270" s="58" t="n">
        <x:f>AK269*(1-'Commercial Inputs'!$B$31)+AJ269*'Commercial Inputs'!$B$31</x:f>
        <x:v>593782.7483998504</x:v>
      </x:c>
    </x:row>
    <x:row r="271" ht="18" customHeight="1">
      <x:c r="A271" s="4" t="str">
        <x:v>Cash outgo other than withheld fees (INR)</x:v>
      </x:c>
      <x:c r="B271" s="58" t="n">
        <x:f>SUM(B255:B258)+B226+SUM(B262:B265)</x:f>
        <x:v>43307.30985</x:v>
      </x:c>
      <x:c r="C271" s="58" t="n">
        <x:f>SUM(C255:C258)+C226+SUM(C262:C265)</x:f>
        <x:v>23739.155712985</x:v>
      </x:c>
      <x:c r="D271" s="58" t="n">
        <x:f>SUM(D255:D258)+D226+SUM(D262:D265)</x:f>
        <x:v>24210.549025823835</x:v>
      </x:c>
      <x:c r="E271" s="58" t="n">
        <x:f>SUM(E255:E258)+E226+SUM(E262:E265)</x:f>
        <x:v>32489.056665616783</x:v>
      </x:c>
      <x:c r="F271" s="58" t="n">
        <x:f>SUM(F255:F258)+F226+SUM(F262:F265)</x:f>
        <x:v>33168.98124303589</x:v>
      </x:c>
      <x:c r="G271" s="58" t="n">
        <x:f>SUM(G255:G258)+G226+SUM(G262:G265)</x:f>
        <x:v>33887.078252099294</x:v>
      </x:c>
      <x:c r="H271" s="58" t="n">
        <x:f>SUM(H255:H258)+H226+SUM(H262:H265)</x:f>
        <x:v>51496.58459725946</x:v>
      </x:c>
      <x:c r="I271" s="58" t="n">
        <x:f>SUM(I255:I258)+I226+SUM(I262:I265)</x:f>
        <x:v>52614.12186820067</x:v>
      </x:c>
      <x:c r="J271" s="58" t="n">
        <x:f>SUM(J255:J258)+J226+SUM(J262:J265)</x:f>
        <x:v>53781.319814028626</x:v>
      </x:c>
      <x:c r="K271" s="58" t="n">
        <x:f>SUM(K255:K258)+K226+SUM(K262:K265)</x:f>
        <x:v>55015.84462388395</x:v>
      </x:c>
      <x:c r="L271" s="58" t="n">
        <x:f>SUM(L255:L258)+L226+SUM(L262:L265)</x:f>
        <x:v>56328.26286030063</x:v>
      </x:c>
      <x:c r="M271" s="58" t="n">
        <x:f>SUM(M255:M258)+M226+SUM(M262:M265)</x:f>
        <x:v>67730.04492690897</x:v>
      </x:c>
      <x:c r="N271" s="58" t="n">
        <x:f>SUM(N255:N258)+N226+SUM(N262:N265)</x:f>
        <x:v>111218.08476452401</x:v>
      </x:c>
      <x:c r="O271" s="58" t="n">
        <x:f>SUM(O255:O258)+O226+SUM(O262:O265)</x:f>
        <x:v>112942.81754100214</x:v>
      </x:c>
      <x:c r="P271" s="58" t="n">
        <x:f>SUM(P255:P258)+P226+SUM(P262:P265)</x:f>
        <x:v>114699.37747435225</x:v>
      </x:c>
      <x:c r="Q271" s="58" t="n">
        <x:f>SUM(Q255:Q258)+Q226+SUM(Q262:Q265)</x:f>
        <x:v>116462.44069168335</x:v>
      </x:c>
      <x:c r="R271" s="58" t="n">
        <x:f>SUM(R255:R258)+R226+SUM(R262:R265)</x:f>
        <x:v>118247.60666916745</x:v>
      </x:c>
      <x:c r="S271" s="58" t="n">
        <x:f>SUM(S255:S258)+S226+SUM(S262:S265)</x:f>
        <x:v>120096.07814994872</x:v>
      </x:c>
      <x:c r="T271" s="58" t="n">
        <x:f>SUM(T255:T258)+T226+SUM(T262:T265)</x:f>
        <x:v>154204.7816912767</x:v>
      </x:c>
      <x:c r="U271" s="58" t="n">
        <x:f>SUM(U255:U258)+U226+SUM(U262:U265)</x:f>
        <x:v>156542.75241624255</x:v>
      </x:c>
      <x:c r="V271" s="58" t="n">
        <x:f>SUM(V255:V258)+V226+SUM(V262:V265)</x:f>
        <x:v>158937.75313640686</x:v>
      </x:c>
      <x:c r="W271" s="58" t="n">
        <x:f>SUM(W255:W258)+W226+SUM(W262:W265)</x:f>
        <x:v>176411.72496588476</x:v>
      </x:c>
      <x:c r="X271" s="58" t="n">
        <x:f>SUM(X255:X258)+X226+SUM(X262:X265)</x:f>
        <x:v>178972.76772055324</x:v>
      </x:c>
      <x:c r="Y271" s="58" t="n">
        <x:f>SUM(Y255:Y258)+Y226+SUM(Y262:Y265)</x:f>
        <x:v>181628.92123312005</x:v>
      </x:c>
      <x:c r="Z271" s="58" t="n">
        <x:f>SUM(Z255:Z258)+Z226+SUM(Z262:Z265)</x:f>
        <x:v>231078.83374130607</x:v>
      </x:c>
      <x:c r="AA271" s="58" t="n">
        <x:f>SUM(AA255:AA258)+AA226+SUM(AA262:AA265)</x:f>
        <x:v>233852.28059176105</x:v>
      </x:c>
      <x:c r="AB271" s="58" t="n">
        <x:f>SUM(AB255:AB258)+AB226+SUM(AB262:AB265)</x:f>
        <x:v>236690.326118205</x:v>
      </x:c>
      <x:c r="AC271" s="58" t="n">
        <x:f>SUM(AC255:AC258)+AC226+SUM(AC262:AC265)</x:f>
        <x:v>239611.9673776289</x:v>
      </x:c>
      <x:c r="AD271" s="58" t="n">
        <x:f>SUM(AD255:AD258)+AD226+SUM(AD262:AD265)</x:f>
        <x:v>242601.67143840904</x:v>
      </x:c>
      <x:c r="AE271" s="58" t="n">
        <x:f>SUM(AE255:AE258)+AE226+SUM(AE262:AE265)</x:f>
        <x:v>245684.48040367145</x:v>
      </x:c>
      <x:c r="AF271" s="58" t="n">
        <x:f>SUM(AF255:AF258)+AF226+SUM(AF262:AF265)</x:f>
        <x:v>280899.11369831685</x:v>
      </x:c>
      <x:c r="AG271" s="58" t="n">
        <x:f>SUM(AG255:AG258)+AG226+SUM(AG262:AG265)</x:f>
        <x:v>284323.1860703903</x:v>
      </x:c>
      <x:c r="AH271" s="58" t="n">
        <x:f>SUM(AH255:AH258)+AH226+SUM(AH262:AH265)</x:f>
        <x:v>287836.12331113825</x:v>
      </x:c>
      <x:c r="AI271" s="58" t="n">
        <x:f>SUM(AI255:AI258)+AI226+SUM(AI262:AI265)</x:f>
        <x:v>291458.1462712524</x:v>
      </x:c>
      <x:c r="AJ271" s="58" t="n">
        <x:f>SUM(AJ255:AJ258)+AJ226+SUM(AJ262:AJ265)</x:f>
        <x:v>295196.7805826869</x:v>
      </x:c>
      <x:c r="AK271" s="58" t="n">
        <x:f>SUM(AK255:AK258)+AK226+SUM(AK262:AK265)</x:f>
        <x:v>299059.3817312919</x:v>
      </x:c>
    </x:row>
    <x:row r="272" ht="18" customHeight="1">
      <x:c r="A272" s="74" t="str">
        <x:v>NET CASH MOVEMENT (INR)</x:v>
      </x:c>
      <x:c r="B272" s="75" t="n">
        <x:f>B270-B271</x:f>
        <x:v>-29899.087815254235</x:v>
      </x:c>
      <x:c r="C272" s="75" t="n">
        <x:f>C270-C271</x:f>
        <x:v>4437.7214077209355</x:v>
      </x:c>
      <x:c r="D272" s="75" t="n">
        <x:f>D270-D271</x:f>
        <x:v>6752.688275696768</x:v>
      </x:c>
      <x:c r="E272" s="75" t="n">
        <x:f>E270-E271</x:f>
        <x:v>6118.295748377877</x:v>
      </x:c>
      <x:c r="F272" s="75" t="n">
        <x:f>F270-F271</x:f>
        <x:v>13469.4132269802</x:v>
      </x:c>
      <x:c r="G272" s="75" t="n">
        <x:f>G270-G271</x:f>
        <x:v>16521.070718048635</x:v>
      </x:c>
      <x:c r="H272" s="75" t="n">
        <x:f>H270-H271</x:f>
        <x:v>13117.486250575632</x:v>
      </x:c>
      <x:c r="I272" s="75" t="n">
        <x:f>I270-I271</x:f>
        <x:v>26844.49858048094</x:v>
      </x:c>
      <x:c r="J272" s="75" t="n">
        <x:f>J270-J271</x:f>
        <x:v>31053.22303039761</x:v>
      </x:c>
      <x:c r="K272" s="75" t="n">
        <x:f>K270-K271</x:f>
        <x:v>35638.18208476514</x:v>
      </x:c>
      <x:c r="L272" s="75" t="n">
        <x:f>L270-L271</x:f>
        <x:v>40704.65486687177</x:v>
      </x:c>
      <x:c r="M272" s="75" t="n">
        <x:f>M270-M271</x:f>
        <x:v>36328.6393167403</x:v>
      </x:c>
      <x:c r="N272" s="75" t="n">
        <x:f>N270-N271</x:f>
        <x:v>19036.82530238002</x:v>
      </x:c>
      <x:c r="O272" s="75" t="n">
        <x:f>O270-O271</x:f>
        <x:v>43527.79314175654</x:v>
      </x:c>
      <x:c r="P272" s="75" t="n">
        <x:f>P270-P271</x:f>
        <x:v>49320.09021547693</x:v>
      </x:c>
      <x:c r="Q272" s="75" t="n">
        <x:f>Q270-Q271</x:f>
        <x:v>56772.47880496975</x:v>
      </x:c>
      <x:c r="R272" s="75" t="n">
        <x:f>R270-R271</x:f>
        <x:v>64687.45088210657</x:v>
      </x:c>
      <x:c r="S272" s="75" t="n">
        <x:f>S270-S271</x:f>
        <x:v>71788.66675506021</x:v>
      </x:c>
      <x:c r="T272" s="75" t="n">
        <x:f>T270-T271</x:f>
        <x:v>67741.10402785451</x:v>
      </x:c>
      <x:c r="U272" s="75" t="n">
        <x:f>U270-U271</x:f>
        <x:v>96569.48806942778</x:v>
      </x:c>
      <x:c r="V272" s="75" t="n">
        <x:f>V270-V271</x:f>
        <x:v>105921.82758209007</x:v>
      </x:c>
      <x:c r="W272" s="75" t="n">
        <x:f>W270-W271</x:f>
        <x:v>100892.23865206592</x:v>
      </x:c>
      <x:c r="X272" s="75" t="n">
        <x:f>X270-X271</x:f>
        <x:v>111632.81563870431</x:v>
      </x:c>
      <x:c r="Y272" s="75" t="n">
        <x:f>Y270-Y271</x:f>
        <x:v>123238.98868591266</x:v>
      </x:c>
      <x:c r="Z272" s="75" t="n">
        <x:f>Z270-Z271</x:f>
        <x:v>104931.1746374575</x:v>
      </x:c>
      <x:c r="AA272" s="75" t="n">
        <x:f>AA270-AA271</x:f>
        <x:v>132710.6674875642</x:v>
      </x:c>
      <x:c r="AB272" s="75" t="n">
        <x:f>AB270-AB271</x:f>
        <x:v>143748.66766896562</x:v>
      </x:c>
      <x:c r="AC272" s="75" t="n">
        <x:f>AC270-AC271</x:f>
        <x:v>156044.51410963293</x:v>
      </x:c>
      <x:c r="AD272" s="75" t="n">
        <x:f>AD270-AD271</x:f>
        <x:v>169031.69633523255</x:v>
      </x:c>
      <x:c r="AE272" s="75" t="n">
        <x:f>AE270-AE271</x:f>
        <x:v>182065.35666177783</x:v>
      </x:c>
      <x:c r="AF272" s="75" t="n">
        <x:f>AF270-AF271</x:f>
        <x:v>186380.42261123512</x:v>
      </x:c>
      <x:c r="AG272" s="75" t="n">
        <x:f>AG270-AG271</x:f>
        <x:v>223849.20914470253</x:v>
      </x:c>
      <x:c r="AH272" s="75" t="n">
        <x:f>AH270-AH271</x:f>
        <x:v>240070.84646359528</x:v>
      </x:c>
      <x:c r="AI272" s="75" t="n">
        <x:f>AI270-AI271</x:f>
        <x:v>257199.59541413875</x:v>
      </x:c>
      <x:c r="AJ272" s="75" t="n">
        <x:f>AJ270-AJ271</x:f>
        <x:v>275384.72124149045</x:v>
      </x:c>
      <x:c r="AK272" s="75" t="n">
        <x:f>AK270-AK271</x:f>
        <x:v>294723.36666855856</x:v>
      </x:c>
    </x:row>
    <x:row r="273" ht="18" customHeight="1">
      <x:c r="A273" s="4" t="str">
        <x:v>Cumulative cash movement (INR)</x:v>
      </x:c>
      <x:c r="B273" s="58" t="n">
        <x:f>0+B272</x:f>
        <x:v>-29899.087815254235</x:v>
      </x:c>
      <x:c r="C273" s="58" t="n">
        <x:f>B273+C272</x:f>
        <x:v>-25461.3664075333</x:v>
      </x:c>
      <x:c r="D273" s="58" t="n">
        <x:f>C273+D272</x:f>
        <x:v>-18708.678131836532</x:v>
      </x:c>
      <x:c r="E273" s="58" t="n">
        <x:f>D273+E272</x:f>
        <x:v>-12590.382383458655</x:v>
      </x:c>
      <x:c r="F273" s="58" t="n">
        <x:f>E273+F272</x:f>
        <x:v>879.0308435215447</x:v>
      </x:c>
      <x:c r="G273" s="58" t="n">
        <x:f>F273+G272</x:f>
        <x:v>17400.10156157018</x:v>
      </x:c>
      <x:c r="H273" s="58" t="n">
        <x:f>G273+H272</x:f>
        <x:v>30517.58781214581</x:v>
      </x:c>
      <x:c r="I273" s="58" t="n">
        <x:f>H273+I272</x:f>
        <x:v>57362.08639262675</x:v>
      </x:c>
      <x:c r="J273" s="58" t="n">
        <x:f>I273+J272</x:f>
        <x:v>88415.30942302436</x:v>
      </x:c>
      <x:c r="K273" s="58" t="n">
        <x:f>J273+K272</x:f>
        <x:v>124053.4915077895</x:v>
      </x:c>
      <x:c r="L273" s="58" t="n">
        <x:f>K273+L272</x:f>
        <x:v>164758.14637466127</x:v>
      </x:c>
      <x:c r="M273" s="58" t="n">
        <x:f>L273+M272</x:f>
        <x:v>201086.78569140157</x:v>
      </x:c>
      <x:c r="N273" s="58" t="n">
        <x:f>M273+N272</x:f>
        <x:v>220123.6109937816</x:v>
      </x:c>
      <x:c r="O273" s="58" t="n">
        <x:f>N273+O272</x:f>
        <x:v>263651.40413553815</x:v>
      </x:c>
      <x:c r="P273" s="58" t="n">
        <x:f>O273+P272</x:f>
        <x:v>312971.4943510151</x:v>
      </x:c>
      <x:c r="Q273" s="58" t="n">
        <x:f>P273+Q272</x:f>
        <x:v>369743.97315598483</x:v>
      </x:c>
      <x:c r="R273" s="58" t="n">
        <x:f>Q273+R272</x:f>
        <x:v>434431.4240380914</x:v>
      </x:c>
      <x:c r="S273" s="58" t="n">
        <x:f>R273+S272</x:f>
        <x:v>506220.0907931516</x:v>
      </x:c>
      <x:c r="T273" s="58" t="n">
        <x:f>S273+T272</x:f>
        <x:v>573961.1948210062</x:v>
      </x:c>
      <x:c r="U273" s="58" t="n">
        <x:f>T273+U272</x:f>
        <x:v>670530.6828904339</x:v>
      </x:c>
      <x:c r="V273" s="58" t="n">
        <x:f>U273+V272</x:f>
        <x:v>776452.510472524</x:v>
      </x:c>
      <x:c r="W273" s="58" t="n">
        <x:f>V273+W272</x:f>
        <x:v>877344.7491245898</x:v>
      </x:c>
      <x:c r="X273" s="58" t="n">
        <x:f>W273+X272</x:f>
        <x:v>988977.5647632942</x:v>
      </x:c>
      <x:c r="Y273" s="58" t="n">
        <x:f>X273+Y272</x:f>
        <x:v>1112216.5534492068</x:v>
      </x:c>
      <x:c r="Z273" s="58" t="n">
        <x:f>Y273+Z272</x:f>
        <x:v>1217147.7280866643</x:v>
      </x:c>
      <x:c r="AA273" s="58" t="n">
        <x:f>Z273+AA272</x:f>
        <x:v>1349858.3955742286</x:v>
      </x:c>
      <x:c r="AB273" s="58" t="n">
        <x:f>AA273+AB272</x:f>
        <x:v>1493607.0632431943</x:v>
      </x:c>
      <x:c r="AC273" s="58" t="n">
        <x:f>AB273+AC272</x:f>
        <x:v>1649651.5773528272</x:v>
      </x:c>
      <x:c r="AD273" s="58" t="n">
        <x:f>AC273+AD272</x:f>
        <x:v>1818683.2736880598</x:v>
      </x:c>
      <x:c r="AE273" s="58" t="n">
        <x:f>AD273+AE272</x:f>
        <x:v>2000748.6303498377</x:v>
      </x:c>
      <x:c r="AF273" s="58" t="n">
        <x:f>AE273+AF272</x:f>
        <x:v>2187129.052961073</x:v>
      </x:c>
      <x:c r="AG273" s="58" t="n">
        <x:f>AF273+AG272</x:f>
        <x:v>2410978.2621057755</x:v>
      </x:c>
      <x:c r="AH273" s="58" t="n">
        <x:f>AG273+AH272</x:f>
        <x:v>2651049.1085693706</x:v>
      </x:c>
      <x:c r="AI273" s="58" t="n">
        <x:f>AH273+AI272</x:f>
        <x:v>2908248.7039835094</x:v>
      </x:c>
      <x:c r="AJ273" s="58" t="n">
        <x:f>AI273+AJ272</x:f>
        <x:v>3183633.425225</x:v>
      </x:c>
      <x:c r="AK273" s="58" t="n">
        <x:f>AJ273+AK272</x:f>
        <x:v>3478356.7918935586</x:v>
      </x:c>
    </x:row>
    <x:row r="274" ht="18" customHeight="1">
      <x:c r="A274" s="74" t="str">
        <x:v>CLOSING CASH, BEFORE TAX / OWNER DRAWS</x:v>
      </x:c>
      <x:c r="B274" s="75" t="n">
        <x:f>'Commercial Inputs'!$B$29+B273</x:f>
        <x:v>70100.91218474577</x:v>
      </x:c>
      <x:c r="C274" s="75" t="n">
        <x:f>'Commercial Inputs'!$B$29+C273</x:f>
        <x:v>74538.63359246671</x:v>
      </x:c>
      <x:c r="D274" s="75" t="n">
        <x:f>'Commercial Inputs'!$B$29+D273</x:f>
        <x:v>81291.32186816348</x:v>
      </x:c>
      <x:c r="E274" s="75" t="n">
        <x:f>'Commercial Inputs'!$B$29+E273</x:f>
        <x:v>87409.61761654135</x:v>
      </x:c>
      <x:c r="F274" s="75" t="n">
        <x:f>'Commercial Inputs'!$B$29+F273</x:f>
        <x:v>100879.03084352154</x:v>
      </x:c>
      <x:c r="G274" s="75" t="n">
        <x:f>'Commercial Inputs'!$B$29+G273</x:f>
        <x:v>117400.10156157018</x:v>
      </x:c>
      <x:c r="H274" s="75" t="n">
        <x:f>'Commercial Inputs'!$B$29+H273</x:f>
        <x:v>130517.58781214581</x:v>
      </x:c>
      <x:c r="I274" s="75" t="n">
        <x:f>'Commercial Inputs'!$B$29+I273</x:f>
        <x:v>157362.08639262675</x:v>
      </x:c>
      <x:c r="J274" s="75" t="n">
        <x:f>'Commercial Inputs'!$B$29+J273</x:f>
        <x:v>188415.30942302436</x:v>
      </x:c>
      <x:c r="K274" s="75" t="n">
        <x:f>'Commercial Inputs'!$B$29+K273</x:f>
        <x:v>224053.4915077895</x:v>
      </x:c>
      <x:c r="L274" s="75" t="n">
        <x:f>'Commercial Inputs'!$B$29+L273</x:f>
        <x:v>264758.14637466124</x:v>
      </x:c>
      <x:c r="M274" s="75" t="n">
        <x:f>'Commercial Inputs'!$B$29+M273</x:f>
        <x:v>301086.7856914016</x:v>
      </x:c>
      <x:c r="N274" s="75" t="n">
        <x:f>'Commercial Inputs'!$B$29+N273</x:f>
        <x:v>320123.6109937816</x:v>
      </x:c>
      <x:c r="O274" s="75" t="n">
        <x:f>'Commercial Inputs'!$B$29+O273</x:f>
        <x:v>363651.40413553815</x:v>
      </x:c>
      <x:c r="P274" s="75" t="n">
        <x:f>'Commercial Inputs'!$B$29+P273</x:f>
        <x:v>412971.4943510151</x:v>
      </x:c>
      <x:c r="Q274" s="75" t="n">
        <x:f>'Commercial Inputs'!$B$29+Q273</x:f>
        <x:v>469743.97315598483</x:v>
      </x:c>
      <x:c r="R274" s="75" t="n">
        <x:f>'Commercial Inputs'!$B$29+R273</x:f>
        <x:v>534431.4240380914</x:v>
      </x:c>
      <x:c r="S274" s="75" t="n">
        <x:f>'Commercial Inputs'!$B$29+S273</x:f>
        <x:v>606220.0907931516</x:v>
      </x:c>
      <x:c r="T274" s="75" t="n">
        <x:f>'Commercial Inputs'!$B$29+T273</x:f>
        <x:v>673961.1948210062</x:v>
      </x:c>
      <x:c r="U274" s="75" t="n">
        <x:f>'Commercial Inputs'!$B$29+U273</x:f>
        <x:v>770530.6828904339</x:v>
      </x:c>
      <x:c r="V274" s="75" t="n">
        <x:f>'Commercial Inputs'!$B$29+V273</x:f>
        <x:v>876452.510472524</x:v>
      </x:c>
      <x:c r="W274" s="75" t="n">
        <x:f>'Commercial Inputs'!$B$29+W273</x:f>
        <x:v>977344.7491245898</x:v>
      </x:c>
      <x:c r="X274" s="75" t="n">
        <x:f>'Commercial Inputs'!$B$29+X273</x:f>
        <x:v>1088977.564763294</x:v>
      </x:c>
      <x:c r="Y274" s="75" t="n">
        <x:f>'Commercial Inputs'!$B$29+Y273</x:f>
        <x:v>1212216.5534492068</x:v>
      </x:c>
      <x:c r="Z274" s="75" t="n">
        <x:f>'Commercial Inputs'!$B$29+Z273</x:f>
        <x:v>1317147.7280866643</x:v>
      </x:c>
      <x:c r="AA274" s="75" t="n">
        <x:f>'Commercial Inputs'!$B$29+AA273</x:f>
        <x:v>1449858.3955742286</x:v>
      </x:c>
      <x:c r="AB274" s="75" t="n">
        <x:f>'Commercial Inputs'!$B$29+AB273</x:f>
        <x:v>1593607.0632431943</x:v>
      </x:c>
      <x:c r="AC274" s="75" t="n">
        <x:f>'Commercial Inputs'!$B$29+AC273</x:f>
        <x:v>1749651.5773528272</x:v>
      </x:c>
      <x:c r="AD274" s="75" t="n">
        <x:f>'Commercial Inputs'!$B$29+AD273</x:f>
        <x:v>1918683.2736880598</x:v>
      </x:c>
      <x:c r="AE274" s="75" t="n">
        <x:f>'Commercial Inputs'!$B$29+AE273</x:f>
        <x:v>2100748.6303498377</x:v>
      </x:c>
      <x:c r="AF274" s="75" t="n">
        <x:f>'Commercial Inputs'!$B$29+AF273</x:f>
        <x:v>2287129.052961073</x:v>
      </x:c>
      <x:c r="AG274" s="75" t="n">
        <x:f>'Commercial Inputs'!$B$29+AG273</x:f>
        <x:v>2510978.2621057755</x:v>
      </x:c>
      <x:c r="AH274" s="75" t="n">
        <x:f>'Commercial Inputs'!$B$29+AH273</x:f>
        <x:v>2751049.1085693706</x:v>
      </x:c>
      <x:c r="AI274" s="75" t="n">
        <x:f>'Commercial Inputs'!$B$29+AI273</x:f>
        <x:v>3008248.7039835094</x:v>
      </x:c>
      <x:c r="AJ274" s="75" t="n">
        <x:f>'Commercial Inputs'!$B$29+AJ273</x:f>
        <x:v>3283633.425225</x:v>
      </x:c>
      <x:c r="AK274" s="75" t="n">
        <x:f>'Commercial Inputs'!$B$29+AK273</x:f>
        <x:v>3578356.7918935586</x:v>
      </x:c>
    </x:row>
    <x:row r="275" ht="18" customHeight="1">
      <x:c r="A275" s="74" t="str">
        <x:v>Unearned annual subscription revenue (INR)</x:v>
      </x:c>
      <x:c r="B275" s="75" t="n">
        <x:f>0+B253-B248</x:f>
        <x:v>25983.82362288136</x:v>
      </x:c>
      <x:c r="C275" s="75" t="n">
        <x:f>B275+C253-C248</x:f>
        <x:v>51638.99809322034</x:v>
      </x:c>
      <x:c r="D275" s="75" t="n">
        <x:f>C275+D253-D248</x:f>
        <x:v>77024.68025847457</x:v>
      </x:c>
      <x:c r="E275" s="75" t="n">
        <x:f>D275+E253-E248</x:f>
        <x:v>111244.97748271187</x:v>
      </x:c>
      <x:c r="F275" s="75" t="n">
        <x:f>E275+F253-F248</x:f>
        <x:v>144514.6215391119</x:v>
      </x:c>
      <x:c r="G275" s="75" t="n">
        <x:f>F275+G253-G248</x:f>
        <x:v>176916.72353905957</x:v>
      </x:c>
      <x:c r="H275" s="75" t="n">
        <x:f>G275+H253-H248</x:f>
        <x:v>228126.37993295575</x:v>
      </x:c>
      <x:c r="I275" s="75" t="n">
        <x:f>H275+I253-I248</x:f>
        <x:v>276885.65038366755</x:v>
      </x:c>
      <x:c r="J275" s="75" t="n">
        <x:f>I275+J253-J248</x:f>
        <x:v>323311.3000186907</x:v>
      </x:c>
      <x:c r="K275" s="75" t="n">
        <x:f>J275+K253-K248</x:f>
        <x:v>367534.10578082065</x:v>
      </x:c>
      <x:c r="L275" s="75" t="n">
        <x:f>K275+L253-L248</x:f>
        <x:v>409700.53784598806</x:v>
      </x:c>
      <x:c r="M275" s="75" t="n">
        <x:f>L275+M253-M248</x:f>
        <x:v>449974.64281123545</x:v>
      </x:c>
      <x:c r="N275" s="75" t="n">
        <x:f>M275+N253-N248</x:f>
        <x:v>526916.5729527642</x:v>
      </x:c>
      <x:c r="O275" s="75" t="n">
        <x:f>N275+O253-O248</x:f>
        <x:v>599390.9736820196</x:v>
      </x:c>
      <x:c r="P275" s="75" t="n">
        <x:f>O275+P253-P248</x:f>
        <x:v>667566.5479938544</x:v>
      </x:c>
      <x:c r="Q275" s="75" t="n">
        <x:f>P275+Q253-Q248</x:f>
        <x:v>735086.1033916342</x:v>
      </x:c>
      <x:c r="R275" s="75" t="n">
        <x:f>Q275+R253-R248</x:f>
        <x:v>799297.043144427</x:v>
      </x:c>
      <x:c r="S275" s="75" t="n">
        <x:f>R275+S253-S248</x:f>
        <x:v>860444.4511034875</x:v>
      </x:c>
      <x:c r="T275" s="75" t="n">
        <x:f>S275+T253-T248</x:f>
        <x:v>960518.4559235137</x:v>
      </x:c>
      <x:c r="U275" s="75" t="n">
        <x:f>T275+U253-U248</x:f>
        <x:v>1056269.756612829</x:v>
      </x:c>
      <x:c r="V275" s="75" t="n">
        <x:f>U275+V253-V248</x:f>
        <x:v>1148052.8420582698</x:v>
      </x:c>
      <x:c r="W275" s="75" t="n">
        <x:f>V275+W253-W248</x:f>
        <x:v>1236268.2665215535</x:v>
      </x:c>
      <x:c r="X275" s="75" t="n">
        <x:f>W275+X253-X248</x:f>
        <x:v>1321368.4596209398</x:v>
      </x:c>
      <x:c r="Y275" s="75" t="n">
        <x:f>X275+Y253-Y248</x:f>
        <x:v>1403864.2560816277</x:v>
      </x:c>
      <x:c r="Z275" s="75" t="n">
        <x:f>Y275+Z253-Z248</x:f>
        <x:v>1518736.6810610697</x:v>
      </x:c>
      <x:c r="AA275" s="75" t="n">
        <x:f>Z275+AA253-AA248</x:f>
        <x:v>1628580.306953613</x:v>
      </x:c>
      <x:c r="AB275" s="75" t="n">
        <x:f>AA275+AB253-AB248</x:f>
        <x:v>1733656.6411266478</x:v>
      </x:c>
      <x:c r="AC275" s="75" t="n">
        <x:f>AB275+AC253-AC248</x:f>
        <x:v>1835898.9302303207</x:v>
      </x:c>
      <x:c r="AD275" s="75" t="n">
        <x:f>AC275+AD253-AD248</x:f>
        <x:v>1934100.1273881365</x:v>
      </x:c>
      <x:c r="AE275" s="75" t="n">
        <x:f>AD275+AE253-AE248</x:f>
        <x:v>2028619.7855352345</x:v>
      </x:c>
      <x:c r="AF275" s="75" t="n">
        <x:f>AE275+AF253-AF248</x:f>
        <x:v>2167611.6501755565</x:v>
      </x:c>
      <x:c r="AG275" s="75" t="n">
        <x:f>AF275+AG253-AG248</x:f>
        <x:v>2303382.9259222928</x:v>
      </x:c>
      <x:c r="AH275" s="75" t="n">
        <x:f>AG275+AH253-AH248</x:f>
        <x:v>2436424.586901868</x:v>
      </x:c>
      <x:c r="AI275" s="75" t="n">
        <x:f>AH275+AI253-AI248</x:f>
        <x:v>2567280.645913878</x:v>
      </x:c>
      <x:c r="AJ275" s="75" t="n">
        <x:f>AI275+AJ253-AJ248</x:f>
        <x:v>2696553.5520964675</x:v>
      </x:c>
      <x:c r="AK275" s="75" t="n">
        <x:f>AJ275+AK253-AK248</x:f>
        <x:v>2824910.129150469</x:v>
      </x:c>
    </x:row>
    <x:row r="276" ht="18" customHeight="1">
      <x:c r="A276" s="4" t="str">
        <x:v>Payout receivable (INR)</x:v>
      </x:c>
      <x:c r="B276" s="58" t="n">
        <x:f>'Commercial Inputs'!$B$31*B269</x:f>
        <x:v>13408.222034745764</x:v>
      </x:c>
      <x:c r="C276" s="58" t="n">
        <x:f>'Commercial Inputs'!$B$31*C269</x:f>
        <x:v>14768.655085960172</x:v>
      </x:c>
      <x:c r="D276" s="58" t="n">
        <x:f>'Commercial Inputs'!$B$31*D269</x:f>
        <x:v>16194.58221556043</x:v>
      </x:c>
      <x:c r="E276" s="58" t="n">
        <x:f>'Commercial Inputs'!$B$31*E269</x:f>
        <x:v>22412.77019843423</x:v>
      </x:c>
      <x:c r="F276" s="58" t="n">
        <x:f>'Commercial Inputs'!$B$31*F269</x:f>
        <x:v>24225.624271581855</x:v>
      </x:c>
      <x:c r="G276" s="58" t="n">
        <x:f>'Commercial Inputs'!$B$31*G269</x:f>
        <x:v>26182.52469856607</x:v>
      </x:c>
      <x:c r="H276" s="58" t="n">
        <x:f>'Commercial Inputs'!$B$31*H269</x:f>
        <x:v>38431.54614926902</x:v>
      </x:c>
      <x:c r="I276" s="58" t="n">
        <x:f>'Commercial Inputs'!$B$31*I269</x:f>
        <x:v>41027.07429941258</x:v>
      </x:c>
      <x:c r="J276" s="58" t="n">
        <x:f>'Commercial Inputs'!$B$31*J269</x:f>
        <x:v>43807.468545013646</x:v>
      </x:c>
      <x:c r="K276" s="58" t="n">
        <x:f>'Commercial Inputs'!$B$31*K269</x:f>
        <x:v>46846.558163635455</x:v>
      </x:c>
      <x:c r="L276" s="58" t="n">
        <x:f>'Commercial Inputs'!$B$31*L269</x:f>
        <x:v>50186.35956353695</x:v>
      </x:c>
      <x:c r="M276" s="58" t="n">
        <x:f>'Commercial Inputs'!$B$31*M269</x:f>
        <x:v>53872.32468011232</x:v>
      </x:c>
      <x:c r="N276" s="58" t="n">
        <x:f>'Commercial Inputs'!$B$31*N269</x:f>
        <x:v>76382.58538679172</x:v>
      </x:c>
      <x:c r="O276" s="58" t="n">
        <x:f>'Commercial Inputs'!$B$31*O269</x:f>
        <x:v>80088.02529596696</x:v>
      </x:c>
      <x:c r="P276" s="58" t="n">
        <x:f>'Commercial Inputs'!$B$31*P269</x:f>
        <x:v>83931.44239386223</x:v>
      </x:c>
      <x:c r="Q276" s="58" t="n">
        <x:f>'Commercial Inputs'!$B$31*Q269</x:f>
        <x:v>89303.47710279087</x:v>
      </x:c>
      <x:c r="R276" s="58" t="n">
        <x:f>'Commercial Inputs'!$B$31*R269</x:f>
        <x:v>93631.58044848315</x:v>
      </x:c>
      <x:c r="S276" s="58" t="n">
        <x:f>'Commercial Inputs'!$B$31*S269</x:f>
        <x:v>98253.1644565258</x:v>
      </x:c>
      <x:c r="T276" s="58" t="n">
        <x:f>'Commercial Inputs'!$B$31*T269</x:f>
        <x:v>123692.72126260542</x:v>
      </x:c>
      <x:c r="U276" s="58" t="n">
        <x:f>'Commercial Inputs'!$B$31*U269</x:f>
        <x:v>129419.51922306491</x:v>
      </x:c>
      <x:c r="V276" s="58" t="n">
        <x:f>'Commercial Inputs'!$B$31*V269</x:f>
        <x:v>135440.06149543202</x:v>
      </x:c>
      <x:c r="W276" s="58" t="n">
        <x:f>'Commercial Inputs'!$B$31*W269</x:f>
        <x:v>141863.90212251866</x:v>
      </x:c>
      <x:c r="X276" s="58" t="n">
        <x:f>'Commercial Inputs'!$B$31*X269</x:f>
        <x:v>148741.6812367389</x:v>
      </x:c>
      <x:c r="Y276" s="58" t="n">
        <x:f>'Commercial Inputs'!$B$31*Y269</x:f>
        <x:v>156126.2286822938</x:v>
      </x:c>
      <x:c r="Z276" s="58" t="n">
        <x:f>'Commercial Inputs'!$B$31*Z269</x:f>
        <x:v>179883.77969646975</x:v>
      </x:c>
      <x:c r="AA276" s="58" t="n">
        <x:f>'Commercial Inputs'!$B$31*AA269</x:f>
        <x:v>186679.16838285554</x:v>
      </x:c>
      <x:c r="AB276" s="58" t="n">
        <x:f>'Commercial Inputs'!$B$31*AB269</x:f>
        <x:v>193759.82540431505</x:v>
      </x:c>
      <x:c r="AC276" s="58" t="n">
        <x:f>'Commercial Inputs'!$B$31*AC269</x:f>
        <x:v>201896.6560829468</x:v>
      </x:c>
      <x:c r="AD276" s="58" t="n">
        <x:f>'Commercial Inputs'!$B$31*AD269</x:f>
        <x:v>209736.7116906948</x:v>
      </x:c>
      <x:c r="AE276" s="58" t="n">
        <x:f>'Commercial Inputs'!$B$31*AE269</x:f>
        <x:v>218013.12537475448</x:v>
      </x:c>
      <x:c r="AF276" s="58" t="n">
        <x:f>'Commercial Inputs'!$B$31*AF269</x:f>
        <x:v>249266.4109347975</x:v>
      </x:c>
      <x:c r="AG276" s="58" t="n">
        <x:f>'Commercial Inputs'!$B$31*AG269</x:f>
        <x:v>258905.98428029535</x:v>
      </x:c>
      <x:c r="AH276" s="58" t="n">
        <x:f>'Commercial Inputs'!$B$31*AH269</x:f>
        <x:v>269000.9854944382</x:v>
      </x:c>
      <x:c r="AI276" s="58" t="n">
        <x:f>'Commercial Inputs'!$B$31*AI269</x:f>
        <x:v>279656.75619095296</x:v>
      </x:c>
      <x:c r="AJ276" s="58" t="n">
        <x:f>'Commercial Inputs'!$B$31*AJ269</x:f>
        <x:v>290924.7456332244</x:v>
      </x:c>
      <x:c r="AK276" s="58" t="n">
        <x:f>'Commercial Inputs'!$B$31*AK269</x:f>
        <x:v>302858.002766626</x:v>
      </x:c>
    </x:row>
    <x:row r="277" ht="18" customHeight="1">
      <x:c r="A277" s="4" t="str">
        <x:v>Cash-profit bridge check: must be zero</x:v>
      </x:c>
      <x:c r="B277" s="58" t="n">
        <x:f>ROUND(B272-(B266+(B275-0)-(B276-0)),6)</x:f>
        <x:v>0</x:v>
      </x:c>
      <x:c r="C277" s="58" t="n">
        <x:f>ROUND(C272-(C266+(C275-B275)-(C276-B276)),6)</x:f>
        <x:v>0</x:v>
      </x:c>
      <x:c r="D277" s="58" t="n">
        <x:f>ROUND(D272-(D266+(D275-C275)-(D276-C276)),6)</x:f>
        <x:v>0</x:v>
      </x:c>
      <x:c r="E277" s="58" t="n">
        <x:f>ROUND(E272-(E266+(E275-D275)-(E276-D276)),6)</x:f>
        <x:v>0</x:v>
      </x:c>
      <x:c r="F277" s="58" t="n">
        <x:f>ROUND(F272-(F266+(F275-E275)-(F276-E276)),6)</x:f>
        <x:v>0</x:v>
      </x:c>
      <x:c r="G277" s="58" t="n">
        <x:f>ROUND(G272-(G266+(G275-F275)-(G276-F276)),6)</x:f>
        <x:v>0</x:v>
      </x:c>
      <x:c r="H277" s="58" t="n">
        <x:f>ROUND(H272-(H266+(H275-G275)-(H276-G276)),6)</x:f>
        <x:v>0</x:v>
      </x:c>
      <x:c r="I277" s="58" t="n">
        <x:f>ROUND(I272-(I266+(I275-H275)-(I276-H276)),6)</x:f>
        <x:v>0</x:v>
      </x:c>
      <x:c r="J277" s="58" t="n">
        <x:f>ROUND(J272-(J266+(J275-I275)-(J276-I276)),6)</x:f>
        <x:v>0</x:v>
      </x:c>
      <x:c r="K277" s="58" t="n">
        <x:f>ROUND(K272-(K266+(K275-J275)-(K276-J276)),6)</x:f>
        <x:v>0</x:v>
      </x:c>
      <x:c r="L277" s="58" t="n">
        <x:f>ROUND(L272-(L266+(L275-K275)-(L276-K276)),6)</x:f>
        <x:v>0</x:v>
      </x:c>
      <x:c r="M277" s="58" t="n">
        <x:f>ROUND(M272-(M266+(M275-L275)-(M276-L276)),6)</x:f>
        <x:v>0</x:v>
      </x:c>
      <x:c r="N277" s="58" t="n">
        <x:f>ROUND(N272-(N266+(N275-M275)-(N276-M276)),6)</x:f>
        <x:v>0</x:v>
      </x:c>
      <x:c r="O277" s="58" t="n">
        <x:f>ROUND(O272-(O266+(O275-N275)-(O276-N276)),6)</x:f>
        <x:v>0</x:v>
      </x:c>
      <x:c r="P277" s="58" t="n">
        <x:f>ROUND(P272-(P266+(P275-O275)-(P276-O276)),6)</x:f>
        <x:v>0</x:v>
      </x:c>
      <x:c r="Q277" s="58" t="n">
        <x:f>ROUND(Q272-(Q266+(Q275-P275)-(Q276-P276)),6)</x:f>
        <x:v>0</x:v>
      </x:c>
      <x:c r="R277" s="58" t="n">
        <x:f>ROUND(R272-(R266+(R275-Q275)-(R276-Q276)),6)</x:f>
        <x:v>0</x:v>
      </x:c>
      <x:c r="S277" s="58" t="n">
        <x:f>ROUND(S272-(S266+(S275-R275)-(S276-R276)),6)</x:f>
        <x:v>0</x:v>
      </x:c>
      <x:c r="T277" s="58" t="n">
        <x:f>ROUND(T272-(T266+(T275-S275)-(T276-S276)),6)</x:f>
        <x:v>0</x:v>
      </x:c>
      <x:c r="U277" s="58" t="n">
        <x:f>ROUND(U272-(U266+(U275-T275)-(U276-T276)),6)</x:f>
        <x:v>0</x:v>
      </x:c>
      <x:c r="V277" s="58" t="n">
        <x:f>ROUND(V272-(V266+(V275-U275)-(V276-U276)),6)</x:f>
        <x:v>0</x:v>
      </x:c>
      <x:c r="W277" s="58" t="n">
        <x:f>ROUND(W272-(W266+(W275-V275)-(W276-V276)),6)</x:f>
        <x:v>0</x:v>
      </x:c>
      <x:c r="X277" s="58" t="n">
        <x:f>ROUND(X272-(X266+(X275-W275)-(X276-W276)),6)</x:f>
        <x:v>0</x:v>
      </x:c>
      <x:c r="Y277" s="58" t="n">
        <x:f>ROUND(Y272-(Y266+(Y275-X275)-(Y276-X276)),6)</x:f>
        <x:v>0</x:v>
      </x:c>
      <x:c r="Z277" s="58" t="n">
        <x:f>ROUND(Z272-(Z266+(Z275-Y275)-(Z276-Y276)),6)</x:f>
        <x:v>0</x:v>
      </x:c>
      <x:c r="AA277" s="58" t="n">
        <x:f>ROUND(AA272-(AA266+(AA275-Z275)-(AA276-Z276)),6)</x:f>
        <x:v>0</x:v>
      </x:c>
      <x:c r="AB277" s="58" t="n">
        <x:f>ROUND(AB272-(AB266+(AB275-AA275)-(AB276-AA276)),6)</x:f>
        <x:v>0</x:v>
      </x:c>
      <x:c r="AC277" s="58" t="n">
        <x:f>ROUND(AC272-(AC266+(AC275-AB275)-(AC276-AB276)),6)</x:f>
        <x:v>0</x:v>
      </x:c>
      <x:c r="AD277" s="58" t="n">
        <x:f>ROUND(AD272-(AD266+(AD275-AC275)-(AD276-AC276)),6)</x:f>
        <x:v>0</x:v>
      </x:c>
      <x:c r="AE277" s="58" t="n">
        <x:f>ROUND(AE272-(AE266+(AE275-AD275)-(AE276-AD276)),6)</x:f>
        <x:v>0</x:v>
      </x:c>
      <x:c r="AF277" s="58" t="n">
        <x:f>ROUND(AF272-(AF266+(AF275-AE275)-(AF276-AE276)),6)</x:f>
        <x:v>0</x:v>
      </x:c>
      <x:c r="AG277" s="58" t="n">
        <x:f>ROUND(AG272-(AG266+(AG275-AF275)-(AG276-AF276)),6)</x:f>
        <x:v>0</x:v>
      </x:c>
      <x:c r="AH277" s="58" t="n">
        <x:f>ROUND(AH272-(AH266+(AH275-AG275)-(AH276-AG276)),6)</x:f>
        <x:v>0</x:v>
      </x:c>
      <x:c r="AI277" s="58" t="n">
        <x:f>ROUND(AI272-(AI266+(AI275-AH275)-(AI276-AH276)),6)</x:f>
        <x:v>0</x:v>
      </x:c>
      <x:c r="AJ277" s="58" t="n">
        <x:f>ROUND(AJ272-(AJ266+(AJ275-AI275)-(AJ276-AI276)),6)</x:f>
        <x:v>0</x:v>
      </x:c>
      <x:c r="AK277" s="58" t="n">
        <x:f>ROUND(AK272-(AK266+(AK275-AJ275)-(AK276-AJ276)),6)</x:f>
        <x:v>0</x:v>
      </x:c>
    </x:row>
    <x:row r="278" ht="18" customHeight="1">
      <x:c r="A278" s="4" t="str">
        <x:v>Remaining paid-service cost reserve (INR)</x:v>
      </x:c>
      <x:c r="B278" s="58" t="n">
        <x:f>B275/$B$294*'Commercial Inputs'!$B$46*('Commercial Inputs'!$B$24*$B$300+'Commercial Inputs'!$B$28)</x:f>
        <x:v>2104.6975125000004</x:v>
      </x:c>
      <x:c r="C278" s="58" t="n">
        <x:f>C275/$B$294*'Commercial Inputs'!$B$46*('Commercial Inputs'!$B$24*$B$300+'Commercial Inputs'!$B$28)</x:f>
        <x:v>4182.774345000001</x:v>
      </x:c>
      <x:c r="D278" s="58" t="n">
        <x:f>D275/$B$294*'Commercial Inputs'!$B$46*('Commercial Inputs'!$B$24*$B$300+'Commercial Inputs'!$B$28)</x:f>
        <x:v>6239.0222199</x:v>
      </x:c>
      <x:c r="E278" s="58" t="n">
        <x:f>E275/$B$294*'Commercial Inputs'!$B$46*('Commercial Inputs'!$B$24*$B$300+'Commercial Inputs'!$B$28)</x:f>
        <x:v>9010.876566288</x:v>
      </x:c>
      <x:c r="F278" s="58" t="n">
        <x:f>F275/$B$294*'Commercial Inputs'!$B$46*('Commercial Inputs'!$B$24*$B$300+'Commercial Inputs'!$B$28)</x:f>
        <x:v>11705.727720742561</x:v>
      </x:c>
      <x:c r="G278" s="58" t="n">
        <x:f>G275/$B$294*'Commercial Inputs'!$B$46*('Commercial Inputs'!$B$24*$B$300+'Commercial Inputs'!$B$28)</x:f>
        <x:v>14330.30770823167</x:v>
      </x:c>
      <x:c r="H278" s="58" t="n">
        <x:f>H275/$B$294*'Commercial Inputs'!$B$46*('Commercial Inputs'!$B$24*$B$300+'Commercial Inputs'!$B$28)</x:f>
        <x:v>18478.30524671947</x:v>
      </x:c>
      <x:c r="I278" s="58" t="n">
        <x:f>I275/$B$294*'Commercial Inputs'!$B$46*('Commercial Inputs'!$B$24*$B$300+'Commercial Inputs'!$B$28)</x:f>
        <x:v>22427.82078832581</x:v>
      </x:c>
      <x:c r="J278" s="58" t="n">
        <x:f>J275/$B$294*'Commercial Inputs'!$B$46*('Commercial Inputs'!$B$24*$B$300+'Commercial Inputs'!$B$28)</x:f>
        <x:v>26188.31234342491</x:v>
      </x:c>
      <x:c r="K278" s="58" t="n">
        <x:f>K275/$B$294*'Commercial Inputs'!$B$46*('Commercial Inputs'!$B$24*$B$300+'Commercial Inputs'!$B$28)</x:f>
        <x:v>29770.372883635904</x:v>
      </x:c>
      <x:c r="L278" s="58" t="n">
        <x:f>L275/$B$294*'Commercial Inputs'!$B$46*('Commercial Inputs'!$B$24*$B$300+'Commercial Inputs'!$B$28)</x:f>
        <x:v>33185.86653717221</x:v>
      </x:c>
      <x:c r="M278" s="58" t="n">
        <x:f>M275/$B$294*'Commercial Inputs'!$B$46*('Commercial Inputs'!$B$24*$B$300+'Commercial Inputs'!$B$28)</x:f>
        <x:v>36448.081127632875</x:v>
      </x:c>
      <x:c r="N278" s="58" t="n">
        <x:f>N275/$B$294*'Commercial Inputs'!$B$46*('Commercial Inputs'!$B$24*$B$300+'Commercial Inputs'!$B$28)</x:f>
        <x:v>42680.40056322281</x:v>
      </x:c>
      <x:c r="O278" s="58" t="n">
        <x:f>O275/$B$294*'Commercial Inputs'!$B$46*('Commercial Inputs'!$B$24*$B$300+'Commercial Inputs'!$B$28)</x:f>
        <x:v>48550.84877548932</x:v>
      </x:c>
      <x:c r="P278" s="58" t="n">
        <x:f>P275/$B$294*'Commercial Inputs'!$B$46*('Commercial Inputs'!$B$24*$B$300+'Commercial Inputs'!$B$28)</x:f>
        <x:v>54073.090757651684</x:v>
      </x:c>
      <x:c r="Q278" s="58" t="n">
        <x:f>Q275/$B$294*'Commercial Inputs'!$B$46*('Commercial Inputs'!$B$24*$B$300+'Commercial Inputs'!$B$28)</x:f>
        <x:v>59542.19501087146</x:v>
      </x:c>
      <x:c r="R278" s="58" t="n">
        <x:f>R275/$B$294*'Commercial Inputs'!$B$46*('Commercial Inputs'!$B$24*$B$300+'Commercial Inputs'!$B$28)</x:f>
        <x:v>64743.300403766065</x:v>
      </x:c>
      <x:c r="S278" s="58" t="n">
        <x:f>S275/$B$294*'Commercial Inputs'!$B$46*('Commercial Inputs'!$B$24*$B$300+'Commercial Inputs'!$B$28)</x:f>
        <x:v>69696.25880184905</x:v>
      </x:c>
      <x:c r="T278" s="58" t="n">
        <x:f>T275/$B$294*'Commercial Inputs'!$B$46*('Commercial Inputs'!$B$24*$B$300+'Commercial Inputs'!$B$28)</x:f>
        <x:v>77802.28322949124</x:v>
      </x:c>
      <x:c r="U278" s="58" t="n">
        <x:f>U275/$B$294*'Commercial Inputs'!$B$46*('Commercial Inputs'!$B$24*$B$300+'Commercial Inputs'!$B$28)</x:f>
        <x:v>85558.16732508586</x:v>
      </x:c>
      <x:c r="V278" s="58" t="n">
        <x:f>V275/$B$294*'Commercial Inputs'!$B$46*('Commercial Inputs'!$B$24*$B$300+'Commercial Inputs'!$B$28)</x:f>
        <x:v>92992.62479486654</x:v>
      </x:c>
      <x:c r="W278" s="58" t="n">
        <x:f>W275/$B$294*'Commercial Inputs'!$B$46*('Commercial Inputs'!$B$24*$B$300+'Commercial Inputs'!$B$28)</x:f>
        <x:v>100138.10065425879</x:v>
      </x:c>
      <x:c r="X278" s="58" t="n">
        <x:f>X275/$B$294*'Commercial Inputs'!$B$46*('Commercial Inputs'!$B$24*$B$300+'Commercial Inputs'!$B$28)</x:f>
        <x:v>107031.24183813843</x:v>
      </x:c>
      <x:c r="Y278" s="58" t="n">
        <x:f>Y275/$B$294*'Commercial Inputs'!$B$46*('Commercial Inputs'!$B$24*$B$300+'Commercial Inputs'!$B$28)</x:f>
        <x:v>113713.42611257367</x:v>
      </x:c>
      <x:c r="Z278" s="58" t="n">
        <x:f>Z275/$B$294*'Commercial Inputs'!$B$46*('Commercial Inputs'!$B$24*$B$300+'Commercial Inputs'!$B$28)</x:f>
        <x:v>123018.12701487543</x:v>
      </x:c>
      <x:c r="AA278" s="58" t="n">
        <x:f>AA275/$B$294*'Commercial Inputs'!$B$46*('Commercial Inputs'!$B$24*$B$300+'Commercial Inputs'!$B$28)</x:f>
        <x:v>131915.49368174397</x:v>
      </x:c>
      <x:c r="AB278" s="58" t="n">
        <x:f>AB275/$B$294*'Commercial Inputs'!$B$46*('Commercial Inputs'!$B$24*$B$300+'Commercial Inputs'!$B$28)</x:f>
        <x:v>140426.7082884294</x:v>
      </x:c>
      <x:c r="AC278" s="58" t="n">
        <x:f>AC275/$B$294*'Commercial Inputs'!$B$46*('Commercial Inputs'!$B$24*$B$300+'Commercial Inputs'!$B$28)</x:f>
        <x:v>148708.36439385763</x:v>
      </x:c>
      <x:c r="AD278" s="58" t="n">
        <x:f>AD275/$B$294*'Commercial Inputs'!$B$46*('Commercial Inputs'!$B$24*$B$300+'Commercial Inputs'!$B$28)</x:f>
        <x:v>156662.6908387374</x:v>
      </x:c>
      <x:c r="AE278" s="58" t="n">
        <x:f>AE275/$B$294*'Commercial Inputs'!$B$46*('Commercial Inputs'!$B$24*$B$300+'Commercial Inputs'!$B$28)</x:f>
        <x:v>164318.81151873484</x:v>
      </x:c>
      <x:c r="AF278" s="58" t="n">
        <x:f>AF275/$B$294*'Commercial Inputs'!$B$46*('Commercial Inputs'!$B$24*$B$300+'Commercial Inputs'!$B$28)</x:f>
        <x:v>175577.1942730195</x:v>
      </x:c>
      <x:c r="AG278" s="58" t="n">
        <x:f>AG275/$B$294*'Commercial Inputs'!$B$46*('Commercial Inputs'!$B$24*$B$300+'Commercial Inputs'!$B$28)</x:f>
        <x:v>186574.7083602638</x:v>
      </x:c>
      <x:c r="AH278" s="58" t="n">
        <x:f>AH275/$B$294*'Commercial Inputs'!$B$46*('Commercial Inputs'!$B$24*$B$300+'Commercial Inputs'!$B$28)</x:f>
        <x:v>197351.12283207392</x:v>
      </x:c>
      <x:c r="AI278" s="58" t="n">
        <x:f>AI275/$B$294*'Commercial Inputs'!$B$46*('Commercial Inputs'!$B$24*$B$300+'Commercial Inputs'!$B$28)</x:f>
        <x:v>207950.5028885026</x:v>
      </x:c>
      <x:c r="AJ278" s="58" t="n">
        <x:f>AJ275/$B$294*'Commercial Inputs'!$B$46*('Commercial Inputs'!$B$24*$B$300+'Commercial Inputs'!$B$28)</x:f>
        <x:v>218421.64709056483</x:v>
      </x:c>
      <x:c r="AK278" s="58" t="n">
        <x:f>AK275/$B$294*'Commercial Inputs'!$B$46*('Commercial Inputs'!$B$24*$B$300+'Commercial Inputs'!$B$28)</x:f>
        <x:v>228818.5683581752</x:v>
      </x:c>
    </x:row>
    <x:row r="279" ht="18" customHeight="1">
      <x:c r="A279" s="4" t="str">
        <x:v>Forward liquidity buffer (INR)</x:v>
      </x:c>
      <x:c r="B279" s="58" t="n">
        <x:f>'Commercial Inputs'!$B$34*(SUM(B262:B264)+B257+B226)</x:f>
        <x:v>68079.15</x:v>
      </x:c>
      <x:c r="C279" s="58" t="n">
        <x:f>'Commercial Inputs'!$B$34*(SUM(C262:C264)+C257+C226)</x:f>
        <x:v>68520.10565943</x:v>
      </x:c>
      <x:c r="D279" s="58" t="n">
        <x:f>'Commercial Inputs'!$B$34*(SUM(D262:D264)+D257+D226)</x:f>
        <x:v>69043.96083567082</x:v>
      </x:c>
      <x:c r="E279" s="58" t="n">
        <x:f>'Commercial Inputs'!$B$34*(SUM(E262:E264)+E257+E226)</x:f>
        <x:v>92283.97504324361</x:v>
      </x:c>
      <x:c r="F279" s="58" t="n">
        <x:f>'Commercial Inputs'!$B$34*(SUM(F262:F264)+F257+F226)</x:f>
        <x:v>93047.46809288519</x:v>
      </x:c>
      <x:c r="G279" s="58" t="n">
        <x:f>'Commercial Inputs'!$B$34*(SUM(G262:G264)+G257+G226)</x:f>
        <x:v>93852.456165939</x:v>
      </x:c>
      <x:c r="H279" s="58" t="n">
        <x:f>'Commercial Inputs'!$B$34*(SUM(H262:H264)+H257+H226)</x:f>
        <x:v>143849.71137107117</x:v>
      </x:c>
      <x:c r="I279" s="58" t="n">
        <x:f>'Commercial Inputs'!$B$34*(SUM(I262:I264)+I257+I226)</x:f>
        <x:v>145117.045187102</x:v>
      </x:c>
      <x:c r="J279" s="58" t="n">
        <x:f>'Commercial Inputs'!$B$34*(SUM(J262:J264)+J257+J226)</x:f>
        <x:v>146438.44423757336</x:v>
      </x:c>
      <x:c r="K279" s="58" t="n">
        <x:f>'Commercial Inputs'!$B$34*(SUM(K262:K264)+K257+K226)</x:f>
        <x:v>147832.8803363299</x:v>
      </x:c>
      <x:c r="L279" s="58" t="n">
        <x:f>'Commercial Inputs'!$B$34*(SUM(L262:L264)+L257+L226)</x:f>
        <x:v>149311.77037183152</x:v>
      </x:c>
      <x:c r="M279" s="58" t="n">
        <x:f>'Commercial Inputs'!$B$34*(SUM(M262:M264)+M257+M226)</x:f>
        <x:v>180887.5129415471</x:v>
      </x:c>
      <x:c r="N279" s="58" t="n">
        <x:f>'Commercial Inputs'!$B$34*(SUM(N262:N264)+N257+N226)</x:f>
        <x:v>306614.7828744952</x:v>
      </x:c>
      <x:c r="O279" s="58" t="n">
        <x:f>'Commercial Inputs'!$B$34*(SUM(O262:O264)+O257+O226)</x:f>
        <x:v>308580.42949057935</x:v>
      </x:c>
      <x:c r="P279" s="58" t="n">
        <x:f>'Commercial Inputs'!$B$34*(SUM(P262:P264)+P257+P226)</x:f>
        <x:v>310580.0945601568</x:v>
      </x:c>
      <x:c r="Q279" s="58" t="n">
        <x:f>'Commercial Inputs'!$B$34*(SUM(Q262:Q264)+Q257+Q226)</x:f>
        <x:v>312538.1106554816</x:v>
      </x:c>
      <x:c r="R279" s="58" t="n">
        <x:f>'Commercial Inputs'!$B$34*(SUM(R262:R264)+R257+R226)</x:f>
        <x:v>314556.6687841228</x:v>
      </x:c>
      <x:c r="S279" s="58" t="n">
        <x:f>'Commercial Inputs'!$B$34*(SUM(S262:S264)+S257+S226)</x:f>
        <x:v>316642.2743224199</x:v>
      </x:c>
      <x:c r="T279" s="58" t="n">
        <x:f>'Commercial Inputs'!$B$34*(SUM(T262:T264)+T257+T226)</x:f>
        <x:v>413025.2123702379</x:v>
      </x:c>
      <x:c r="U279" s="58" t="n">
        <x:f>'Commercial Inputs'!$B$34*(SUM(U262:U264)+U257+U226)</x:f>
        <x:v>415666.95622675546</x:v>
      </x:c>
      <x:c r="V279" s="58" t="n">
        <x:f>'Commercial Inputs'!$B$34*(SUM(V262:V264)+V257+V226)</x:f>
        <x:v>418368.1501646342</x:v>
      </x:c>
      <x:c r="W279" s="58" t="n">
        <x:f>'Commercial Inputs'!$B$34*(SUM(W262:W264)+W257+W226)</x:f>
        <x:v>466151.77838441863</x:v>
      </x:c>
      <x:c r="X279" s="58" t="n">
        <x:f>'Commercial Inputs'!$B$34*(SUM(X262:X264)+X257+X226)</x:f>
        <x:v>469025.9954803051</x:v>
      </x:c>
      <x:c r="Y279" s="58" t="n">
        <x:f>'Commercial Inputs'!$B$34*(SUM(Y262:Y264)+Y257+Y226)</x:f>
        <x:v>471998.8125839977</x:v>
      </x:c>
      <x:c r="Z279" s="58" t="n">
        <x:f>'Commercial Inputs'!$B$34*(SUM(Z262:Z264)+Z257+Z226)</x:f>
        <x:v>613848.8462365422</x:v>
      </x:c>
      <x:c r="AA279" s="58" t="n">
        <x:f>'Commercial Inputs'!$B$34*(SUM(AA262:AA264)+AA257+AA226)</x:f>
        <x:v>616982.5860903319</x:v>
      </x:c>
      <x:c r="AB279" s="58" t="n">
        <x:f>'Commercial Inputs'!$B$34*(SUM(AB262:AB264)+AB257+AB226)</x:f>
        <x:v>620185.2031538672</x:v>
      </x:c>
      <x:c r="AC279" s="58" t="n">
        <x:f>'Commercial Inputs'!$B$34*(SUM(AC262:AC264)+AC257+AC226)</x:f>
        <x:v>623454.6997433277</x:v>
      </x:c>
      <x:c r="AD279" s="58" t="n">
        <x:f>'Commercial Inputs'!$B$34*(SUM(AD262:AD264)+AD257+AD226)</x:f>
        <x:v>626816.115481741</x:v>
      </x:c>
      <x:c r="AE279" s="58" t="n">
        <x:f>'Commercial Inputs'!$B$34*(SUM(AE262:AE264)+AE257+AE226)</x:f>
        <x:v>630275.9862552356</x:v>
      </x:c>
      <x:c r="AF279" s="58" t="n">
        <x:f>'Commercial Inputs'!$B$34*(SUM(AF262:AF264)+AF257+AF226)</x:f>
        <x:v>727807.9812729241</x:v>
      </x:c>
      <x:c r="AG279" s="58" t="n">
        <x:f>'Commercial Inputs'!$B$34*(SUM(AG262:AG264)+AG257+AG226)</x:f>
        <x:v>731636.3780228484</x:v>
      </x:c>
      <x:c r="AH279" s="58" t="n">
        <x:f>'Commercial Inputs'!$B$34*(SUM(AH262:AH264)+AH257+AH226)</x:f>
        <x:v>735557.4847699646</x:v>
      </x:c>
      <x:c r="AI279" s="58" t="n">
        <x:f>'Commercial Inputs'!$B$34*(SUM(AI262:AI264)+AI257+AI226)</x:f>
        <x:v>739592.3418946629</x:v>
      </x:c>
      <x:c r="AJ279" s="58" t="n">
        <x:f>'Commercial Inputs'!$B$34*(SUM(AJ262:AJ264)+AJ257+AJ226)</x:f>
        <x:v>743748.3834388795</x:v>
      </x:c>
      <x:c r="AK279" s="58" t="n">
        <x:f>'Commercial Inputs'!$B$34*(SUM(AK262:AK264)+AK257+AK226)</x:f>
        <x:v>748032.7858768012</x:v>
      </x:c>
    </x:row>
    <x:row r="280" ht="18" customHeight="1">
      <x:c r="A280" s="4" t="str">
        <x:v>Cash after service / liquidity reserves</x:v>
      </x:c>
      <x:c r="B280" s="58" t="n">
        <x:f>B274-B278-B279</x:f>
        <x:v>-82.935327754225</x:v>
      </x:c>
      <x:c r="C280" s="58" t="n">
        <x:f>C274-C278-C279</x:f>
        <x:v>1835.7535880367068</x:v>
      </x:c>
      <x:c r="D280" s="58" t="n">
        <x:f>D274-D278-D279</x:f>
        <x:v>6008.338812592658</x:v>
      </x:c>
      <x:c r="E280" s="58" t="n">
        <x:f>E274-E278-E279</x:f>
        <x:v>-13885.233992990266</x:v>
      </x:c>
      <x:c r="F280" s="58" t="n">
        <x:f>F274-F278-F279</x:f>
        <x:v>-3874.1649701062124</x:v>
      </x:c>
      <x:c r="G280" s="58" t="n">
        <x:f>G274-G278-G279</x:f>
        <x:v>9217.3376873995</x:v>
      </x:c>
      <x:c r="H280" s="58" t="n">
        <x:f>H274-H278-H279</x:f>
        <x:v>-31810.428805644828</x:v>
      </x:c>
      <x:c r="I280" s="58" t="n">
        <x:f>I274-I278-I279</x:f>
        <x:v>-10182.779582801042</x:v>
      </x:c>
      <x:c r="J280" s="58" t="n">
        <x:f>J274-J278-J279</x:f>
        <x:v>15788.552842026082</x:v>
      </x:c>
      <x:c r="K280" s="58" t="n">
        <x:f>K274-K278-K279</x:f>
        <x:v>46450.23828782371</x:v>
      </x:c>
      <x:c r="L280" s="58" t="n">
        <x:f>L274-L278-L279</x:f>
        <x:v>82260.50946565752</x:v>
      </x:c>
      <x:c r="M280" s="58" t="n">
        <x:f>M274-M278-M279</x:f>
        <x:v>83751.19162222161</x:v>
      </x:c>
      <x:c r="N280" s="58" t="n">
        <x:f>N274-N278-N279</x:f>
        <x:v>-29171.572443936428</x:v>
      </x:c>
      <x:c r="O280" s="58" t="n">
        <x:f>O274-O278-O279</x:f>
        <x:v>6520.125869469484</x:v>
      </x:c>
      <x:c r="P280" s="58" t="n">
        <x:f>P274-P278-P279</x:f>
        <x:v>48318.309033206606</x:v>
      </x:c>
      <x:c r="Q280" s="58" t="n">
        <x:f>Q274-Q278-Q279</x:f>
        <x:v>97663.6674896318</x:v>
      </x:c>
      <x:c r="R280" s="58" t="n">
        <x:f>R274-R278-R279</x:f>
        <x:v>155131.4548502026</x:v>
      </x:c>
      <x:c r="S280" s="58" t="n">
        <x:f>S274-S278-S279</x:f>
        <x:v>219881.55766888265</x:v>
      </x:c>
      <x:c r="T280" s="58" t="n">
        <x:f>T274-T278-T279</x:f>
        <x:v>183133.69922127703</x:v>
      </x:c>
      <x:c r="U280" s="58" t="n">
        <x:f>U274-U278-U279</x:f>
        <x:v>269305.55933859263</x:v>
      </x:c>
      <x:c r="V280" s="58" t="n">
        <x:f>V274-V278-V279</x:f>
        <x:v>365091.7355130232</x:v>
      </x:c>
      <x:c r="W280" s="58" t="n">
        <x:f>W274-W278-W279</x:f>
        <x:v>411054.87008591247</x:v>
      </x:c>
      <x:c r="X280" s="58" t="n">
        <x:f>X274-X278-X279</x:f>
        <x:v>512920.3274448505</x:v>
      </x:c>
      <x:c r="Y280" s="58" t="n">
        <x:f>Y274-Y278-Y279</x:f>
        <x:v>626504.3147526355</x:v>
      </x:c>
      <x:c r="Z280" s="58" t="n">
        <x:f>Z274-Z278-Z279</x:f>
        <x:v>580280.7548352467</x:v>
      </x:c>
      <x:c r="AA280" s="58" t="n">
        <x:f>AA274-AA278-AA279</x:f>
        <x:v>700960.3158021527</x:v>
      </x:c>
      <x:c r="AB280" s="58" t="n">
        <x:f>AB274-AB278-AB279</x:f>
        <x:v>832995.1518008978</x:v>
      </x:c>
      <x:c r="AC280" s="58" t="n">
        <x:f>AC274-AC278-AC279</x:f>
        <x:v>977488.513215642</x:v>
      </x:c>
      <x:c r="AD280" s="58" t="n">
        <x:f>AD274-AD278-AD279</x:f>
        <x:v>1135204.4673675813</x:v>
      </x:c>
      <x:c r="AE280" s="58" t="n">
        <x:f>AE274-AE278-AE279</x:f>
        <x:v>1306153.8325758674</x:v>
      </x:c>
      <x:c r="AF280" s="58" t="n">
        <x:f>AF274-AF278-AF279</x:f>
        <x:v>1383743.877415129</x:v>
      </x:c>
      <x:c r="AG280" s="58" t="n">
        <x:f>AG274-AG278-AG279</x:f>
        <x:v>1592767.1757226635</x:v>
      </x:c>
      <x:c r="AH280" s="58" t="n">
        <x:f>AH274-AH278-AH279</x:f>
        <x:v>1818140.5009673322</x:v>
      </x:c>
      <x:c r="AI280" s="58" t="n">
        <x:f>AI274-AI278-AI279</x:f>
        <x:v>2060705.859200344</x:v>
      </x:c>
      <x:c r="AJ280" s="58" t="n">
        <x:f>AJ274-AJ278-AJ279</x:f>
        <x:v>2321463.3946955553</x:v>
      </x:c>
      <x:c r="AK280" s="58" t="n">
        <x:f>AK274-AK278-AK279</x:f>
        <x:v>2601505.4376585823</x:v>
      </x:c>
    </x:row>
    <x:row r="281" ht="18" customHeight="1">
      <x:c r="A281" s="4" t="str">
        <x:v>Cumulative earned operating profit (INR)</x:v>
      </x:c>
      <x:c r="B281" s="58" t="n">
        <x:f>0+B266</x:f>
        <x:v>-42474.68940338983</x:v>
      </x:c>
      <x:c r="C281" s="58" t="n">
        <x:f>B281+C266</x:f>
        <x:v>-62331.70941479347</x:v>
      </x:c>
      <x:c r="D281" s="58" t="n">
        <x:f>C281+D266</x:f>
        <x:v>-79538.77617475069</x:v>
      </x:c>
      <x:c r="E281" s="58" t="n">
        <x:f>D281+E266</x:f>
        <x:v>-101422.5896677363</x:v>
      </x:c>
      <x:c r="F281" s="58" t="n">
        <x:f>E281+F266</x:f>
        <x:v>-119409.96642400848</x:v>
      </x:c>
      <x:c r="G281" s="58" t="n">
        <x:f>F281+G266</x:f>
        <x:v>-133334.0972789233</x:v>
      </x:c>
      <x:c r="H281" s="58" t="n">
        <x:f>G281+H266</x:f>
        <x:v>-159177.2459715409</x:v>
      </x:c>
      <x:c r="I281" s="58" t="n">
        <x:f>H281+I266</x:f>
        <x:v>-178496.48969162814</x:v>
      </x:c>
      <x:c r="J281" s="58" t="n">
        <x:f>I281+J266</x:f>
        <x:v>-191088.52205065265</x:v>
      </x:c>
      <x:c r="K281" s="58" t="n">
        <x:f>J281+K266</x:f>
        <x:v>-196634.05610939563</x:v>
      </x:c>
      <x:c r="L281" s="58" t="n">
        <x:f>K281+L266</x:f>
        <x:v>-194756.0319077898</x:v>
      </x:c>
      <x:c r="M281" s="58" t="n">
        <x:f>L281+M266</x:f>
        <x:v>-195015.53243972152</x:v>
      </x:c>
      <x:c r="N281" s="58" t="n">
        <x:f>M281+N266</x:f>
        <x:v>-230410.37657219084</x:v>
      </x:c>
      <x:c r="O281" s="58" t="n">
        <x:f>N281+O266</x:f>
        <x:v>-255651.54425051442</x:v>
      </x:c>
      <x:c r="P281" s="58" t="n">
        <x:f>O281+P266</x:f>
        <x:v>-270663.6112489769</x:v>
      </x:c>
      <x:c r="Q281" s="58" t="n">
        <x:f>P281+Q266</x:f>
        <x:v>-276038.65313285834</x:v>
      </x:c>
      <x:c r="R281" s="58" t="n">
        <x:f>Q281+R266</x:f>
        <x:v>-271234.03865785233</x:v>
      </x:c>
      <x:c r="S281" s="58" t="n">
        <x:f>R281+S266</x:f>
        <x:v>-255971.19585381</x:v>
      </x:c>
      <x:c r="T281" s="58" t="n">
        <x:f>S281+T266</x:f>
        <x:v>-262864.53983990196</x:v>
      </x:c>
      <x:c r="U281" s="58" t="n">
        <x:f>T281+U266</x:f>
        <x:v>-256319.55449932982</x:v>
      </x:c>
      <x:c r="V281" s="58" t="n">
        <x:f>U281+V266</x:f>
        <x:v>-236160.2700903135</x:v>
      </x:c>
      <x:c r="W281" s="58" t="n">
        <x:f>V281+W266</x:f>
        <x:v>-217059.61527444463</x:v>
      </x:c>
      <x:c r="X281" s="58" t="n">
        <x:f>W281+X266</x:f>
        <x:v>-183649.2136209064</x:v>
      </x:c>
      <x:c r="Y281" s="58" t="n">
        <x:f>X281+Y266</x:f>
        <x:v>-135521.47395012676</x:v>
      </x:c>
      <x:c r="Z281" s="58" t="n">
        <x:f>Y281+Z266</x:f>
        <x:v>-121705.17327793551</x:v>
      </x:c>
      <x:c r="AA281" s="58" t="n">
        <x:f>Z281+AA266</x:f>
        <x:v>-92042.74299652874</x:v>
      </x:c>
      <x:c r="AB281" s="58" t="n">
        <x:f>AA281+AB266</x:f>
        <x:v>-46289.75247913852</x:v>
      </x:c>
      <x:c r="AC281" s="58" t="n">
        <x:f>AB281+AC266</x:f>
        <x:v>15649.303205453383</x:v>
      </x:c>
      <x:c r="AD281" s="58" t="n">
        <x:f>AC281+AD266</x:f>
        <x:v>94319.8579906181</x:v>
      </x:c>
      <x:c r="AE281" s="58" t="n">
        <x:f>AD281+AE266</x:f>
        <x:v>190141.97018935735</x:v>
      </x:c>
      <x:c r="AF281" s="58" t="n">
        <x:f>AE281+AF266</x:f>
        <x:v>268783.8137203134</x:v>
      </x:c>
      <x:c r="AG281" s="58" t="n">
        <x:f>AF281+AG266</x:f>
        <x:v>366501.32046377775</x:v>
      </x:c>
      <x:c r="AH281" s="58" t="n">
        <x:f>AG281+AH266</x:f>
        <x:v>483625.5071619407</x:v>
      </x:c>
      <x:c r="AI281" s="58" t="n">
        <x:f>AH281+AI266</x:f>
        <x:v>620624.8142605843</x:v>
      </x:c>
      <x:c r="AJ281" s="58" t="n">
        <x:f>AI281+AJ266</x:f>
        <x:v>778004.6187617566</x:v>
      </x:c>
      <x:c r="AK281" s="58" t="n">
        <x:f>AJ281+AK266</x:f>
        <x:v>956304.6655097152</x:v>
      </x:c>
    </x:row>
    <x:row r="282" ht="18" customHeight="1">
      <x:c r="A282" s="4" t="str">
        <x:v>Pre-tax retained-profit / liquidity cap</x:v>
      </x:c>
      <x:c r="B282" s="58" t="n">
        <x:f>MAX(0,MIN(B281,B280))</x:f>
        <x:v>0</x:v>
      </x:c>
      <x:c r="C282" s="58" t="n">
        <x:f>MAX(0,MIN(C281,C280))</x:f>
        <x:v>0</x:v>
      </x:c>
      <x:c r="D282" s="58" t="n">
        <x:f>MAX(0,MIN(D281,D280))</x:f>
        <x:v>0</x:v>
      </x:c>
      <x:c r="E282" s="58" t="n">
        <x:f>MAX(0,MIN(E281,E280))</x:f>
        <x:v>0</x:v>
      </x:c>
      <x:c r="F282" s="58" t="n">
        <x:f>MAX(0,MIN(F281,F280))</x:f>
        <x:v>0</x:v>
      </x:c>
      <x:c r="G282" s="58" t="n">
        <x:f>MAX(0,MIN(G281,G280))</x:f>
        <x:v>0</x:v>
      </x:c>
      <x:c r="H282" s="58" t="n">
        <x:f>MAX(0,MIN(H281,H280))</x:f>
        <x:v>0</x:v>
      </x:c>
      <x:c r="I282" s="58" t="n">
        <x:f>MAX(0,MIN(I281,I280))</x:f>
        <x:v>0</x:v>
      </x:c>
      <x:c r="J282" s="58" t="n">
        <x:f>MAX(0,MIN(J281,J280))</x:f>
        <x:v>0</x:v>
      </x:c>
      <x:c r="K282" s="58" t="n">
        <x:f>MAX(0,MIN(K281,K280))</x:f>
        <x:v>0</x:v>
      </x:c>
      <x:c r="L282" s="58" t="n">
        <x:f>MAX(0,MIN(L281,L280))</x:f>
        <x:v>0</x:v>
      </x:c>
      <x:c r="M282" s="58" t="n">
        <x:f>MAX(0,MIN(M281,M280))</x:f>
        <x:v>0</x:v>
      </x:c>
      <x:c r="N282" s="58" t="n">
        <x:f>MAX(0,MIN(N281,N280))</x:f>
        <x:v>0</x:v>
      </x:c>
      <x:c r="O282" s="58" t="n">
        <x:f>MAX(0,MIN(O281,O280))</x:f>
        <x:v>0</x:v>
      </x:c>
      <x:c r="P282" s="58" t="n">
        <x:f>MAX(0,MIN(P281,P280))</x:f>
        <x:v>0</x:v>
      </x:c>
      <x:c r="Q282" s="58" t="n">
        <x:f>MAX(0,MIN(Q281,Q280))</x:f>
        <x:v>0</x:v>
      </x:c>
      <x:c r="R282" s="58" t="n">
        <x:f>MAX(0,MIN(R281,R280))</x:f>
        <x:v>0</x:v>
      </x:c>
      <x:c r="S282" s="58" t="n">
        <x:f>MAX(0,MIN(S281,S280))</x:f>
        <x:v>0</x:v>
      </x:c>
      <x:c r="T282" s="58" t="n">
        <x:f>MAX(0,MIN(T281,T280))</x:f>
        <x:v>0</x:v>
      </x:c>
      <x:c r="U282" s="58" t="n">
        <x:f>MAX(0,MIN(U281,U280))</x:f>
        <x:v>0</x:v>
      </x:c>
      <x:c r="V282" s="58" t="n">
        <x:f>MAX(0,MIN(V281,V280))</x:f>
        <x:v>0</x:v>
      </x:c>
      <x:c r="W282" s="58" t="n">
        <x:f>MAX(0,MIN(W281,W280))</x:f>
        <x:v>0</x:v>
      </x:c>
      <x:c r="X282" s="58" t="n">
        <x:f>MAX(0,MIN(X281,X280))</x:f>
        <x:v>0</x:v>
      </x:c>
      <x:c r="Y282" s="58" t="n">
        <x:f>MAX(0,MIN(Y281,Y280))</x:f>
        <x:v>0</x:v>
      </x:c>
      <x:c r="Z282" s="58" t="n">
        <x:f>MAX(0,MIN(Z281,Z280))</x:f>
        <x:v>0</x:v>
      </x:c>
      <x:c r="AA282" s="58" t="n">
        <x:f>MAX(0,MIN(AA281,AA280))</x:f>
        <x:v>0</x:v>
      </x:c>
      <x:c r="AB282" s="58" t="n">
        <x:f>MAX(0,MIN(AB281,AB280))</x:f>
        <x:v>0</x:v>
      </x:c>
      <x:c r="AC282" s="58" t="n">
        <x:f>MAX(0,MIN(AC281,AC280))</x:f>
        <x:v>15649.303205453383</x:v>
      </x:c>
      <x:c r="AD282" s="58" t="n">
        <x:f>MAX(0,MIN(AD281,AD280))</x:f>
        <x:v>94319.8579906181</x:v>
      </x:c>
      <x:c r="AE282" s="58" t="n">
        <x:f>MAX(0,MIN(AE281,AE280))</x:f>
        <x:v>190141.97018935735</x:v>
      </x:c>
      <x:c r="AF282" s="58" t="n">
        <x:f>MAX(0,MIN(AF281,AF280))</x:f>
        <x:v>268783.8137203134</x:v>
      </x:c>
      <x:c r="AG282" s="58" t="n">
        <x:f>MAX(0,MIN(AG281,AG280))</x:f>
        <x:v>366501.32046377775</x:v>
      </x:c>
      <x:c r="AH282" s="58" t="n">
        <x:f>MAX(0,MIN(AH281,AH280))</x:f>
        <x:v>483625.5071619407</x:v>
      </x:c>
      <x:c r="AI282" s="58" t="n">
        <x:f>MAX(0,MIN(AI281,AI280))</x:f>
        <x:v>620624.8142605843</x:v>
      </x:c>
      <x:c r="AJ282" s="58" t="n">
        <x:f>MAX(0,MIN(AJ281,AJ280))</x:f>
        <x:v>778004.6187617566</x:v>
      </x:c>
      <x:c r="AK282" s="58" t="n">
        <x:f>MAX(0,MIN(AK281,AK280))</x:f>
        <x:v>956304.6655097152</x:v>
      </x:c>
    </x:row>
    <x:row r="283" ht="18" customHeight="1">
      <x:c r="A283" s="74" t="str">
        <x:v>Revenue run rate: current month x 12</x:v>
      </x:c>
      <x:c r="B283" s="75" t="n">
        <x:f>B248*'Commercial Inputs'!$B$46</x:f>
        <x:v>42469.353813559326</x:v>
      </x:c>
      <x:c r="C283" s="75" t="n">
        <x:f>C248*'Commercial Inputs'!$B$46</x:f>
        <x:v>82358.82986440678</x:v>
      </x:c>
      <x:c r="D283" s="75" t="n">
        <x:f>D248*'Commercial Inputs'!$B$46</x:f>
        <x:v>123268.92388970338</x:v>
      </x:c>
      <x:c r="E283" s="75" t="n">
        <x:f>E248*'Commercial Inputs'!$B$46</x:f>
        <x:v>181551.98763085555</x:v>
      </x:c>
      <x:c r="F283" s="75" t="n">
        <x:f>F248*'Commercial Inputs'!$B$46</x:f>
        <x:v>240859.4879020486</x:v>
      </x:c>
      <x:c r="G283" s="75" t="n">
        <x:f>G248*'Commercial Inputs'!$B$46</x:f>
        <x:v>302975.68191863975</x:v>
      </x:c>
      <x:c r="H283" s="75" t="n">
        <x:f>H248*'Commercial Inputs'!$B$46</x:f>
        <x:v>400931.5924529565</x:v>
      </x:c>
      <x:c r="I283" s="75" t="n">
        <x:f>I248*'Commercial Inputs'!$B$46</x:f>
        <x:v>498915.88697314326</x:v>
      </x:c>
      <x:c r="J283" s="75" t="n">
        <x:f>J248*'Commercial Inputs'!$B$46</x:f>
        <x:v>600383.5759843483</x:v>
      </x:c>
      <x:c r="K283" s="75" t="n">
        <x:f>K248*'Commercial Inputs'!$B$46</x:f>
        <x:v>707117.2524655544</x:v>
      </x:c>
      <x:c r="L283" s="75" t="n">
        <x:f>L248*'Commercial Inputs'!$B$46</x:f>
        <x:v>820038.765169119</x:v>
      </x:c>
      <x:c r="M283" s="75" t="n">
        <x:f>M248*'Commercial Inputs'!$B$46</x:f>
        <x:v>940138.1389082111</x:v>
      </x:c>
      <x:c r="N283" s="75" t="n">
        <x:f>N248*'Commercial Inputs'!$B$46</x:f>
        <x:v>1094895.7085517934</x:v>
      </x:c>
      <x:c r="O283" s="75" t="n">
        <x:f>O248*'Commercial Inputs'!$B$46</x:f>
        <x:v>1246412.0776493265</x:v>
      </x:c>
      <x:c r="P283" s="75" t="n">
        <x:f>P248*'Commercial Inputs'!$B$46</x:f>
        <x:v>1399549.6769638758</x:v>
      </x:c>
      <x:c r="Q283" s="75" t="n">
        <x:f>Q248*'Commercial Inputs'!$B$46</x:f>
        <x:v>1549363.084970105</x:v>
      </x:c>
      <x:c r="R283" s="75" t="n">
        <x:f>R248*'Commercial Inputs'!$B$46</x:f>
        <x:v>1703424.6505376464</x:v>
      </x:c>
      <x:c r="S283" s="75" t="n">
        <x:f>S248*'Commercial Inputs'!$B$46</x:f>
        <x:v>1862299.6258763988</x:v>
      </x:c>
      <x:c r="T283" s="75" t="n">
        <x:f>T248*'Commercial Inputs'!$B$46</x:f>
        <x:v>2067350.4947856287</x:v>
      </x:c>
      <x:c r="U283" s="75" t="n">
        <x:f>U248*'Commercial Inputs'!$B$46</x:f>
        <x:v>2270537.764550712</x:v>
      </x:c>
      <x:c r="V283" s="75" t="n">
        <x:f>V248*'Commercial Inputs'!$B$46</x:f>
        <x:v>2477232.5498714414</x:v>
      </x:c>
      <x:c r="W283" s="75" t="n">
        <x:f>W248*'Commercial Inputs'!$B$46</x:f>
        <x:v>2689776.729271129</x:v>
      </x:c>
      <x:c r="X283" s="75" t="n">
        <x:f>X248*'Commercial Inputs'!$B$46</x:f>
        <x:v>2908885.8241155846</x:v>
      </x:c>
      <x:c r="Y283" s="75" t="n">
        <x:f>Y248*'Commercial Inputs'!$B$46</x:f>
        <x:v>3135254.8558524293</x:v>
      </x:c>
      <x:c r="Z283" s="75" t="n">
        <x:f>Z248*'Commercial Inputs'!$B$46</x:f>
        <x:v>3374462.9870744087</x:v>
      </x:c>
      <x:c r="AA283" s="75" t="n">
        <x:f>AA248*'Commercial Inputs'!$B$46</x:f>
        <x:v>3614357.9550800333</x:v>
      </x:c>
      <x:c r="AB283" s="75" t="n">
        <x:f>AB248*'Commercial Inputs'!$B$46</x:f>
        <x:v>3858652.26259524</x:v>
      </x:c>
      <x:c r="AC283" s="75" t="n">
        <x:f>AC248*'Commercial Inputs'!$B$46</x:f>
        <x:v>4107654.0823258273</x:v>
      </x:c>
      <x:c r="AD283" s="75" t="n">
        <x:f>AD248*'Commercial Inputs'!$B$46</x:f>
        <x:v>4363299.002940878</x:v>
      </x:c>
      <x:c r="AE283" s="75" t="n">
        <x:f>AE248*'Commercial Inputs'!$B$46</x:f>
        <x:v>4626158.845394644</x:v>
      </x:c>
      <x:c r="AF283" s="75" t="n">
        <x:f>AF248*'Commercial Inputs'!$B$46</x:f>
        <x:v>4918274.125051697</x:v>
      </x:c>
      <x:c r="AG283" s="75" t="n">
        <x:f>AG248*'Commercial Inputs'!$B$46</x:f>
        <x:v>5211620.295465205</x:v>
      </x:c>
      <x:c r="AH283" s="75" t="n">
        <x:f>AH248*'Commercial Inputs'!$B$46</x:f>
        <x:v>5511108.200018657</x:v>
      </x:c>
      <x:c r="AI283" s="75" t="n">
        <x:f>AI248*'Commercial Inputs'!$B$46</x:f>
        <x:v>5818884.735850935</x:v>
      </x:c>
      <x:c r="AJ283" s="75" t="n">
        <x:f>AJ248*'Commercial Inputs'!$B$46</x:f>
        <x:v>6135608.071595059</x:v>
      </x:c>
      <x:c r="AK283" s="75" t="n">
        <x:f>AK248*'Commercial Inputs'!$B$46</x:f>
        <x:v>6461907.384373058</x:v>
      </x:c>
    </x:row>
    <x:row r="284" ht="18" customHeight="1">
      <x:c r="A284" s="4" t="str"/>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c r="AA284" s="58"/>
      <x:c r="AB284" s="58"/>
      <x:c r="AC284" s="58"/>
      <x:c r="AD284" s="58"/>
      <x:c r="AE284" s="58"/>
      <x:c r="AF284" s="58"/>
      <x:c r="AG284" s="58"/>
      <x:c r="AH284" s="58"/>
      <x:c r="AI284" s="58"/>
      <x:c r="AJ284" s="58"/>
      <x:c r="AK284" s="58"/>
    </x:row>
    <x:row r="285" ht="18" customHeight="1">
      <x:c r="A285" s="4" t="str">
        <x:v>Annual entitlement balance check</x:v>
      </x:c>
      <x:c r="B285" s="58" t="n">
        <x:f>ROUND(B234-(0+SUM(B230:B232)-B233),6)</x:f>
        <x:v>0</x:v>
      </x:c>
      <x:c r="C285" s="58" t="n">
        <x:f>ROUND(C234-(B234+SUM(C230:C232)-C233),6)</x:f>
        <x:v>0</x:v>
      </x:c>
      <x:c r="D285" s="58" t="n">
        <x:f>ROUND(D234-(C234+SUM(D230:D232)-D233),6)</x:f>
        <x:v>0</x:v>
      </x:c>
      <x:c r="E285" s="58" t="n">
        <x:f>ROUND(E234-(D234+SUM(E230:E232)-E233),6)</x:f>
        <x:v>0</x:v>
      </x:c>
      <x:c r="F285" s="58" t="n">
        <x:f>ROUND(F234-(E234+SUM(F230:F232)-F233),6)</x:f>
        <x:v>0</x:v>
      </x:c>
      <x:c r="G285" s="58" t="n">
        <x:f>ROUND(G234-(F234+SUM(G230:G232)-G233),6)</x:f>
        <x:v>0</x:v>
      </x:c>
      <x:c r="H285" s="58" t="n">
        <x:f>ROUND(H234-(G234+SUM(H230:H232)-H233),6)</x:f>
        <x:v>0</x:v>
      </x:c>
      <x:c r="I285" s="58" t="n">
        <x:f>ROUND(I234-(H234+SUM(I230:I232)-I233),6)</x:f>
        <x:v>0</x:v>
      </x:c>
      <x:c r="J285" s="58" t="n">
        <x:f>ROUND(J234-(I234+SUM(J230:J232)-J233),6)</x:f>
        <x:v>0</x:v>
      </x:c>
      <x:c r="K285" s="58" t="n">
        <x:f>ROUND(K234-(J234+SUM(K230:K232)-K233),6)</x:f>
        <x:v>0</x:v>
      </x:c>
      <x:c r="L285" s="58" t="n">
        <x:f>ROUND(L234-(K234+SUM(L230:L232)-L233),6)</x:f>
        <x:v>0</x:v>
      </x:c>
      <x:c r="M285" s="58" t="n">
        <x:f>ROUND(M234-(L234+SUM(M230:M232)-M233),6)</x:f>
        <x:v>0</x:v>
      </x:c>
      <x:c r="N285" s="58" t="n">
        <x:f>ROUND(N234-(M234+SUM(N230:N232)-N233),6)</x:f>
        <x:v>0</x:v>
      </x:c>
      <x:c r="O285" s="58" t="n">
        <x:f>ROUND(O234-(N234+SUM(O230:O232)-O233),6)</x:f>
        <x:v>0</x:v>
      </x:c>
      <x:c r="P285" s="58" t="n">
        <x:f>ROUND(P234-(O234+SUM(P230:P232)-P233),6)</x:f>
        <x:v>0</x:v>
      </x:c>
      <x:c r="Q285" s="58" t="n">
        <x:f>ROUND(Q234-(P234+SUM(Q230:Q232)-Q233),6)</x:f>
        <x:v>0</x:v>
      </x:c>
      <x:c r="R285" s="58" t="n">
        <x:f>ROUND(R234-(Q234+SUM(R230:R232)-R233),6)</x:f>
        <x:v>0</x:v>
      </x:c>
      <x:c r="S285" s="58" t="n">
        <x:f>ROUND(S234-(R234+SUM(S230:S232)-S233),6)</x:f>
        <x:v>0</x:v>
      </x:c>
      <x:c r="T285" s="58" t="n">
        <x:f>ROUND(T234-(S234+SUM(T230:T232)-T233),6)</x:f>
        <x:v>0</x:v>
      </x:c>
      <x:c r="U285" s="58" t="n">
        <x:f>ROUND(U234-(T234+SUM(U230:U232)-U233),6)</x:f>
        <x:v>0</x:v>
      </x:c>
      <x:c r="V285" s="58" t="n">
        <x:f>ROUND(V234-(U234+SUM(V230:V232)-V233),6)</x:f>
        <x:v>0</x:v>
      </x:c>
      <x:c r="W285" s="58" t="n">
        <x:f>ROUND(W234-(V234+SUM(W230:W232)-W233),6)</x:f>
        <x:v>0</x:v>
      </x:c>
      <x:c r="X285" s="58" t="n">
        <x:f>ROUND(X234-(W234+SUM(X230:X232)-X233),6)</x:f>
        <x:v>0</x:v>
      </x:c>
      <x:c r="Y285" s="58" t="n">
        <x:f>ROUND(Y234-(X234+SUM(Y230:Y232)-Y233),6)</x:f>
        <x:v>0</x:v>
      </x:c>
      <x:c r="Z285" s="58" t="n">
        <x:f>ROUND(Z234-(Y234+SUM(Z230:Z232)-Z233),6)</x:f>
        <x:v>0</x:v>
      </x:c>
      <x:c r="AA285" s="58" t="n">
        <x:f>ROUND(AA234-(Z234+SUM(AA230:AA232)-AA233),6)</x:f>
        <x:v>0</x:v>
      </x:c>
      <x:c r="AB285" s="58" t="n">
        <x:f>ROUND(AB234-(AA234+SUM(AB230:AB232)-AB233),6)</x:f>
        <x:v>0</x:v>
      </x:c>
      <x:c r="AC285" s="58" t="n">
        <x:f>ROUND(AC234-(AB234+SUM(AC230:AC232)-AC233),6)</x:f>
        <x:v>0</x:v>
      </x:c>
      <x:c r="AD285" s="58" t="n">
        <x:f>ROUND(AD234-(AC234+SUM(AD230:AD232)-AD233),6)</x:f>
        <x:v>0</x:v>
      </x:c>
      <x:c r="AE285" s="58" t="n">
        <x:f>ROUND(AE234-(AD234+SUM(AE230:AE232)-AE233),6)</x:f>
        <x:v>0</x:v>
      </x:c>
      <x:c r="AF285" s="58" t="n">
        <x:f>ROUND(AF234-(AE234+SUM(AF230:AF232)-AF233),6)</x:f>
        <x:v>0</x:v>
      </x:c>
      <x:c r="AG285" s="58" t="n">
        <x:f>ROUND(AG234-(AF234+SUM(AG230:AG232)-AG233),6)</x:f>
        <x:v>0</x:v>
      </x:c>
      <x:c r="AH285" s="58" t="n">
        <x:f>ROUND(AH234-(AG234+SUM(AH230:AH232)-AH233),6)</x:f>
        <x:v>0</x:v>
      </x:c>
      <x:c r="AI285" s="58" t="n">
        <x:f>ROUND(AI234-(AH234+SUM(AI230:AI232)-AI233),6)</x:f>
        <x:v>0</x:v>
      </x:c>
      <x:c r="AJ285" s="58" t="n">
        <x:f>ROUND(AJ234-(AI234+SUM(AJ230:AJ232)-AJ233),6)</x:f>
        <x:v>0</x:v>
      </x:c>
      <x:c r="AK285" s="58" t="n">
        <x:f>ROUND(AK234-(AJ234+SUM(AK230:AK232)-AK233),6)</x:f>
        <x:v>0</x:v>
      </x:c>
    </x:row>
    <x:row r="286" ht="18" customHeight="1">
      <x:c r="A286" s="4" t="str">
        <x:v>Monthly charge / refund check</x:v>
      </x:c>
      <x:c r="B286" s="58" t="n">
        <x:f>ROUND(B241-B242*(1-'Scenario Inputs'!$C$29),6)</x:f>
        <x:v>0</x:v>
      </x:c>
      <x:c r="C286" s="58" t="n">
        <x:f>ROUND(C241-C242*(1-'Scenario Inputs'!$C$29),6)</x:f>
        <x:v>0</x:v>
      </x:c>
      <x:c r="D286" s="58" t="n">
        <x:f>ROUND(D241-D242*(1-'Scenario Inputs'!$C$29),6)</x:f>
        <x:v>0</x:v>
      </x:c>
      <x:c r="E286" s="58" t="n">
        <x:f>ROUND(E241-E242*(1-'Scenario Inputs'!$C$29),6)</x:f>
        <x:v>0</x:v>
      </x:c>
      <x:c r="F286" s="58" t="n">
        <x:f>ROUND(F241-F242*(1-'Scenario Inputs'!$C$29),6)</x:f>
        <x:v>0</x:v>
      </x:c>
      <x:c r="G286" s="58" t="n">
        <x:f>ROUND(G241-G242*(1-'Scenario Inputs'!$C$29),6)</x:f>
        <x:v>0</x:v>
      </x:c>
      <x:c r="H286" s="58" t="n">
        <x:f>ROUND(H241-H242*(1-'Scenario Inputs'!$C$29),6)</x:f>
        <x:v>0</x:v>
      </x:c>
      <x:c r="I286" s="58" t="n">
        <x:f>ROUND(I241-I242*(1-'Scenario Inputs'!$C$29),6)</x:f>
        <x:v>0</x:v>
      </x:c>
      <x:c r="J286" s="58" t="n">
        <x:f>ROUND(J241-J242*(1-'Scenario Inputs'!$C$29),6)</x:f>
        <x:v>0</x:v>
      </x:c>
      <x:c r="K286" s="58" t="n">
        <x:f>ROUND(K241-K242*(1-'Scenario Inputs'!$C$29),6)</x:f>
        <x:v>0</x:v>
      </x:c>
      <x:c r="L286" s="58" t="n">
        <x:f>ROUND(L241-L242*(1-'Scenario Inputs'!$C$29),6)</x:f>
        <x:v>0</x:v>
      </x:c>
      <x:c r="M286" s="58" t="n">
        <x:f>ROUND(M241-M242*(1-'Scenario Inputs'!$C$29),6)</x:f>
        <x:v>0</x:v>
      </x:c>
      <x:c r="N286" s="58" t="n">
        <x:f>ROUND(N241-N242*(1-'Scenario Inputs'!$C$29),6)</x:f>
        <x:v>0</x:v>
      </x:c>
      <x:c r="O286" s="58" t="n">
        <x:f>ROUND(O241-O242*(1-'Scenario Inputs'!$C$29),6)</x:f>
        <x:v>0</x:v>
      </x:c>
      <x:c r="P286" s="58" t="n">
        <x:f>ROUND(P241-P242*(1-'Scenario Inputs'!$C$29),6)</x:f>
        <x:v>0</x:v>
      </x:c>
      <x:c r="Q286" s="58" t="n">
        <x:f>ROUND(Q241-Q242*(1-'Scenario Inputs'!$C$29),6)</x:f>
        <x:v>0</x:v>
      </x:c>
      <x:c r="R286" s="58" t="n">
        <x:f>ROUND(R241-R242*(1-'Scenario Inputs'!$C$29),6)</x:f>
        <x:v>0</x:v>
      </x:c>
      <x:c r="S286" s="58" t="n">
        <x:f>ROUND(S241-S242*(1-'Scenario Inputs'!$C$29),6)</x:f>
        <x:v>0</x:v>
      </x:c>
      <x:c r="T286" s="58" t="n">
        <x:f>ROUND(T241-T242*(1-'Scenario Inputs'!$C$29),6)</x:f>
        <x:v>0</x:v>
      </x:c>
      <x:c r="U286" s="58" t="n">
        <x:f>ROUND(U241-U242*(1-'Scenario Inputs'!$C$29),6)</x:f>
        <x:v>0</x:v>
      </x:c>
      <x:c r="V286" s="58" t="n">
        <x:f>ROUND(V241-V242*(1-'Scenario Inputs'!$C$29),6)</x:f>
        <x:v>0</x:v>
      </x:c>
      <x:c r="W286" s="58" t="n">
        <x:f>ROUND(W241-W242*(1-'Scenario Inputs'!$C$29),6)</x:f>
        <x:v>0</x:v>
      </x:c>
      <x:c r="X286" s="58" t="n">
        <x:f>ROUND(X241-X242*(1-'Scenario Inputs'!$C$29),6)</x:f>
        <x:v>0</x:v>
      </x:c>
      <x:c r="Y286" s="58" t="n">
        <x:f>ROUND(Y241-Y242*(1-'Scenario Inputs'!$C$29),6)</x:f>
        <x:v>0</x:v>
      </x:c>
      <x:c r="Z286" s="58" t="n">
        <x:f>ROUND(Z241-Z242*(1-'Scenario Inputs'!$C$29),6)</x:f>
        <x:v>0</x:v>
      </x:c>
      <x:c r="AA286" s="58" t="n">
        <x:f>ROUND(AA241-AA242*(1-'Scenario Inputs'!$C$29),6)</x:f>
        <x:v>0</x:v>
      </x:c>
      <x:c r="AB286" s="58" t="n">
        <x:f>ROUND(AB241-AB242*(1-'Scenario Inputs'!$C$29),6)</x:f>
        <x:v>0</x:v>
      </x:c>
      <x:c r="AC286" s="58" t="n">
        <x:f>ROUND(AC241-AC242*(1-'Scenario Inputs'!$C$29),6)</x:f>
        <x:v>0</x:v>
      </x:c>
      <x:c r="AD286" s="58" t="n">
        <x:f>ROUND(AD241-AD242*(1-'Scenario Inputs'!$C$29),6)</x:f>
        <x:v>0</x:v>
      </x:c>
      <x:c r="AE286" s="58" t="n">
        <x:f>ROUND(AE241-AE242*(1-'Scenario Inputs'!$C$29),6)</x:f>
        <x:v>0</x:v>
      </x:c>
      <x:c r="AF286" s="58" t="n">
        <x:f>ROUND(AF241-AF242*(1-'Scenario Inputs'!$C$29),6)</x:f>
        <x:v>0</x:v>
      </x:c>
      <x:c r="AG286" s="58" t="n">
        <x:f>ROUND(AG241-AG242*(1-'Scenario Inputs'!$C$29),6)</x:f>
        <x:v>0</x:v>
      </x:c>
      <x:c r="AH286" s="58" t="n">
        <x:f>ROUND(AH241-AH242*(1-'Scenario Inputs'!$C$29),6)</x:f>
        <x:v>0</x:v>
      </x:c>
      <x:c r="AI286" s="58" t="n">
        <x:f>ROUND(AI241-AI242*(1-'Scenario Inputs'!$C$29),6)</x:f>
        <x:v>0</x:v>
      </x:c>
      <x:c r="AJ286" s="58" t="n">
        <x:f>ROUND(AJ241-AJ242*(1-'Scenario Inputs'!$C$29),6)</x:f>
        <x:v>0</x:v>
      </x:c>
      <x:c r="AK286" s="58" t="n">
        <x:f>ROUND(AK241-AK242*(1-'Scenario Inputs'!$C$29),6)</x:f>
        <x:v>0</x:v>
      </x:c>
    </x:row>
    <x:row r="287" ht="18"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row>
    <x:row r="288" ht="18"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row>
    <x:row r="289" ht="18"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row>
    <x:row r="290" ht="18"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row>
    <x:row r="291" ht="18" customHeight="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row>
    <x:row r="292" ht="18" customHeight="1">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row>
    <x:row r="293" ht="18" customHeight="1">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row>
    <x:row r="294" ht="18" customHeight="1">
      <x:c r="A294" s="4" t="str">
        <x:v>Blended annual price, ex-tax (INR)</x:v>
      </x:c>
      <x:c r="B294" s="56" t="n">
        <x:f>'Stress Inputs'!$C$7*'Commercial Inputs'!$B$6/(1+'Commercial Inputs'!$B$10)+(1-'Stress Inputs'!$C$7)*('Commercial Inputs'!$B$8*'Commercial Inputs'!$B$5)/(1+'Commercial Inputs'!$B$11)</x:f>
        <x:v>1694.0677966101696</x:v>
      </x:c>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row>
    <x:row r="295" ht="18" customHeight="1">
      <x:c r="A295" s="4" t="str">
        <x:v>Blended monthly price, ex-tax (INR)</x:v>
      </x:c>
      <x:c r="B295" s="56" t="n">
        <x:f>'Stress Inputs'!$C$7*'Commercial Inputs'!$B$7/(1+'Commercial Inputs'!$B$10)+(1-'Stress Inputs'!$C$7)*('Commercial Inputs'!$B$9*'Commercial Inputs'!$B$5)/(1+'Commercial Inputs'!$B$11)</x:f>
        <x:v>211.0169491525424</x:v>
      </x:c>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row>
    <x:row r="296" ht="18" customHeight="1">
      <x:c r="A296" s="4" t="str">
        <x:v>Fee per annual charge (INR)</x:v>
      </x:c>
      <x:c r="B296" s="56" t="n">
        <x:f>'Stress Inputs'!$C$7*('Commercial Inputs'!$B$12*'Commercial Inputs'!$B$6*'Commercial Inputs'!$B$14+(1-'Commercial Inputs'!$B$12)*'Commercial Inputs'!$B$6/(1+'Commercial Inputs'!$B$10)*'Commercial Inputs'!$B$13)+(1-'Stress Inputs'!$C$7)*('Commercial Inputs'!$B$12*(('Commercial Inputs'!$B$8*'Commercial Inputs'!$B$5)*'Commercial Inputs'!$B$15+'Commercial Inputs'!$B$16*'Commercial Inputs'!$B$5)+(1-'Commercial Inputs'!$B$12)*('Commercial Inputs'!$B$8*'Commercial Inputs'!$B$5)/(1+'Commercial Inputs'!$B$11)*'Commercial Inputs'!$B$13)</x:f>
        <x:v>150.6432847457627</x:v>
      </x:c>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row>
    <x:row r="297" ht="18" customHeight="1">
      <x:c r="A297" s="4" t="str">
        <x:v>Fee per monthly charge (INR)</x:v>
      </x:c>
      <x:c r="B297" s="56" t="n">
        <x:f>'Stress Inputs'!$C$7*('Commercial Inputs'!$B$12*'Commercial Inputs'!$B$7*'Commercial Inputs'!$B$14+(1-'Commercial Inputs'!$B$12)*'Commercial Inputs'!$B$7/(1+'Commercial Inputs'!$B$10)*'Commercial Inputs'!$B$13)+(1-'Stress Inputs'!$C$7)*('Commercial Inputs'!$B$12*(('Commercial Inputs'!$B$9*'Commercial Inputs'!$B$5)*'Commercial Inputs'!$B$15+'Commercial Inputs'!$B$16*'Commercial Inputs'!$B$5)+(1-'Commercial Inputs'!$B$12)*('Commercial Inputs'!$B$9*'Commercial Inputs'!$B$5)/(1+'Commercial Inputs'!$B$11)*'Commercial Inputs'!$B$13)</x:f>
        <x:v>18.76447118644068</x:v>
      </x:c>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row>
    <x:row r="298" ht="18" customHeight="1">
      <x:c r="A298" s="4" t="str">
        <x:v>Billing reserve per annual charge (INR)</x:v>
      </x:c>
      <x:c r="B298" s="56" t="n">
        <x:f>('Stress Inputs'!$C$7*'Commercial Inputs'!$B$6+(1-'Stress Inputs'!$C$7)*('Commercial Inputs'!$B$8*'Commercial Inputs'!$B$5))*'Commercial Inputs'!$B$17</x:f>
        <x:v>19.990000000000002</x:v>
      </x:c>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row>
    <x:row r="299" ht="18" customHeight="1">
      <x:c r="A299" s="4" t="str">
        <x:v>Billing reserve per monthly charge (INR)</x:v>
      </x:c>
      <x:c r="B299" s="56" t="n">
        <x:f>('Stress Inputs'!$C$7*'Commercial Inputs'!$B$7+(1-'Stress Inputs'!$C$7)*('Commercial Inputs'!$B$9*'Commercial Inputs'!$B$5))*'Commercial Inputs'!$B$17</x:f>
        <x:v>2.49</x:v>
      </x:c>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row>
    <x:row r="300" ht="18" customHeight="1">
      <x:c r="A300" s="4" t="str">
        <x:v>Budgeted AI cost per job (INR)</x:v>
      </x:c>
      <x:c r="B300" s="56" t="n">
        <x:f>('Commercial Inputs'!$B$20*'Commercial Inputs'!$B$18+'Commercial Inputs'!$B$21*'Commercial Inputs'!$B$19)/'Commercial Inputs'!$B$47*'Commercial Inputs'!$B$22*'Commercial Inputs'!$B$5*(1+'Commercial Inputs'!$B$23)</x:f>
        <x:v>0.1287</x:v>
      </x:c>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row>
    <x:row r="301" ht="18" customHeight="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row>
    <x:row r="302" ht="18" customHeight="1">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row>
    <x:row r="303" ht="18" customHeight="1">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row>
    <x:row r="304" ht="18" customHeight="1">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row>
    <x:row r="305" ht="18" customHeight="1">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row>
    <x:row r="306" ht="18" customHeight="1">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row>
    <x:row r="307" ht="18" customHeight="1">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row>
    <x:row r="308" ht="18" customHeight="1">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row>
    <x:row r="309" ht="18" customHeight="1">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row>
    <x:row r="310" ht="18" customHeight="1">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row>
    <x:row r="311" ht="18" customHeight="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row>
    <x:row r="312" ht="18" customHeight="1">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row>
    <x:row r="313" ht="18" customHeight="1">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row>
    <x:row r="314" ht="18" customHeight="1">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row>
    <x:row r="315" ht="18" customHeight="1">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row>
    <x:row r="316" ht="29" customHeight="1">
      <x:c r="A316" s="50" t="str">
        <x:v>WEAK RENEWAL | MONTHLY COHORT MODEL</x:v>
      </x:c>
      <x:c r="B316" s="50"/>
      <x:c r="C316" s="50"/>
      <x:c r="D316" s="50"/>
      <x:c r="E316" s="50"/>
      <x:c r="F316" s="50"/>
      <x:c r="G316" s="50"/>
      <x:c r="H316" s="50"/>
      <x:c r="I316" s="50"/>
      <x:c r="J316" s="50"/>
      <x:c r="K316" s="50"/>
      <x:c r="L316" s="50"/>
      <x:c r="M316" s="50"/>
      <x:c r="N316" s="50"/>
      <x:c r="O316" s="50"/>
      <x:c r="P316" s="50"/>
      <x:c r="Q316" s="50"/>
      <x:c r="R316" s="50"/>
      <x:c r="S316" s="50"/>
      <x:c r="T316" s="50"/>
      <x:c r="U316" s="50"/>
      <x:c r="V316" s="50"/>
      <x:c r="W316" s="50"/>
      <x:c r="X316" s="50"/>
      <x:c r="Y316" s="50"/>
      <x:c r="Z316" s="50"/>
      <x:c r="AA316" s="50"/>
      <x:c r="AB316" s="50"/>
      <x:c r="AC316" s="50"/>
      <x:c r="AD316" s="50"/>
      <x:c r="AE316" s="50"/>
      <x:c r="AF316" s="50"/>
      <x:c r="AG316" s="50"/>
      <x:c r="AH316" s="50"/>
      <x:c r="AI316" s="50"/>
      <x:c r="AJ316" s="50"/>
      <x:c r="AK316" s="50"/>
    </x:row>
    <x:row r="317" ht="24" customHeight="1">
      <x:c r="A317" s="11" t="str">
        <x:v>INR unless stated. Purchases occur at month start; annual revenue is earned over 12 months. No founder salary or income tax in the base case.</x:v>
      </x:c>
      <x:c r="B317" s="11"/>
      <x:c r="C317" s="11"/>
      <x:c r="D317" s="11"/>
      <x:c r="E317" s="11"/>
      <x:c r="F317" s="11"/>
      <x:c r="G317" s="11"/>
      <x:c r="H317" s="11"/>
      <x:c r="I317" s="11"/>
      <x:c r="J317" s="11"/>
      <x:c r="K317" s="11"/>
      <x:c r="L317" s="11"/>
      <x:c r="M317" s="11"/>
      <x:c r="N317" s="11"/>
      <x:c r="O317" s="11"/>
      <x:c r="P317" s="11"/>
      <x:c r="Q317" s="11"/>
      <x:c r="R317" s="11"/>
      <x:c r="S317" s="11"/>
      <x:c r="T317" s="11"/>
      <x:c r="U317" s="11"/>
      <x:c r="V317" s="11"/>
      <x:c r="W317" s="11"/>
      <x:c r="X317" s="11"/>
      <x:c r="Y317" s="11"/>
      <x:c r="Z317" s="11"/>
      <x:c r="AA317" s="11"/>
      <x:c r="AB317" s="11"/>
      <x:c r="AC317" s="11"/>
      <x:c r="AD317" s="11"/>
      <x:c r="AE317" s="11"/>
      <x:c r="AF317" s="11"/>
      <x:c r="AG317" s="11"/>
      <x:c r="AH317" s="11"/>
      <x:c r="AI317" s="11"/>
      <x:c r="AJ317" s="11"/>
      <x:c r="AK317" s="11"/>
    </x:row>
    <x:row r="318" ht="18" customHeight="1">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row>
    <x:row r="319" ht="18" customHeight="1">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row>
    <x:row r="320" ht="30" customHeight="1">
      <x:c r="A320" s="16" t="str">
        <x:v>Month after paid launch</x:v>
      </x:c>
      <x:c r="B320" s="16" t="n">
        <x:v>1</x:v>
      </x:c>
      <x:c r="C320" s="16" t="n">
        <x:v>2</x:v>
      </x:c>
      <x:c r="D320" s="16" t="n">
        <x:v>3</x:v>
      </x:c>
      <x:c r="E320" s="16" t="n">
        <x:v>4</x:v>
      </x:c>
      <x:c r="F320" s="16" t="n">
        <x:v>5</x:v>
      </x:c>
      <x:c r="G320" s="16" t="n">
        <x:v>6</x:v>
      </x:c>
      <x:c r="H320" s="16" t="n">
        <x:v>7</x:v>
      </x:c>
      <x:c r="I320" s="16" t="n">
        <x:v>8</x:v>
      </x:c>
      <x:c r="J320" s="16" t="n">
        <x:v>9</x:v>
      </x:c>
      <x:c r="K320" s="16" t="n">
        <x:v>10</x:v>
      </x:c>
      <x:c r="L320" s="16" t="n">
        <x:v>11</x:v>
      </x:c>
      <x:c r="M320" s="16" t="n">
        <x:v>12</x:v>
      </x:c>
      <x:c r="N320" s="16" t="n">
        <x:v>13</x:v>
      </x:c>
      <x:c r="O320" s="16" t="n">
        <x:v>14</x:v>
      </x:c>
      <x:c r="P320" s="16" t="n">
        <x:v>15</x:v>
      </x:c>
      <x:c r="Q320" s="16" t="n">
        <x:v>16</x:v>
      </x:c>
      <x:c r="R320" s="16" t="n">
        <x:v>17</x:v>
      </x:c>
      <x:c r="S320" s="16" t="n">
        <x:v>18</x:v>
      </x:c>
      <x:c r="T320" s="16" t="n">
        <x:v>19</x:v>
      </x:c>
      <x:c r="U320" s="16" t="n">
        <x:v>20</x:v>
      </x:c>
      <x:c r="V320" s="16" t="n">
        <x:v>21</x:v>
      </x:c>
      <x:c r="W320" s="16" t="n">
        <x:v>22</x:v>
      </x:c>
      <x:c r="X320" s="16" t="n">
        <x:v>23</x:v>
      </x:c>
      <x:c r="Y320" s="16" t="n">
        <x:v>24</x:v>
      </x:c>
      <x:c r="Z320" s="16" t="n">
        <x:v>25</x:v>
      </x:c>
      <x:c r="AA320" s="16" t="n">
        <x:v>26</x:v>
      </x:c>
      <x:c r="AB320" s="16" t="n">
        <x:v>27</x:v>
      </x:c>
      <x:c r="AC320" s="16" t="n">
        <x:v>28</x:v>
      </x:c>
      <x:c r="AD320" s="16" t="n">
        <x:v>29</x:v>
      </x:c>
      <x:c r="AE320" s="16" t="n">
        <x:v>30</x:v>
      </x:c>
      <x:c r="AF320" s="16" t="n">
        <x:v>31</x:v>
      </x:c>
      <x:c r="AG320" s="16" t="n">
        <x:v>32</x:v>
      </x:c>
      <x:c r="AH320" s="16" t="n">
        <x:v>33</x:v>
      </x:c>
      <x:c r="AI320" s="16" t="n">
        <x:v>34</x:v>
      </x:c>
      <x:c r="AJ320" s="16" t="n">
        <x:v>35</x:v>
      </x:c>
      <x:c r="AK320" s="16" t="n">
        <x:v>36</x:v>
      </x:c>
    </x:row>
    <x:row r="321" ht="18" customHeight="1">
      <x:c r="A321" s="4" t="str">
        <x:v>Qualified organic prospects</x:v>
      </x:c>
      <x:c r="B321" s="58" t="n">
        <x:f>'Scenario Inputs'!$C$5</x:f>
        <x:v>1000</x:v>
      </x:c>
      <x:c r="C321" s="58" t="n">
        <x:f>B321*(1+'Scenario Inputs'!$C$6)</x:f>
        <x:v>1120</x:v>
      </x:c>
      <x:c r="D321" s="58" t="n">
        <x:f>C321*(1+'Scenario Inputs'!$C$6)</x:f>
        <x:v>1254.4</x:v>
      </x:c>
      <x:c r="E321" s="58" t="n">
        <x:f>D321*(1+'Scenario Inputs'!$C$6)</x:f>
        <x:v>1404.9280000000003</x:v>
      </x:c>
      <x:c r="F321" s="58" t="n">
        <x:f>E321*(1+'Scenario Inputs'!$C$6)</x:f>
        <x:v>1573.5193600000005</x:v>
      </x:c>
      <x:c r="G321" s="58" t="n">
        <x:f>F321*(1+'Scenario Inputs'!$C$6)</x:f>
        <x:v>1762.3416832000007</x:v>
      </x:c>
      <x:c r="H321" s="58" t="n">
        <x:f>G321*(1+'Scenario Inputs'!$C$6)</x:f>
        <x:v>1973.822685184001</x:v>
      </x:c>
      <x:c r="I321" s="58" t="n">
        <x:f>H321*(1+'Scenario Inputs'!$C$6)</x:f>
        <x:v>2210.6814074060812</x:v>
      </x:c>
      <x:c r="J321" s="58" t="n">
        <x:f>I321*(1+'Scenario Inputs'!$C$6)</x:f>
        <x:v>2475.963176294811</x:v>
      </x:c>
      <x:c r="K321" s="58" t="n">
        <x:f>J321*(1+'Scenario Inputs'!$C$6)</x:f>
        <x:v>2773.0787574501887</x:v>
      </x:c>
      <x:c r="L321" s="58" t="n">
        <x:f>K321*(1+'Scenario Inputs'!$C$6)</x:f>
        <x:v>3105.848208344212</x:v>
      </x:c>
      <x:c r="M321" s="58" t="n">
        <x:f>L321*(1+'Scenario Inputs'!$C$6)</x:f>
        <x:v>3478.5499933455176</x:v>
      </x:c>
      <x:c r="N321" s="58" t="n">
        <x:f>M321*(1+'Scenario Inputs'!$C$7)</x:f>
        <x:v>3756.833992813159</x:v>
      </x:c>
      <x:c r="O321" s="58" t="n">
        <x:f>N321*(1+'Scenario Inputs'!$C$7)</x:f>
        <x:v>4057.3807122382123</x:v>
      </x:c>
      <x:c r="P321" s="58" t="n">
        <x:f>O321*(1+'Scenario Inputs'!$C$7)</x:f>
        <x:v>4381.97116921727</x:v>
      </x:c>
      <x:c r="Q321" s="58" t="n">
        <x:f>P321*(1+'Scenario Inputs'!$C$7)</x:f>
        <x:v>4732.5288627546515</x:v>
      </x:c>
      <x:c r="R321" s="58" t="n">
        <x:f>Q321*(1+'Scenario Inputs'!$C$7)</x:f>
        <x:v>5111.131171775024</x:v>
      </x:c>
      <x:c r="S321" s="58" t="n">
        <x:f>R321*(1+'Scenario Inputs'!$C$7)</x:f>
        <x:v>5520.021665517026</x:v>
      </x:c>
      <x:c r="T321" s="58" t="n">
        <x:f>S321*(1+'Scenario Inputs'!$C$7)</x:f>
        <x:v>5961.623398758388</x:v>
      </x:c>
      <x:c r="U321" s="58" t="n">
        <x:f>T321*(1+'Scenario Inputs'!$C$7)</x:f>
        <x:v>6438.553270659059</x:v>
      </x:c>
      <x:c r="V321" s="58" t="n">
        <x:f>U321*(1+'Scenario Inputs'!$C$7)</x:f>
        <x:v>6953.6375323117845</x:v>
      </x:c>
      <x:c r="W321" s="58" t="n">
        <x:f>V321*(1+'Scenario Inputs'!$C$7)</x:f>
        <x:v>7509.928534896728</x:v>
      </x:c>
      <x:c r="X321" s="58" t="n">
        <x:f>W321*(1+'Scenario Inputs'!$C$7)</x:f>
        <x:v>8110.722817688466</x:v>
      </x:c>
      <x:c r="Y321" s="58" t="n">
        <x:f>X321*(1+'Scenario Inputs'!$C$7)</x:f>
        <x:v>8759.580643103543</x:v>
      </x:c>
      <x:c r="Z321" s="58" t="n">
        <x:f>Y321*(1+'Scenario Inputs'!$C$8)</x:f>
        <x:v>9285.155481689757</x:v>
      </x:c>
      <x:c r="AA321" s="58" t="n">
        <x:f>Z321*(1+'Scenario Inputs'!$C$8)</x:f>
        <x:v>9842.264810591143</x:v>
      </x:c>
      <x:c r="AB321" s="58" t="n">
        <x:f>AA321*(1+'Scenario Inputs'!$C$8)</x:f>
        <x:v>10432.800699226613</x:v>
      </x:c>
      <x:c r="AC321" s="58" t="n">
        <x:f>AB321*(1+'Scenario Inputs'!$C$8)</x:f>
        <x:v>11058.76874118021</x:v>
      </x:c>
      <x:c r="AD321" s="58" t="n">
        <x:f>AC321*(1+'Scenario Inputs'!$C$8)</x:f>
        <x:v>11722.294865651023</x:v>
      </x:c>
      <x:c r="AE321" s="58" t="n">
        <x:f>AD321*(1+'Scenario Inputs'!$C$8)</x:f>
        <x:v>12425.632557590085</x:v>
      </x:c>
      <x:c r="AF321" s="58" t="n">
        <x:f>AE321*(1+'Scenario Inputs'!$C$8)</x:f>
        <x:v>13171.17051104549</x:v>
      </x:c>
      <x:c r="AG321" s="58" t="n">
        <x:f>AF321*(1+'Scenario Inputs'!$C$8)</x:f>
        <x:v>13961.44074170822</x:v>
      </x:c>
      <x:c r="AH321" s="58" t="n">
        <x:f>AG321*(1+'Scenario Inputs'!$C$8)</x:f>
        <x:v>14799.127186210715</x:v>
      </x:c>
      <x:c r="AI321" s="58" t="n">
        <x:f>AH321*(1+'Scenario Inputs'!$C$8)</x:f>
        <x:v>15687.074817383358</x:v>
      </x:c>
      <x:c r="AJ321" s="58" t="n">
        <x:f>AI321*(1+'Scenario Inputs'!$C$8)</x:f>
        <x:v>16628.29930642636</x:v>
      </x:c>
      <x:c r="AK321" s="58" t="n">
        <x:f>AJ321*(1+'Scenario Inputs'!$C$8)</x:f>
        <x:v>17625.997264811944</x:v>
      </x:c>
    </x:row>
    <x:row r="322" ht="18" customHeight="1">
      <x:c r="A322" s="4" t="str">
        <x:v>Paid media spend (INR)</x:v>
      </x:c>
      <x:c r="B322" s="60" t="n">
        <x:f>'Scenario Inputs'!$C$14</x:f>
        <x:v>6000</x:v>
      </x:c>
      <x:c r="C322" s="60" t="n">
        <x:f>'Scenario Inputs'!$C$14</x:f>
        <x:v>6000</x:v>
      </x:c>
      <x:c r="D322" s="60" t="n">
        <x:f>'Scenario Inputs'!$C$14</x:f>
        <x:v>6000</x:v>
      </x:c>
      <x:c r="E322" s="60" t="n">
        <x:f>'Scenario Inputs'!$C$15</x:f>
        <x:v>12000</x:v>
      </x:c>
      <x:c r="F322" s="60" t="n">
        <x:f>'Scenario Inputs'!$C$15</x:f>
        <x:v>12000</x:v>
      </x:c>
      <x:c r="G322" s="60" t="n">
        <x:f>'Scenario Inputs'!$C$15</x:f>
        <x:v>12000</x:v>
      </x:c>
      <x:c r="H322" s="60" t="n">
        <x:f>'Scenario Inputs'!$C$16</x:f>
        <x:v>25000</x:v>
      </x:c>
      <x:c r="I322" s="60" t="n">
        <x:f>'Scenario Inputs'!$C$16</x:f>
        <x:v>25000</x:v>
      </x:c>
      <x:c r="J322" s="60" t="n">
        <x:f>'Scenario Inputs'!$C$16</x:f>
        <x:v>25000</x:v>
      </x:c>
      <x:c r="K322" s="60" t="n">
        <x:f>'Scenario Inputs'!$C$16</x:f>
        <x:v>25000</x:v>
      </x:c>
      <x:c r="L322" s="60" t="n">
        <x:f>'Scenario Inputs'!$C$16</x:f>
        <x:v>25000</x:v>
      </x:c>
      <x:c r="M322" s="60" t="n">
        <x:f>'Scenario Inputs'!$C$16</x:f>
        <x:v>25000</x:v>
      </x:c>
      <x:c r="N322" s="60" t="n">
        <x:f>'Scenario Inputs'!$C$17</x:f>
        <x:v>50000</x:v>
      </x:c>
      <x:c r="O322" s="60" t="n">
        <x:f>'Scenario Inputs'!$C$17</x:f>
        <x:v>50000</x:v>
      </x:c>
      <x:c r="P322" s="60" t="n">
        <x:f>'Scenario Inputs'!$C$17</x:f>
        <x:v>50000</x:v>
      </x:c>
      <x:c r="Q322" s="60" t="n">
        <x:f>'Scenario Inputs'!$C$17</x:f>
        <x:v>50000</x:v>
      </x:c>
      <x:c r="R322" s="60" t="n">
        <x:f>'Scenario Inputs'!$C$17</x:f>
        <x:v>50000</x:v>
      </x:c>
      <x:c r="S322" s="60" t="n">
        <x:f>'Scenario Inputs'!$C$17</x:f>
        <x:v>50000</x:v>
      </x:c>
      <x:c r="T322" s="60" t="n">
        <x:f>'Scenario Inputs'!$C$18</x:f>
        <x:v>75000</x:v>
      </x:c>
      <x:c r="U322" s="60" t="n">
        <x:f>'Scenario Inputs'!$C$18</x:f>
        <x:v>75000</x:v>
      </x:c>
      <x:c r="V322" s="60" t="n">
        <x:f>'Scenario Inputs'!$C$18</x:f>
        <x:v>75000</x:v>
      </x:c>
      <x:c r="W322" s="60" t="n">
        <x:f>'Scenario Inputs'!$C$18</x:f>
        <x:v>75000</x:v>
      </x:c>
      <x:c r="X322" s="60" t="n">
        <x:f>'Scenario Inputs'!$C$18</x:f>
        <x:v>75000</x:v>
      </x:c>
      <x:c r="Y322" s="60" t="n">
        <x:f>'Scenario Inputs'!$C$18</x:f>
        <x:v>75000</x:v>
      </x:c>
      <x:c r="Z322" s="60" t="n">
        <x:f>'Scenario Inputs'!$C$19</x:f>
        <x:v>100000</x:v>
      </x:c>
      <x:c r="AA322" s="60" t="n">
        <x:f>'Scenario Inputs'!$C$19</x:f>
        <x:v>100000</x:v>
      </x:c>
      <x:c r="AB322" s="60" t="n">
        <x:f>'Scenario Inputs'!$C$19</x:f>
        <x:v>100000</x:v>
      </x:c>
      <x:c r="AC322" s="60" t="n">
        <x:f>'Scenario Inputs'!$C$19</x:f>
        <x:v>100000</x:v>
      </x:c>
      <x:c r="AD322" s="60" t="n">
        <x:f>'Scenario Inputs'!$C$19</x:f>
        <x:v>100000</x:v>
      </x:c>
      <x:c r="AE322" s="60" t="n">
        <x:f>'Scenario Inputs'!$C$19</x:f>
        <x:v>100000</x:v>
      </x:c>
      <x:c r="AF322" s="60" t="n">
        <x:f>'Scenario Inputs'!$C$20</x:f>
        <x:v>125000</x:v>
      </x:c>
      <x:c r="AG322" s="60" t="n">
        <x:f>'Scenario Inputs'!$C$20</x:f>
        <x:v>125000</x:v>
      </x:c>
      <x:c r="AH322" s="60" t="n">
        <x:f>'Scenario Inputs'!$C$20</x:f>
        <x:v>125000</x:v>
      </x:c>
      <x:c r="AI322" s="60" t="n">
        <x:f>'Scenario Inputs'!$C$20</x:f>
        <x:v>125000</x:v>
      </x:c>
      <x:c r="AJ322" s="60" t="n">
        <x:f>'Scenario Inputs'!$C$20</x:f>
        <x:v>125000</x:v>
      </x:c>
      <x:c r="AK322" s="60" t="n">
        <x:f>'Scenario Inputs'!$C$20</x:f>
        <x:v>125000</x:v>
      </x:c>
    </x:row>
    <x:row r="323" ht="18" customHeight="1">
      <x:c r="A323" s="4" t="str">
        <x:v>Paid CPC (INR)</x:v>
      </x:c>
      <x:c r="B323" s="64" t="n">
        <x:f>'Scenario Inputs'!$C$10*(1+'Scenario Inputs'!$C$11)^0</x:f>
        <x:v>15</x:v>
      </x:c>
      <x:c r="C323" s="64" t="n">
        <x:f>'Scenario Inputs'!$C$10*(1+'Scenario Inputs'!$C$11)^0</x:f>
        <x:v>15</x:v>
      </x:c>
      <x:c r="D323" s="64" t="n">
        <x:f>'Scenario Inputs'!$C$10*(1+'Scenario Inputs'!$C$11)^0</x:f>
        <x:v>15</x:v>
      </x:c>
      <x:c r="E323" s="64" t="n">
        <x:f>'Scenario Inputs'!$C$10*(1+'Scenario Inputs'!$C$11)^0</x:f>
        <x:v>15</x:v>
      </x:c>
      <x:c r="F323" s="64" t="n">
        <x:f>'Scenario Inputs'!$C$10*(1+'Scenario Inputs'!$C$11)^0</x:f>
        <x:v>15</x:v>
      </x:c>
      <x:c r="G323" s="64" t="n">
        <x:f>'Scenario Inputs'!$C$10*(1+'Scenario Inputs'!$C$11)^0</x:f>
        <x:v>15</x:v>
      </x:c>
      <x:c r="H323" s="64" t="n">
        <x:f>'Scenario Inputs'!$C$10*(1+'Scenario Inputs'!$C$11)^0</x:f>
        <x:v>15</x:v>
      </x:c>
      <x:c r="I323" s="64" t="n">
        <x:f>'Scenario Inputs'!$C$10*(1+'Scenario Inputs'!$C$11)^0</x:f>
        <x:v>15</x:v>
      </x:c>
      <x:c r="J323" s="64" t="n">
        <x:f>'Scenario Inputs'!$C$10*(1+'Scenario Inputs'!$C$11)^0</x:f>
        <x:v>15</x:v>
      </x:c>
      <x:c r="K323" s="64" t="n">
        <x:f>'Scenario Inputs'!$C$10*(1+'Scenario Inputs'!$C$11)^0</x:f>
        <x:v>15</x:v>
      </x:c>
      <x:c r="L323" s="64" t="n">
        <x:f>'Scenario Inputs'!$C$10*(1+'Scenario Inputs'!$C$11)^0</x:f>
        <x:v>15</x:v>
      </x:c>
      <x:c r="M323" s="64" t="n">
        <x:f>'Scenario Inputs'!$C$10*(1+'Scenario Inputs'!$C$11)^0</x:f>
        <x:v>15</x:v>
      </x:c>
      <x:c r="N323" s="64" t="n">
        <x:f>'Scenario Inputs'!$C$10*(1+'Scenario Inputs'!$C$11)^1</x:f>
        <x:v>16.5</x:v>
      </x:c>
      <x:c r="O323" s="64" t="n">
        <x:f>'Scenario Inputs'!$C$10*(1+'Scenario Inputs'!$C$11)^1</x:f>
        <x:v>16.5</x:v>
      </x:c>
      <x:c r="P323" s="64" t="n">
        <x:f>'Scenario Inputs'!$C$10*(1+'Scenario Inputs'!$C$11)^1</x:f>
        <x:v>16.5</x:v>
      </x:c>
      <x:c r="Q323" s="64" t="n">
        <x:f>'Scenario Inputs'!$C$10*(1+'Scenario Inputs'!$C$11)^1</x:f>
        <x:v>16.5</x:v>
      </x:c>
      <x:c r="R323" s="64" t="n">
        <x:f>'Scenario Inputs'!$C$10*(1+'Scenario Inputs'!$C$11)^1</x:f>
        <x:v>16.5</x:v>
      </x:c>
      <x:c r="S323" s="64" t="n">
        <x:f>'Scenario Inputs'!$C$10*(1+'Scenario Inputs'!$C$11)^1</x:f>
        <x:v>16.5</x:v>
      </x:c>
      <x:c r="T323" s="64" t="n">
        <x:f>'Scenario Inputs'!$C$10*(1+'Scenario Inputs'!$C$11)^1</x:f>
        <x:v>16.5</x:v>
      </x:c>
      <x:c r="U323" s="64" t="n">
        <x:f>'Scenario Inputs'!$C$10*(1+'Scenario Inputs'!$C$11)^1</x:f>
        <x:v>16.5</x:v>
      </x:c>
      <x:c r="V323" s="64" t="n">
        <x:f>'Scenario Inputs'!$C$10*(1+'Scenario Inputs'!$C$11)^1</x:f>
        <x:v>16.5</x:v>
      </x:c>
      <x:c r="W323" s="64" t="n">
        <x:f>'Scenario Inputs'!$C$10*(1+'Scenario Inputs'!$C$11)^1</x:f>
        <x:v>16.5</x:v>
      </x:c>
      <x:c r="X323" s="64" t="n">
        <x:f>'Scenario Inputs'!$C$10*(1+'Scenario Inputs'!$C$11)^1</x:f>
        <x:v>16.5</x:v>
      </x:c>
      <x:c r="Y323" s="64" t="n">
        <x:f>'Scenario Inputs'!$C$10*(1+'Scenario Inputs'!$C$11)^1</x:f>
        <x:v>16.5</x:v>
      </x:c>
      <x:c r="Z323" s="64" t="n">
        <x:f>'Scenario Inputs'!$C$10*(1+'Scenario Inputs'!$C$11)^2</x:f>
        <x:v>18.150000000000002</x:v>
      </x:c>
      <x:c r="AA323" s="64" t="n">
        <x:f>'Scenario Inputs'!$C$10*(1+'Scenario Inputs'!$C$11)^2</x:f>
        <x:v>18.150000000000002</x:v>
      </x:c>
      <x:c r="AB323" s="64" t="n">
        <x:f>'Scenario Inputs'!$C$10*(1+'Scenario Inputs'!$C$11)^2</x:f>
        <x:v>18.150000000000002</x:v>
      </x:c>
      <x:c r="AC323" s="64" t="n">
        <x:f>'Scenario Inputs'!$C$10*(1+'Scenario Inputs'!$C$11)^2</x:f>
        <x:v>18.150000000000002</x:v>
      </x:c>
      <x:c r="AD323" s="64" t="n">
        <x:f>'Scenario Inputs'!$C$10*(1+'Scenario Inputs'!$C$11)^2</x:f>
        <x:v>18.150000000000002</x:v>
      </x:c>
      <x:c r="AE323" s="64" t="n">
        <x:f>'Scenario Inputs'!$C$10*(1+'Scenario Inputs'!$C$11)^2</x:f>
        <x:v>18.150000000000002</x:v>
      </x:c>
      <x:c r="AF323" s="64" t="n">
        <x:f>'Scenario Inputs'!$C$10*(1+'Scenario Inputs'!$C$11)^2</x:f>
        <x:v>18.150000000000002</x:v>
      </x:c>
      <x:c r="AG323" s="64" t="n">
        <x:f>'Scenario Inputs'!$C$10*(1+'Scenario Inputs'!$C$11)^2</x:f>
        <x:v>18.150000000000002</x:v>
      </x:c>
      <x:c r="AH323" s="64" t="n">
        <x:f>'Scenario Inputs'!$C$10*(1+'Scenario Inputs'!$C$11)^2</x:f>
        <x:v>18.150000000000002</x:v>
      </x:c>
      <x:c r="AI323" s="64" t="n">
        <x:f>'Scenario Inputs'!$C$10*(1+'Scenario Inputs'!$C$11)^2</x:f>
        <x:v>18.150000000000002</x:v>
      </x:c>
      <x:c r="AJ323" s="64" t="n">
        <x:f>'Scenario Inputs'!$C$10*(1+'Scenario Inputs'!$C$11)^2</x:f>
        <x:v>18.150000000000002</x:v>
      </x:c>
      <x:c r="AK323" s="64" t="n">
        <x:f>'Scenario Inputs'!$C$10*(1+'Scenario Inputs'!$C$11)^2</x:f>
        <x:v>18.150000000000002</x:v>
      </x:c>
    </x:row>
    <x:row r="324" ht="18" customHeight="1">
      <x:c r="A324" s="4" t="str">
        <x:v>Paid clicks / prospect equivalents</x:v>
      </x:c>
      <x:c r="B324" s="58" t="n">
        <x:f>B322/B323</x:f>
        <x:v>400</x:v>
      </x:c>
      <x:c r="C324" s="58" t="n">
        <x:f>C322/C323</x:f>
        <x:v>400</x:v>
      </x:c>
      <x:c r="D324" s="58" t="n">
        <x:f>D322/D323</x:f>
        <x:v>400</x:v>
      </x:c>
      <x:c r="E324" s="58" t="n">
        <x:f>E322/E323</x:f>
        <x:v>800</x:v>
      </x:c>
      <x:c r="F324" s="58" t="n">
        <x:f>F322/F323</x:f>
        <x:v>800</x:v>
      </x:c>
      <x:c r="G324" s="58" t="n">
        <x:f>G322/G323</x:f>
        <x:v>800</x:v>
      </x:c>
      <x:c r="H324" s="58" t="n">
        <x:f>H322/H323</x:f>
        <x:v>1666.6666666666667</x:v>
      </x:c>
      <x:c r="I324" s="58" t="n">
        <x:f>I322/I323</x:f>
        <x:v>1666.6666666666667</x:v>
      </x:c>
      <x:c r="J324" s="58" t="n">
        <x:f>J322/J323</x:f>
        <x:v>1666.6666666666667</x:v>
      </x:c>
      <x:c r="K324" s="58" t="n">
        <x:f>K322/K323</x:f>
        <x:v>1666.6666666666667</x:v>
      </x:c>
      <x:c r="L324" s="58" t="n">
        <x:f>L322/L323</x:f>
        <x:v>1666.6666666666667</x:v>
      </x:c>
      <x:c r="M324" s="58" t="n">
        <x:f>M322/M323</x:f>
        <x:v>1666.6666666666667</x:v>
      </x:c>
      <x:c r="N324" s="58" t="n">
        <x:f>N322/N323</x:f>
        <x:v>3030.3030303030305</x:v>
      </x:c>
      <x:c r="O324" s="58" t="n">
        <x:f>O322/O323</x:f>
        <x:v>3030.3030303030305</x:v>
      </x:c>
      <x:c r="P324" s="58" t="n">
        <x:f>P322/P323</x:f>
        <x:v>3030.3030303030305</x:v>
      </x:c>
      <x:c r="Q324" s="58" t="n">
        <x:f>Q322/Q323</x:f>
        <x:v>3030.3030303030305</x:v>
      </x:c>
      <x:c r="R324" s="58" t="n">
        <x:f>R322/R323</x:f>
        <x:v>3030.3030303030305</x:v>
      </x:c>
      <x:c r="S324" s="58" t="n">
        <x:f>S322/S323</x:f>
        <x:v>3030.3030303030305</x:v>
      </x:c>
      <x:c r="T324" s="58" t="n">
        <x:f>T322/T323</x:f>
        <x:v>4545.454545454545</x:v>
      </x:c>
      <x:c r="U324" s="58" t="n">
        <x:f>U322/U323</x:f>
        <x:v>4545.454545454545</x:v>
      </x:c>
      <x:c r="V324" s="58" t="n">
        <x:f>V322/V323</x:f>
        <x:v>4545.454545454545</x:v>
      </x:c>
      <x:c r="W324" s="58" t="n">
        <x:f>W322/W323</x:f>
        <x:v>4545.454545454545</x:v>
      </x:c>
      <x:c r="X324" s="58" t="n">
        <x:f>X322/X323</x:f>
        <x:v>4545.454545454545</x:v>
      </x:c>
      <x:c r="Y324" s="58" t="n">
        <x:f>Y322/Y323</x:f>
        <x:v>4545.454545454545</x:v>
      </x:c>
      <x:c r="Z324" s="58" t="n">
        <x:f>Z322/Z323</x:f>
        <x:v>5509.641873278236</x:v>
      </x:c>
      <x:c r="AA324" s="58" t="n">
        <x:f>AA322/AA323</x:f>
        <x:v>5509.641873278236</x:v>
      </x:c>
      <x:c r="AB324" s="58" t="n">
        <x:f>AB322/AB323</x:f>
        <x:v>5509.641873278236</x:v>
      </x:c>
      <x:c r="AC324" s="58" t="n">
        <x:f>AC322/AC323</x:f>
        <x:v>5509.641873278236</x:v>
      </x:c>
      <x:c r="AD324" s="58" t="n">
        <x:f>AD322/AD323</x:f>
        <x:v>5509.641873278236</x:v>
      </x:c>
      <x:c r="AE324" s="58" t="n">
        <x:f>AE322/AE323</x:f>
        <x:v>5509.641873278236</x:v>
      </x:c>
      <x:c r="AF324" s="58" t="n">
        <x:f>AF322/AF323</x:f>
        <x:v>6887.052341597795</x:v>
      </x:c>
      <x:c r="AG324" s="58" t="n">
        <x:f>AG322/AG323</x:f>
        <x:v>6887.052341597795</x:v>
      </x:c>
      <x:c r="AH324" s="58" t="n">
        <x:f>AH322/AH323</x:f>
        <x:v>6887.052341597795</x:v>
      </x:c>
      <x:c r="AI324" s="58" t="n">
        <x:f>AI322/AI323</x:f>
        <x:v>6887.052341597795</x:v>
      </x:c>
      <x:c r="AJ324" s="58" t="n">
        <x:f>AJ322/AJ323</x:f>
        <x:v>6887.052341597795</x:v>
      </x:c>
      <x:c r="AK324" s="58" t="n">
        <x:f>AK322/AK323</x:f>
        <x:v>6887.052341597795</x:v>
      </x:c>
    </x:row>
    <x:row r="325" ht="18" customHeight="1">
      <x:c r="A325" s="4" t="str">
        <x:v>New gross buyers: organic</x:v>
      </x:c>
      <x:c r="B325" s="58" t="n">
        <x:f>B321*'Scenario Inputs'!$C$9</x:f>
        <x:v>15</x:v>
      </x:c>
      <x:c r="C325" s="58" t="n">
        <x:f>C321*'Scenario Inputs'!$C$9</x:f>
        <x:v>16.8</x:v>
      </x:c>
      <x:c r="D325" s="58" t="n">
        <x:f>D321*'Scenario Inputs'!$C$9</x:f>
        <x:v>18.816</x:v>
      </x:c>
      <x:c r="E325" s="58" t="n">
        <x:f>E321*'Scenario Inputs'!$C$9</x:f>
        <x:v>21.073920000000005</x:v>
      </x:c>
      <x:c r="F325" s="58" t="n">
        <x:f>F321*'Scenario Inputs'!$C$9</x:f>
        <x:v>23.602790400000007</x:v>
      </x:c>
      <x:c r="G325" s="58" t="n">
        <x:f>G321*'Scenario Inputs'!$C$9</x:f>
        <x:v>26.43512524800001</x:v>
      </x:c>
      <x:c r="H325" s="58" t="n">
        <x:f>H321*'Scenario Inputs'!$C$9</x:f>
        <x:v>29.607340277760017</x:v>
      </x:c>
      <x:c r="I325" s="58" t="n">
        <x:f>I321*'Scenario Inputs'!$C$9</x:f>
        <x:v>33.16022111109122</x:v>
      </x:c>
      <x:c r="J325" s="58" t="n">
        <x:f>J321*'Scenario Inputs'!$C$9</x:f>
        <x:v>37.13944764442216</x:v>
      </x:c>
      <x:c r="K325" s="58" t="n">
        <x:f>K321*'Scenario Inputs'!$C$9</x:f>
        <x:v>41.596181361752826</x:v>
      </x:c>
      <x:c r="L325" s="58" t="n">
        <x:f>L321*'Scenario Inputs'!$C$9</x:f>
        <x:v>46.58772312516317</x:v>
      </x:c>
      <x:c r="M325" s="58" t="n">
        <x:f>M321*'Scenario Inputs'!$C$9</x:f>
        <x:v>52.17824990018276</x:v>
      </x:c>
      <x:c r="N325" s="58" t="n">
        <x:f>N321*'Scenario Inputs'!$C$9</x:f>
        <x:v>56.35250989219738</x:v>
      </x:c>
      <x:c r="O325" s="58" t="n">
        <x:f>O321*'Scenario Inputs'!$C$9</x:f>
        <x:v>60.86071068357318</x:v>
      </x:c>
      <x:c r="P325" s="58" t="n">
        <x:f>P321*'Scenario Inputs'!$C$9</x:f>
        <x:v>65.72956753825905</x:v>
      </x:c>
      <x:c r="Q325" s="58" t="n">
        <x:f>Q321*'Scenario Inputs'!$C$9</x:f>
        <x:v>70.98793294131977</x:v>
      </x:c>
      <x:c r="R325" s="58" t="n">
        <x:f>R321*'Scenario Inputs'!$C$9</x:f>
        <x:v>76.66696757662535</x:v>
      </x:c>
      <x:c r="S325" s="58" t="n">
        <x:f>S321*'Scenario Inputs'!$C$9</x:f>
        <x:v>82.80032498275538</x:v>
      </x:c>
      <x:c r="T325" s="58" t="n">
        <x:f>T321*'Scenario Inputs'!$C$9</x:f>
        <x:v>89.42435098137582</x:v>
      </x:c>
      <x:c r="U325" s="58" t="n">
        <x:f>U321*'Scenario Inputs'!$C$9</x:f>
        <x:v>96.5782990598859</x:v>
      </x:c>
      <x:c r="V325" s="58" t="n">
        <x:f>V321*'Scenario Inputs'!$C$9</x:f>
        <x:v>104.30456298467676</x:v>
      </x:c>
      <x:c r="W325" s="58" t="n">
        <x:f>W321*'Scenario Inputs'!$C$9</x:f>
        <x:v>112.6489280234509</x:v>
      </x:c>
      <x:c r="X325" s="58" t="n">
        <x:f>X321*'Scenario Inputs'!$C$9</x:f>
        <x:v>121.66084226532699</x:v>
      </x:c>
      <x:c r="Y325" s="58" t="n">
        <x:f>Y321*'Scenario Inputs'!$C$9</x:f>
        <x:v>131.39370964655313</x:v>
      </x:c>
      <x:c r="Z325" s="58" t="n">
        <x:f>Z321*'Scenario Inputs'!$C$9</x:f>
        <x:v>139.27733222534636</x:v>
      </x:c>
      <x:c r="AA325" s="58" t="n">
        <x:f>AA321*'Scenario Inputs'!$C$9</x:f>
        <x:v>147.63397215886715</x:v>
      </x:c>
      <x:c r="AB325" s="58" t="n">
        <x:f>AB321*'Scenario Inputs'!$C$9</x:f>
        <x:v>156.4920104883992</x:v>
      </x:c>
      <x:c r="AC325" s="58" t="n">
        <x:f>AC321*'Scenario Inputs'!$C$9</x:f>
        <x:v>165.88153111770316</x:v>
      </x:c>
      <x:c r="AD325" s="58" t="n">
        <x:f>AD321*'Scenario Inputs'!$C$9</x:f>
        <x:v>175.83442298476535</x:v>
      </x:c>
      <x:c r="AE325" s="58" t="n">
        <x:f>AE321*'Scenario Inputs'!$C$9</x:f>
        <x:v>186.38448836385126</x:v>
      </x:c>
      <x:c r="AF325" s="58" t="n">
        <x:f>AF321*'Scenario Inputs'!$C$9</x:f>
        <x:v>197.56755766568233</x:v>
      </x:c>
      <x:c r="AG325" s="58" t="n">
        <x:f>AG321*'Scenario Inputs'!$C$9</x:f>
        <x:v>209.4216111256233</x:v>
      </x:c>
      <x:c r="AH325" s="58" t="n">
        <x:f>AH321*'Scenario Inputs'!$C$9</x:f>
        <x:v>221.98690779316073</x:v>
      </x:c>
      <x:c r="AI325" s="58" t="n">
        <x:f>AI321*'Scenario Inputs'!$C$9</x:f>
        <x:v>235.30612226075036</x:v>
      </x:c>
      <x:c r="AJ325" s="58" t="n">
        <x:f>AJ321*'Scenario Inputs'!$C$9</x:f>
        <x:v>249.4244895963954</x:v>
      </x:c>
      <x:c r="AK325" s="58" t="n">
        <x:f>AK321*'Scenario Inputs'!$C$9</x:f>
        <x:v>264.38995897217916</x:v>
      </x:c>
    </x:row>
    <x:row r="326" ht="18" customHeight="1">
      <x:c r="A326" s="4" t="str">
        <x:v>New gross buyers: paid</x:v>
      </x:c>
      <x:c r="B326" s="58" t="n">
        <x:f>B324*'Scenario Inputs'!$C$12</x:f>
        <x:v>8</x:v>
      </x:c>
      <x:c r="C326" s="58" t="n">
        <x:f>C324*'Scenario Inputs'!$C$12</x:f>
        <x:v>8</x:v>
      </x:c>
      <x:c r="D326" s="58" t="n">
        <x:f>D324*'Scenario Inputs'!$C$12</x:f>
        <x:v>8</x:v>
      </x:c>
      <x:c r="E326" s="58" t="n">
        <x:f>E324*'Scenario Inputs'!$C$12</x:f>
        <x:v>16</x:v>
      </x:c>
      <x:c r="F326" s="58" t="n">
        <x:f>F324*'Scenario Inputs'!$C$12</x:f>
        <x:v>16</x:v>
      </x:c>
      <x:c r="G326" s="58" t="n">
        <x:f>G324*'Scenario Inputs'!$C$12</x:f>
        <x:v>16</x:v>
      </x:c>
      <x:c r="H326" s="58" t="n">
        <x:f>H324*'Scenario Inputs'!$C$12</x:f>
        <x:v>33.333333333333336</x:v>
      </x:c>
      <x:c r="I326" s="58" t="n">
        <x:f>I324*'Scenario Inputs'!$C$12</x:f>
        <x:v>33.333333333333336</x:v>
      </x:c>
      <x:c r="J326" s="58" t="n">
        <x:f>J324*'Scenario Inputs'!$C$12</x:f>
        <x:v>33.333333333333336</x:v>
      </x:c>
      <x:c r="K326" s="58" t="n">
        <x:f>K324*'Scenario Inputs'!$C$12</x:f>
        <x:v>33.333333333333336</x:v>
      </x:c>
      <x:c r="L326" s="58" t="n">
        <x:f>L324*'Scenario Inputs'!$C$12</x:f>
        <x:v>33.333333333333336</x:v>
      </x:c>
      <x:c r="M326" s="58" t="n">
        <x:f>M324*'Scenario Inputs'!$C$12</x:f>
        <x:v>33.333333333333336</x:v>
      </x:c>
      <x:c r="N326" s="58" t="n">
        <x:f>N324*'Scenario Inputs'!$C$12</x:f>
        <x:v>60.60606060606061</x:v>
      </x:c>
      <x:c r="O326" s="58" t="n">
        <x:f>O324*'Scenario Inputs'!$C$12</x:f>
        <x:v>60.60606060606061</x:v>
      </x:c>
      <x:c r="P326" s="58" t="n">
        <x:f>P324*'Scenario Inputs'!$C$12</x:f>
        <x:v>60.60606060606061</x:v>
      </x:c>
      <x:c r="Q326" s="58" t="n">
        <x:f>Q324*'Scenario Inputs'!$C$12</x:f>
        <x:v>60.60606060606061</x:v>
      </x:c>
      <x:c r="R326" s="58" t="n">
        <x:f>R324*'Scenario Inputs'!$C$12</x:f>
        <x:v>60.60606060606061</x:v>
      </x:c>
      <x:c r="S326" s="58" t="n">
        <x:f>S324*'Scenario Inputs'!$C$12</x:f>
        <x:v>60.60606060606061</x:v>
      </x:c>
      <x:c r="T326" s="58" t="n">
        <x:f>T324*'Scenario Inputs'!$C$12</x:f>
        <x:v>90.9090909090909</x:v>
      </x:c>
      <x:c r="U326" s="58" t="n">
        <x:f>U324*'Scenario Inputs'!$C$12</x:f>
        <x:v>90.9090909090909</x:v>
      </x:c>
      <x:c r="V326" s="58" t="n">
        <x:f>V324*'Scenario Inputs'!$C$12</x:f>
        <x:v>90.9090909090909</x:v>
      </x:c>
      <x:c r="W326" s="58" t="n">
        <x:f>W324*'Scenario Inputs'!$C$12</x:f>
        <x:v>90.9090909090909</x:v>
      </x:c>
      <x:c r="X326" s="58" t="n">
        <x:f>X324*'Scenario Inputs'!$C$12</x:f>
        <x:v>90.9090909090909</x:v>
      </x:c>
      <x:c r="Y326" s="58" t="n">
        <x:f>Y324*'Scenario Inputs'!$C$12</x:f>
        <x:v>90.9090909090909</x:v>
      </x:c>
      <x:c r="Z326" s="58" t="n">
        <x:f>Z324*'Scenario Inputs'!$C$12</x:f>
        <x:v>110.19283746556472</x:v>
      </x:c>
      <x:c r="AA326" s="58" t="n">
        <x:f>AA324*'Scenario Inputs'!$C$12</x:f>
        <x:v>110.19283746556472</x:v>
      </x:c>
      <x:c r="AB326" s="58" t="n">
        <x:f>AB324*'Scenario Inputs'!$C$12</x:f>
        <x:v>110.19283746556472</x:v>
      </x:c>
      <x:c r="AC326" s="58" t="n">
        <x:f>AC324*'Scenario Inputs'!$C$12</x:f>
        <x:v>110.19283746556472</x:v>
      </x:c>
      <x:c r="AD326" s="58" t="n">
        <x:f>AD324*'Scenario Inputs'!$C$12</x:f>
        <x:v>110.19283746556472</x:v>
      </x:c>
      <x:c r="AE326" s="58" t="n">
        <x:f>AE324*'Scenario Inputs'!$C$12</x:f>
        <x:v>110.19283746556472</x:v>
      </x:c>
      <x:c r="AF326" s="58" t="n">
        <x:f>AF324*'Scenario Inputs'!$C$12</x:f>
        <x:v>137.7410468319559</x:v>
      </x:c>
      <x:c r="AG326" s="58" t="n">
        <x:f>AG324*'Scenario Inputs'!$C$12</x:f>
        <x:v>137.7410468319559</x:v>
      </x:c>
      <x:c r="AH326" s="58" t="n">
        <x:f>AH324*'Scenario Inputs'!$C$12</x:f>
        <x:v>137.7410468319559</x:v>
      </x:c>
      <x:c r="AI326" s="58" t="n">
        <x:f>AI324*'Scenario Inputs'!$C$12</x:f>
        <x:v>137.7410468319559</x:v>
      </x:c>
      <x:c r="AJ326" s="58" t="n">
        <x:f>AJ324*'Scenario Inputs'!$C$12</x:f>
        <x:v>137.7410468319559</x:v>
      </x:c>
      <x:c r="AK326" s="58" t="n">
        <x:f>AK324*'Scenario Inputs'!$C$12</x:f>
        <x:v>137.7410468319559</x:v>
      </x:c>
    </x:row>
    <x:row r="327" ht="18" customHeight="1">
      <x:c r="A327" s="4" t="str">
        <x:v>Total new gross buyers</x:v>
      </x:c>
      <x:c r="B327" s="58" t="n">
        <x:f>SUM(B325:B326)</x:f>
        <x:v>23</x:v>
      </x:c>
      <x:c r="C327" s="58" t="n">
        <x:f>SUM(C325:C326)</x:f>
        <x:v>24.8</x:v>
      </x:c>
      <x:c r="D327" s="58" t="n">
        <x:f>SUM(D325:D326)</x:f>
        <x:v>26.816</x:v>
      </x:c>
      <x:c r="E327" s="58" t="n">
        <x:f>SUM(E325:E326)</x:f>
        <x:v>37.07392</x:v>
      </x:c>
      <x:c r="F327" s="58" t="n">
        <x:f>SUM(F325:F326)</x:f>
        <x:v>39.6027904</x:v>
      </x:c>
      <x:c r="G327" s="58" t="n">
        <x:f>SUM(G325:G326)</x:f>
        <x:v>42.435125248000006</x:v>
      </x:c>
      <x:c r="H327" s="58" t="n">
        <x:f>SUM(H325:H326)</x:f>
        <x:v>62.94067361109335</x:v>
      </x:c>
      <x:c r="I327" s="58" t="n">
        <x:f>SUM(I325:I326)</x:f>
        <x:v>66.49355444442455</x:v>
      </x:c>
      <x:c r="J327" s="58" t="n">
        <x:f>SUM(J325:J326)</x:f>
        <x:v>70.47278097775549</x:v>
      </x:c>
      <x:c r="K327" s="58" t="n">
        <x:f>SUM(K325:K326)</x:f>
        <x:v>74.92951469508617</x:v>
      </x:c>
      <x:c r="L327" s="58" t="n">
        <x:f>SUM(L325:L326)</x:f>
        <x:v>79.92105645849651</x:v>
      </x:c>
      <x:c r="M327" s="58" t="n">
        <x:f>SUM(M325:M326)</x:f>
        <x:v>85.51158323351609</x:v>
      </x:c>
      <x:c r="N327" s="58" t="n">
        <x:f>SUM(N325:N326)</x:f>
        <x:v>116.95857049825798</x:v>
      </x:c>
      <x:c r="O327" s="58" t="n">
        <x:f>SUM(O325:O326)</x:f>
        <x:v>121.46677128963378</x:v>
      </x:c>
      <x:c r="P327" s="58" t="n">
        <x:f>SUM(P325:P326)</x:f>
        <x:v>126.33562814431966</x:v>
      </x:c>
      <x:c r="Q327" s="58" t="n">
        <x:f>SUM(Q325:Q326)</x:f>
        <x:v>131.59399354738036</x:v>
      </x:c>
      <x:c r="R327" s="58" t="n">
        <x:f>SUM(R325:R326)</x:f>
        <x:v>137.27302818268595</x:v>
      </x:c>
      <x:c r="S327" s="58" t="n">
        <x:f>SUM(S325:S326)</x:f>
        <x:v>143.406385588816</x:v>
      </x:c>
      <x:c r="T327" s="58" t="n">
        <x:f>SUM(T325:T326)</x:f>
        <x:v>180.33344189046673</x:v>
      </x:c>
      <x:c r="U327" s="58" t="n">
        <x:f>SUM(U325:U326)</x:f>
        <x:v>187.4873899689768</x:v>
      </x:c>
      <x:c r="V327" s="58" t="n">
        <x:f>SUM(V325:V326)</x:f>
        <x:v>195.21365389376768</x:v>
      </x:c>
      <x:c r="W327" s="58" t="n">
        <x:f>SUM(W325:W326)</x:f>
        <x:v>203.5580189325418</x:v>
      </x:c>
      <x:c r="X327" s="58" t="n">
        <x:f>SUM(X325:X326)</x:f>
        <x:v>212.56993317441788</x:v>
      </x:c>
      <x:c r="Y327" s="58" t="n">
        <x:f>SUM(Y325:Y326)</x:f>
        <x:v>222.30280055564404</x:v>
      </x:c>
      <x:c r="Z327" s="58" t="n">
        <x:f>SUM(Z325:Z326)</x:f>
        <x:v>249.47016969091106</x:v>
      </x:c>
      <x:c r="AA327" s="58" t="n">
        <x:f>SUM(AA325:AA326)</x:f>
        <x:v>257.82680962443186</x:v>
      </x:c>
      <x:c r="AB327" s="58" t="n">
        <x:f>SUM(AB325:AB326)</x:f>
        <x:v>266.6848479539639</x:v>
      </x:c>
      <x:c r="AC327" s="58" t="n">
        <x:f>SUM(AC325:AC326)</x:f>
        <x:v>276.07436858326787</x:v>
      </x:c>
      <x:c r="AD327" s="58" t="n">
        <x:f>SUM(AD325:AD326)</x:f>
        <x:v>286.02726045033006</x:v>
      </x:c>
      <x:c r="AE327" s="58" t="n">
        <x:f>SUM(AE325:AE326)</x:f>
        <x:v>296.577325829416</x:v>
      </x:c>
      <x:c r="AF327" s="58" t="n">
        <x:f>SUM(AF325:AF326)</x:f>
        <x:v>335.30860449763827</x:v>
      </x:c>
      <x:c r="AG327" s="58" t="n">
        <x:f>SUM(AG325:AG326)</x:f>
        <x:v>347.1626579575792</x:v>
      </x:c>
      <x:c r="AH327" s="58" t="n">
        <x:f>SUM(AH325:AH326)</x:f>
        <x:v>359.72795462511664</x:v>
      </x:c>
      <x:c r="AI327" s="58" t="n">
        <x:f>SUM(AI325:AI326)</x:f>
        <x:v>373.04716909270627</x:v>
      </x:c>
      <x:c r="AJ327" s="58" t="n">
        <x:f>SUM(AJ325:AJ326)</x:f>
        <x:v>387.1655364283513</x:v>
      </x:c>
      <x:c r="AK327" s="58" t="n">
        <x:f>SUM(AK325:AK326)</x:f>
        <x:v>402.13100580413504</x:v>
      </x:c>
    </x:row>
    <x:row r="328" ht="18" customHeight="1">
      <x:c r="A328" s="4" t="str">
        <x:v>New buyers after refunds</x:v>
      </x:c>
      <x:c r="B328" s="58" t="n">
        <x:f>B327*(1-'Scenario Inputs'!$C$29)</x:f>
        <x:v>22.31</x:v>
      </x:c>
      <x:c r="C328" s="58" t="n">
        <x:f>C327*(1-'Scenario Inputs'!$C$29)</x:f>
        <x:v>24.056</x:v>
      </x:c>
      <x:c r="D328" s="58" t="n">
        <x:f>D327*(1-'Scenario Inputs'!$C$29)</x:f>
        <x:v>26.011519999999997</x:v>
      </x:c>
      <x:c r="E328" s="58" t="n">
        <x:f>E327*(1-'Scenario Inputs'!$C$29)</x:f>
        <x:v>35.9617024</x:v>
      </x:c>
      <x:c r="F328" s="58" t="n">
        <x:f>F327*(1-'Scenario Inputs'!$C$29)</x:f>
        <x:v>38.414706688</x:v>
      </x:c>
      <x:c r="G328" s="58" t="n">
        <x:f>G327*(1-'Scenario Inputs'!$C$29)</x:f>
        <x:v>41.16207149056</x:v>
      </x:c>
      <x:c r="H328" s="58" t="n">
        <x:f>H327*(1-'Scenario Inputs'!$C$29)</x:f>
        <x:v>61.05245340276055</x:v>
      </x:c>
      <x:c r="I328" s="58" t="n">
        <x:f>I327*(1-'Scenario Inputs'!$C$29)</x:f>
        <x:v>64.4987478110918</x:v>
      </x:c>
      <x:c r="J328" s="58" t="n">
        <x:f>J327*(1-'Scenario Inputs'!$C$29)</x:f>
        <x:v>68.35859754842282</x:v>
      </x:c>
      <x:c r="K328" s="58" t="n">
        <x:f>K327*(1-'Scenario Inputs'!$C$29)</x:f>
        <x:v>72.68162925423358</x:v>
      </x:c>
      <x:c r="L328" s="58" t="n">
        <x:f>L327*(1-'Scenario Inputs'!$C$29)</x:f>
        <x:v>77.5234247647416</x:v>
      </x:c>
      <x:c r="M328" s="58" t="n">
        <x:f>M327*(1-'Scenario Inputs'!$C$29)</x:f>
        <x:v>82.9462357365106</x:v>
      </x:c>
      <x:c r="N328" s="58" t="n">
        <x:f>N327*(1-'Scenario Inputs'!$C$29)</x:f>
        <x:v>113.44981338331024</x:v>
      </x:c>
      <x:c r="O328" s="58" t="n">
        <x:f>O327*(1-'Scenario Inputs'!$C$29)</x:f>
        <x:v>117.82276815094477</x:v>
      </x:c>
      <x:c r="P328" s="58" t="n">
        <x:f>P327*(1-'Scenario Inputs'!$C$29)</x:f>
        <x:v>122.54555929999006</x:v>
      </x:c>
      <x:c r="Q328" s="58" t="n">
        <x:f>Q327*(1-'Scenario Inputs'!$C$29)</x:f>
        <x:v>127.64617374095894</x:v>
      </x:c>
      <x:c r="R328" s="58" t="n">
        <x:f>R327*(1-'Scenario Inputs'!$C$29)</x:f>
        <x:v>133.15483733720538</x:v>
      </x:c>
      <x:c r="S328" s="58" t="n">
        <x:f>S327*(1-'Scenario Inputs'!$C$29)</x:f>
        <x:v>139.1041940211515</x:v>
      </x:c>
      <x:c r="T328" s="58" t="n">
        <x:f>T327*(1-'Scenario Inputs'!$C$29)</x:f>
        <x:v>174.9234386337527</x:v>
      </x:c>
      <x:c r="U328" s="58" t="n">
        <x:f>U327*(1-'Scenario Inputs'!$C$29)</x:f>
        <x:v>181.8627682699075</x:v>
      </x:c>
      <x:c r="V328" s="58" t="n">
        <x:f>V327*(1-'Scenario Inputs'!$C$29)</x:f>
        <x:v>189.35724427695465</x:v>
      </x:c>
      <x:c r="W328" s="58" t="n">
        <x:f>W327*(1-'Scenario Inputs'!$C$29)</x:f>
        <x:v>197.45127836456555</x:v>
      </x:c>
      <x:c r="X328" s="58" t="n">
        <x:f>X327*(1-'Scenario Inputs'!$C$29)</x:f>
        <x:v>206.19283517918535</x:v>
      </x:c>
      <x:c r="Y328" s="58" t="n">
        <x:f>Y327*(1-'Scenario Inputs'!$C$29)</x:f>
        <x:v>215.6337165389747</x:v>
      </x:c>
      <x:c r="Z328" s="58" t="n">
        <x:f>Z327*(1-'Scenario Inputs'!$C$29)</x:f>
        <x:v>241.98606460018374</x:v>
      </x:c>
      <x:c r="AA328" s="58" t="n">
        <x:f>AA327*(1-'Scenario Inputs'!$C$29)</x:f>
        <x:v>250.0920053356989</x:v>
      </x:c>
      <x:c r="AB328" s="58" t="n">
        <x:f>AB327*(1-'Scenario Inputs'!$C$29)</x:f>
        <x:v>258.684302515345</x:v>
      </x:c>
      <x:c r="AC328" s="58" t="n">
        <x:f>AC327*(1-'Scenario Inputs'!$C$29)</x:f>
        <x:v>267.7921375257698</x:v>
      </x:c>
      <x:c r="AD328" s="58" t="n">
        <x:f>AD327*(1-'Scenario Inputs'!$C$29)</x:f>
        <x:v>277.44644263682017</x:v>
      </x:c>
      <x:c r="AE328" s="58" t="n">
        <x:f>AE327*(1-'Scenario Inputs'!$C$29)</x:f>
        <x:v>287.6800060545335</x:v>
      </x:c>
      <x:c r="AF328" s="58" t="n">
        <x:f>AF327*(1-'Scenario Inputs'!$C$29)</x:f>
        <x:v>325.2493463627091</x:v>
      </x:c>
      <x:c r="AG328" s="58" t="n">
        <x:f>AG327*(1-'Scenario Inputs'!$C$29)</x:f>
        <x:v>336.7477782188518</x:v>
      </x:c>
      <x:c r="AH328" s="58" t="n">
        <x:f>AH327*(1-'Scenario Inputs'!$C$29)</x:f>
        <x:v>348.9361159863631</x:v>
      </x:c>
      <x:c r="AI328" s="58" t="n">
        <x:f>AI327*(1-'Scenario Inputs'!$C$29)</x:f>
        <x:v>361.8557540199251</x:v>
      </x:c>
      <x:c r="AJ328" s="58" t="n">
        <x:f>AJ327*(1-'Scenario Inputs'!$C$29)</x:f>
        <x:v>375.55057033550077</x:v>
      </x:c>
      <x:c r="AK328" s="58" t="n">
        <x:f>AK327*(1-'Scenario Inputs'!$C$29)</x:f>
        <x:v>390.067075630011</x:v>
      </x:c>
    </x:row>
    <x:row r="329" ht="18" customHeight="1">
      <x:c r="A329" s="4" t="str">
        <x:v>Paid creative allowance (INR)</x:v>
      </x:c>
      <x:c r="B329" s="58" t="n">
        <x:f>B322*'Scenario Inputs'!$C$13</x:f>
        <x:v>1500</x:v>
      </x:c>
      <x:c r="C329" s="58" t="n">
        <x:f>C322*'Scenario Inputs'!$C$13</x:f>
        <x:v>1500</x:v>
      </x:c>
      <x:c r="D329" s="58" t="n">
        <x:f>D322*'Scenario Inputs'!$C$13</x:f>
        <x:v>1500</x:v>
      </x:c>
      <x:c r="E329" s="58" t="n">
        <x:f>E322*'Scenario Inputs'!$C$13</x:f>
        <x:v>3000</x:v>
      </x:c>
      <x:c r="F329" s="58" t="n">
        <x:f>F322*'Scenario Inputs'!$C$13</x:f>
        <x:v>3000</x:v>
      </x:c>
      <x:c r="G329" s="58" t="n">
        <x:f>G322*'Scenario Inputs'!$C$13</x:f>
        <x:v>3000</x:v>
      </x:c>
      <x:c r="H329" s="58" t="n">
        <x:f>H322*'Scenario Inputs'!$C$13</x:f>
        <x:v>6250</x:v>
      </x:c>
      <x:c r="I329" s="58" t="n">
        <x:f>I322*'Scenario Inputs'!$C$13</x:f>
        <x:v>6250</x:v>
      </x:c>
      <x:c r="J329" s="58" t="n">
        <x:f>J322*'Scenario Inputs'!$C$13</x:f>
        <x:v>6250</x:v>
      </x:c>
      <x:c r="K329" s="58" t="n">
        <x:f>K322*'Scenario Inputs'!$C$13</x:f>
        <x:v>6250</x:v>
      </x:c>
      <x:c r="L329" s="58" t="n">
        <x:f>L322*'Scenario Inputs'!$C$13</x:f>
        <x:v>6250</x:v>
      </x:c>
      <x:c r="M329" s="58" t="n">
        <x:f>M322*'Scenario Inputs'!$C$13</x:f>
        <x:v>6250</x:v>
      </x:c>
      <x:c r="N329" s="58" t="n">
        <x:f>N322*'Scenario Inputs'!$C$13</x:f>
        <x:v>12500</x:v>
      </x:c>
      <x:c r="O329" s="58" t="n">
        <x:f>O322*'Scenario Inputs'!$C$13</x:f>
        <x:v>12500</x:v>
      </x:c>
      <x:c r="P329" s="58" t="n">
        <x:f>P322*'Scenario Inputs'!$C$13</x:f>
        <x:v>12500</x:v>
      </x:c>
      <x:c r="Q329" s="58" t="n">
        <x:f>Q322*'Scenario Inputs'!$C$13</x:f>
        <x:v>12500</x:v>
      </x:c>
      <x:c r="R329" s="58" t="n">
        <x:f>R322*'Scenario Inputs'!$C$13</x:f>
        <x:v>12500</x:v>
      </x:c>
      <x:c r="S329" s="58" t="n">
        <x:f>S322*'Scenario Inputs'!$C$13</x:f>
        <x:v>12500</x:v>
      </x:c>
      <x:c r="T329" s="58" t="n">
        <x:f>T322*'Scenario Inputs'!$C$13</x:f>
        <x:v>18750</x:v>
      </x:c>
      <x:c r="U329" s="58" t="n">
        <x:f>U322*'Scenario Inputs'!$C$13</x:f>
        <x:v>18750</x:v>
      </x:c>
      <x:c r="V329" s="58" t="n">
        <x:f>V322*'Scenario Inputs'!$C$13</x:f>
        <x:v>18750</x:v>
      </x:c>
      <x:c r="W329" s="58" t="n">
        <x:f>W322*'Scenario Inputs'!$C$13</x:f>
        <x:v>18750</x:v>
      </x:c>
      <x:c r="X329" s="58" t="n">
        <x:f>X322*'Scenario Inputs'!$C$13</x:f>
        <x:v>18750</x:v>
      </x:c>
      <x:c r="Y329" s="58" t="n">
        <x:f>Y322*'Scenario Inputs'!$C$13</x:f>
        <x:v>18750</x:v>
      </x:c>
      <x:c r="Z329" s="58" t="n">
        <x:f>Z322*'Scenario Inputs'!$C$13</x:f>
        <x:v>25000</x:v>
      </x:c>
      <x:c r="AA329" s="58" t="n">
        <x:f>AA322*'Scenario Inputs'!$C$13</x:f>
        <x:v>25000</x:v>
      </x:c>
      <x:c r="AB329" s="58" t="n">
        <x:f>AB322*'Scenario Inputs'!$C$13</x:f>
        <x:v>25000</x:v>
      </x:c>
      <x:c r="AC329" s="58" t="n">
        <x:f>AC322*'Scenario Inputs'!$C$13</x:f>
        <x:v>25000</x:v>
      </x:c>
      <x:c r="AD329" s="58" t="n">
        <x:f>AD322*'Scenario Inputs'!$C$13</x:f>
        <x:v>25000</x:v>
      </x:c>
      <x:c r="AE329" s="58" t="n">
        <x:f>AE322*'Scenario Inputs'!$C$13</x:f>
        <x:v>25000</x:v>
      </x:c>
      <x:c r="AF329" s="58" t="n">
        <x:f>AF322*'Scenario Inputs'!$C$13</x:f>
        <x:v>31250</x:v>
      </x:c>
      <x:c r="AG329" s="58" t="n">
        <x:f>AG322*'Scenario Inputs'!$C$13</x:f>
        <x:v>31250</x:v>
      </x:c>
      <x:c r="AH329" s="58" t="n">
        <x:f>AH322*'Scenario Inputs'!$C$13</x:f>
        <x:v>31250</x:v>
      </x:c>
      <x:c r="AI329" s="58" t="n">
        <x:f>AI322*'Scenario Inputs'!$C$13</x:f>
        <x:v>31250</x:v>
      </x:c>
      <x:c r="AJ329" s="58" t="n">
        <x:f>AJ322*'Scenario Inputs'!$C$13</x:f>
        <x:v>31250</x:v>
      </x:c>
      <x:c r="AK329" s="58" t="n">
        <x:f>AK322*'Scenario Inputs'!$C$13</x:f>
        <x:v>31250</x:v>
      </x:c>
    </x:row>
    <x:row r="330" ht="18" customHeight="1">
      <x:c r="A330" s="4" t="str">
        <x:v>Organic / partner content cash (INR)</x:v>
      </x:c>
      <x:c r="B330" s="60" t="n">
        <x:f>'Scenario Inputs'!$C$21</x:f>
        <x:v>5000</x:v>
      </x:c>
      <x:c r="C330" s="60" t="n">
        <x:f>'Scenario Inputs'!$C$21</x:f>
        <x:v>5000</x:v>
      </x:c>
      <x:c r="D330" s="60" t="n">
        <x:f>'Scenario Inputs'!$C$21</x:f>
        <x:v>5000</x:v>
      </x:c>
      <x:c r="E330" s="60" t="n">
        <x:f>'Scenario Inputs'!$C$21</x:f>
        <x:v>5000</x:v>
      </x:c>
      <x:c r="F330" s="60" t="n">
        <x:f>'Scenario Inputs'!$C$21</x:f>
        <x:v>5000</x:v>
      </x:c>
      <x:c r="G330" s="60" t="n">
        <x:f>'Scenario Inputs'!$C$21</x:f>
        <x:v>5000</x:v>
      </x:c>
      <x:c r="H330" s="60" t="n">
        <x:f>'Scenario Inputs'!$C$21</x:f>
        <x:v>5000</x:v>
      </x:c>
      <x:c r="I330" s="60" t="n">
        <x:f>'Scenario Inputs'!$C$21</x:f>
        <x:v>5000</x:v>
      </x:c>
      <x:c r="J330" s="60" t="n">
        <x:f>'Scenario Inputs'!$C$21</x:f>
        <x:v>5000</x:v>
      </x:c>
      <x:c r="K330" s="60" t="n">
        <x:f>'Scenario Inputs'!$C$21</x:f>
        <x:v>5000</x:v>
      </x:c>
      <x:c r="L330" s="60" t="n">
        <x:f>'Scenario Inputs'!$C$21</x:f>
        <x:v>5000</x:v>
      </x:c>
      <x:c r="M330" s="60" t="n">
        <x:f>'Scenario Inputs'!$C$21</x:f>
        <x:v>5000</x:v>
      </x:c>
      <x:c r="N330" s="60" t="n">
        <x:f>'Scenario Inputs'!$C$22</x:f>
        <x:v>10000</x:v>
      </x:c>
      <x:c r="O330" s="60" t="n">
        <x:f>'Scenario Inputs'!$C$22</x:f>
        <x:v>10000</x:v>
      </x:c>
      <x:c r="P330" s="60" t="n">
        <x:f>'Scenario Inputs'!$C$22</x:f>
        <x:v>10000</x:v>
      </x:c>
      <x:c r="Q330" s="60" t="n">
        <x:f>'Scenario Inputs'!$C$22</x:f>
        <x:v>10000</x:v>
      </x:c>
      <x:c r="R330" s="60" t="n">
        <x:f>'Scenario Inputs'!$C$22</x:f>
        <x:v>10000</x:v>
      </x:c>
      <x:c r="S330" s="60" t="n">
        <x:f>'Scenario Inputs'!$C$22</x:f>
        <x:v>10000</x:v>
      </x:c>
      <x:c r="T330" s="60" t="n">
        <x:f>'Scenario Inputs'!$C$22</x:f>
        <x:v>10000</x:v>
      </x:c>
      <x:c r="U330" s="60" t="n">
        <x:f>'Scenario Inputs'!$C$22</x:f>
        <x:v>10000</x:v>
      </x:c>
      <x:c r="V330" s="60" t="n">
        <x:f>'Scenario Inputs'!$C$22</x:f>
        <x:v>10000</x:v>
      </x:c>
      <x:c r="W330" s="60" t="n">
        <x:f>'Scenario Inputs'!$C$22</x:f>
        <x:v>10000</x:v>
      </x:c>
      <x:c r="X330" s="60" t="n">
        <x:f>'Scenario Inputs'!$C$22</x:f>
        <x:v>10000</x:v>
      </x:c>
      <x:c r="Y330" s="60" t="n">
        <x:f>'Scenario Inputs'!$C$22</x:f>
        <x:v>10000</x:v>
      </x:c>
      <x:c r="Z330" s="60" t="n">
        <x:f>'Scenario Inputs'!$C$23</x:f>
        <x:v>15000</x:v>
      </x:c>
      <x:c r="AA330" s="60" t="n">
        <x:f>'Scenario Inputs'!$C$23</x:f>
        <x:v>15000</x:v>
      </x:c>
      <x:c r="AB330" s="60" t="n">
        <x:f>'Scenario Inputs'!$C$23</x:f>
        <x:v>15000</x:v>
      </x:c>
      <x:c r="AC330" s="60" t="n">
        <x:f>'Scenario Inputs'!$C$23</x:f>
        <x:v>15000</x:v>
      </x:c>
      <x:c r="AD330" s="60" t="n">
        <x:f>'Scenario Inputs'!$C$23</x:f>
        <x:v>15000</x:v>
      </x:c>
      <x:c r="AE330" s="60" t="n">
        <x:f>'Scenario Inputs'!$C$23</x:f>
        <x:v>15000</x:v>
      </x:c>
      <x:c r="AF330" s="60" t="n">
        <x:f>'Scenario Inputs'!$C$23</x:f>
        <x:v>15000</x:v>
      </x:c>
      <x:c r="AG330" s="60" t="n">
        <x:f>'Scenario Inputs'!$C$23</x:f>
        <x:v>15000</x:v>
      </x:c>
      <x:c r="AH330" s="60" t="n">
        <x:f>'Scenario Inputs'!$C$23</x:f>
        <x:v>15000</x:v>
      </x:c>
      <x:c r="AI330" s="60" t="n">
        <x:f>'Scenario Inputs'!$C$23</x:f>
        <x:v>15000</x:v>
      </x:c>
      <x:c r="AJ330" s="60" t="n">
        <x:f>'Scenario Inputs'!$C$23</x:f>
        <x:v>15000</x:v>
      </x:c>
      <x:c r="AK330" s="60" t="n">
        <x:f>'Scenario Inputs'!$C$23</x:f>
        <x:v>15000</x:v>
      </x:c>
    </x:row>
    <x:row r="331" ht="18" customHeight="1">
      <x:c r="A331" s="74" t="str">
        <x:v>TOTAL ACQUISITION SPEND (INR)</x:v>
      </x:c>
      <x:c r="B331" s="75" t="n">
        <x:f>B322+SUM(B329:B330)</x:f>
        <x:v>12500</x:v>
      </x:c>
      <x:c r="C331" s="75" t="n">
        <x:f>C322+SUM(C329:C330)</x:f>
        <x:v>12500</x:v>
      </x:c>
      <x:c r="D331" s="75" t="n">
        <x:f>D322+SUM(D329:D330)</x:f>
        <x:v>12500</x:v>
      </x:c>
      <x:c r="E331" s="75" t="n">
        <x:f>E322+SUM(E329:E330)</x:f>
        <x:v>20000</x:v>
      </x:c>
      <x:c r="F331" s="75" t="n">
        <x:f>F322+SUM(F329:F330)</x:f>
        <x:v>20000</x:v>
      </x:c>
      <x:c r="G331" s="75" t="n">
        <x:f>G322+SUM(G329:G330)</x:f>
        <x:v>20000</x:v>
      </x:c>
      <x:c r="H331" s="75" t="n">
        <x:f>H322+SUM(H329:H330)</x:f>
        <x:v>36250</x:v>
      </x:c>
      <x:c r="I331" s="75" t="n">
        <x:f>I322+SUM(I329:I330)</x:f>
        <x:v>36250</x:v>
      </x:c>
      <x:c r="J331" s="75" t="n">
        <x:f>J322+SUM(J329:J330)</x:f>
        <x:v>36250</x:v>
      </x:c>
      <x:c r="K331" s="75" t="n">
        <x:f>K322+SUM(K329:K330)</x:f>
        <x:v>36250</x:v>
      </x:c>
      <x:c r="L331" s="75" t="n">
        <x:f>L322+SUM(L329:L330)</x:f>
        <x:v>36250</x:v>
      </x:c>
      <x:c r="M331" s="75" t="n">
        <x:f>M322+SUM(M329:M330)</x:f>
        <x:v>36250</x:v>
      </x:c>
      <x:c r="N331" s="75" t="n">
        <x:f>N322+SUM(N329:N330)</x:f>
        <x:v>72500</x:v>
      </x:c>
      <x:c r="O331" s="75" t="n">
        <x:f>O322+SUM(O329:O330)</x:f>
        <x:v>72500</x:v>
      </x:c>
      <x:c r="P331" s="75" t="n">
        <x:f>P322+SUM(P329:P330)</x:f>
        <x:v>72500</x:v>
      </x:c>
      <x:c r="Q331" s="75" t="n">
        <x:f>Q322+SUM(Q329:Q330)</x:f>
        <x:v>72500</x:v>
      </x:c>
      <x:c r="R331" s="75" t="n">
        <x:f>R322+SUM(R329:R330)</x:f>
        <x:v>72500</x:v>
      </x:c>
      <x:c r="S331" s="75" t="n">
        <x:f>S322+SUM(S329:S330)</x:f>
        <x:v>72500</x:v>
      </x:c>
      <x:c r="T331" s="75" t="n">
        <x:f>T322+SUM(T329:T330)</x:f>
        <x:v>103750</x:v>
      </x:c>
      <x:c r="U331" s="75" t="n">
        <x:f>U322+SUM(U329:U330)</x:f>
        <x:v>103750</x:v>
      </x:c>
      <x:c r="V331" s="75" t="n">
        <x:f>V322+SUM(V329:V330)</x:f>
        <x:v>103750</x:v>
      </x:c>
      <x:c r="W331" s="75" t="n">
        <x:f>W322+SUM(W329:W330)</x:f>
        <x:v>103750</x:v>
      </x:c>
      <x:c r="X331" s="75" t="n">
        <x:f>X322+SUM(X329:X330)</x:f>
        <x:v>103750</x:v>
      </x:c>
      <x:c r="Y331" s="75" t="n">
        <x:f>Y322+SUM(Y329:Y330)</x:f>
        <x:v>103750</x:v>
      </x:c>
      <x:c r="Z331" s="75" t="n">
        <x:f>Z322+SUM(Z329:Z330)</x:f>
        <x:v>140000</x:v>
      </x:c>
      <x:c r="AA331" s="75" t="n">
        <x:f>AA322+SUM(AA329:AA330)</x:f>
        <x:v>140000</x:v>
      </x:c>
      <x:c r="AB331" s="75" t="n">
        <x:f>AB322+SUM(AB329:AB330)</x:f>
        <x:v>140000</x:v>
      </x:c>
      <x:c r="AC331" s="75" t="n">
        <x:f>AC322+SUM(AC329:AC330)</x:f>
        <x:v>140000</x:v>
      </x:c>
      <x:c r="AD331" s="75" t="n">
        <x:f>AD322+SUM(AD329:AD330)</x:f>
        <x:v>140000</x:v>
      </x:c>
      <x:c r="AE331" s="75" t="n">
        <x:f>AE322+SUM(AE329:AE330)</x:f>
        <x:v>140000</x:v>
      </x:c>
      <x:c r="AF331" s="75" t="n">
        <x:f>AF322+SUM(AF329:AF330)</x:f>
        <x:v>171250</x:v>
      </x:c>
      <x:c r="AG331" s="75" t="n">
        <x:f>AG322+SUM(AG329:AG330)</x:f>
        <x:v>171250</x:v>
      </x:c>
      <x:c r="AH331" s="75" t="n">
        <x:f>AH322+SUM(AH329:AH330)</x:f>
        <x:v>171250</x:v>
      </x:c>
      <x:c r="AI331" s="75" t="n">
        <x:f>AI322+SUM(AI329:AI330)</x:f>
        <x:v>171250</x:v>
      </x:c>
      <x:c r="AJ331" s="75" t="n">
        <x:f>AJ322+SUM(AJ329:AJ330)</x:f>
        <x:v>171250</x:v>
      </x:c>
      <x:c r="AK331" s="75" t="n">
        <x:f>AK322+SUM(AK329:AK330)</x:f>
        <x:v>171250</x:v>
      </x:c>
    </x:row>
    <x:row r="332" ht="18" customHeight="1">
      <x:c r="A332" s="4" t="str">
        <x:v>Blended cash CAC (INR / gross buyer)</x:v>
      </x:c>
      <x:c r="B332" s="64" t="n">
        <x:f>IFERROR(B331/B327,0)</x:f>
        <x:v>543.4782608695652</x:v>
      </x:c>
      <x:c r="C332" s="64" t="n">
        <x:f>IFERROR(C331/C327,0)</x:f>
        <x:v>504.0322580645161</x:v>
      </x:c>
      <x:c r="D332" s="64" t="n">
        <x:f>IFERROR(D331/D327,0)</x:f>
        <x:v>466.13961813842485</x:v>
      </x:c>
      <x:c r="E332" s="64" t="n">
        <x:f>IFERROR(E331/E327,0)</x:f>
        <x:v>539.4627813837867</x:v>
      </x:c>
      <x:c r="F332" s="64" t="n">
        <x:f>IFERROR(F331/F327,0)</x:f>
        <x:v>505.01491935275345</x:v>
      </x:c>
      <x:c r="G332" s="64" t="n">
        <x:f>IFERROR(G331/G327,0)</x:f>
        <x:v>471.3076698399191</x:v>
      </x:c>
      <x:c r="H332" s="64" t="n">
        <x:f>IFERROR(H331/H327,0)</x:f>
        <x:v>575.9391808226676</x:v>
      </x:c>
      <x:c r="I332" s="64" t="n">
        <x:f>IFERROR(I331/I327,0)</x:f>
        <x:v>545.1656224859784</x:v>
      </x:c>
      <x:c r="J332" s="64" t="n">
        <x:f>IFERROR(J331/J327,0)</x:f>
        <x:v>514.3829929379713</x:v>
      </x:c>
      <x:c r="K332" s="64" t="n">
        <x:f>IFERROR(K331/K327,0)</x:f>
        <x:v>483.78799926188833</x:v>
      </x:c>
      <x:c r="L332" s="64" t="n">
        <x:f>IFERROR(L331/L327,0)</x:f>
        <x:v>453.57258282521383</x:v>
      </x:c>
      <x:c r="M332" s="64" t="n">
        <x:f>IFERROR(M331/M327,0)</x:f>
        <x:v>423.9191771365997</x:v>
      </x:c>
      <x:c r="N332" s="64" t="n">
        <x:f>IFERROR(N331/N327,0)</x:f>
        <x:v>619.8776172720052</x:v>
      </x:c>
      <x:c r="O332" s="64" t="n">
        <x:f>IFERROR(O331/O327,0)</x:f>
        <x:v>596.8710556002676</x:v>
      </x:c>
      <x:c r="P332" s="64" t="n">
        <x:f>IFERROR(P331/P327,0)</x:f>
        <x:v>573.8682038069225</x:v>
      </x:c>
      <x:c r="Q332" s="64" t="n">
        <x:f>IFERROR(Q331/Q327,0)</x:f>
        <x:v>550.9369998251204</x:v>
      </x:c>
      <x:c r="R332" s="64" t="n">
        <x:f>IFERROR(R331/R327,0)</x:f>
        <x:v>528.144537640092</x:v>
      </x:c>
      <x:c r="S332" s="64" t="n">
        <x:f>IFERROR(S331/S327,0)</x:f>
        <x:v>505.5562881828474</x:v>
      </x:c>
      <x:c r="T332" s="64" t="n">
        <x:f>IFERROR(T331/T327,0)</x:f>
        <x:v>575.3231287129595</x:v>
      </x:c>
      <x:c r="U332" s="64" t="n">
        <x:f>IFERROR(U331/U327,0)</x:f>
        <x:v>553.3705494389106</x:v>
      </x:c>
      <x:c r="V332" s="64" t="n">
        <x:f>IFERROR(V331/V327,0)</x:f>
        <x:v>531.4689722290592</x:v>
      </x:c>
      <x:c r="W332" s="64" t="n">
        <x:f>IFERROR(W331/W327,0)</x:f>
        <x:v>509.6826965798988</x:v>
      </x:c>
      <x:c r="X332" s="64" t="n">
        <x:f>IFERROR(X331/X327,0)</x:f>
        <x:v>488.0746700657381</x:v>
      </x:c>
      <x:c r="Y332" s="64" t="n">
        <x:f>IFERROR(Y331/Y327,0)</x:f>
        <x:v>466.70577132036897</x:v>
      </x:c>
      <x:c r="Z332" s="64" t="n">
        <x:f>IFERROR(Z331/Z327,0)</x:f>
        <x:v>561.1893404869104</x:v>
      </x:c>
      <x:c r="AA332" s="64" t="n">
        <x:f>IFERROR(AA331/AA327,0)</x:f>
        <x:v>543.0001643503775</x:v>
      </x:c>
      <x:c r="AB332" s="64" t="n">
        <x:f>IFERROR(AB331/AB327,0)</x:f>
        <x:v>524.9642080309238</x:v>
      </x:c>
      <x:c r="AC332" s="64" t="n">
        <x:f>IFERROR(AC331/AC327,0)</x:f>
        <x:v>507.1097353891948</x:v>
      </x:c>
      <x:c r="AD332" s="64" t="n">
        <x:f>IFERROR(AD331/AD327,0)</x:f>
        <x:v>489.4638356483215</x:v>
      </x:c>
      <x:c r="AE332" s="64" t="n">
        <x:f>IFERROR(AE331/AE327,0)</x:f>
        <x:v>472.0522703766119</x:v>
      </x:c>
      <x:c r="AF332" s="64" t="n">
        <x:f>IFERROR(AF331/AF327,0)</x:f>
        <x:v>510.72354751100994</x:v>
      </x:c>
      <x:c r="AG332" s="64" t="n">
        <x:f>IFERROR(AG331/AG327,0)</x:f>
        <x:v>493.28462055076653</x:v>
      </x:c>
      <x:c r="AH332" s="64" t="n">
        <x:f>IFERROR(AH331/AH327,0)</x:f>
        <x:v>476.05418983482895</x:v>
      </x:c>
      <x:c r="AI332" s="64" t="n">
        <x:f>IFERROR(AI331/AI327,0)</x:f>
        <x:v>459.05722972379</x:v>
      </x:c>
      <x:c r="AJ332" s="64" t="n">
        <x:f>IFERROR(AJ331/AJ327,0)</x:f>
        <x:v>442.31726196448653</x:v>
      </x:c>
      <x:c r="AK332" s="64" t="n">
        <x:f>IFERROR(AK331/AK327,0)</x:f>
        <x:v>425.8562446771645</x:v>
      </x:c>
    </x:row>
    <x:row r="333" ht="18" customHeight="1">
      <x:c r="A333" s="4" t="str">
        <x:v>Loaded paid-channel CAC (INR)</x:v>
      </x:c>
      <x:c r="B333" s="64" t="n">
        <x:f>IFERROR((B322+B329)/B326,0)</x:f>
        <x:v>937.5</x:v>
      </x:c>
      <x:c r="C333" s="64" t="n">
        <x:f>IFERROR((C322+C329)/C326,0)</x:f>
        <x:v>937.5</x:v>
      </x:c>
      <x:c r="D333" s="64" t="n">
        <x:f>IFERROR((D322+D329)/D326,0)</x:f>
        <x:v>937.5</x:v>
      </x:c>
      <x:c r="E333" s="64" t="n">
        <x:f>IFERROR((E322+E329)/E326,0)</x:f>
        <x:v>937.5</x:v>
      </x:c>
      <x:c r="F333" s="64" t="n">
        <x:f>IFERROR((F322+F329)/F326,0)</x:f>
        <x:v>937.5</x:v>
      </x:c>
      <x:c r="G333" s="64" t="n">
        <x:f>IFERROR((G322+G329)/G326,0)</x:f>
        <x:v>937.5</x:v>
      </x:c>
      <x:c r="H333" s="64" t="n">
        <x:f>IFERROR((H322+H329)/H326,0)</x:f>
        <x:v>937.4999999999999</x:v>
      </x:c>
      <x:c r="I333" s="64" t="n">
        <x:f>IFERROR((I322+I329)/I326,0)</x:f>
        <x:v>937.4999999999999</x:v>
      </x:c>
      <x:c r="J333" s="64" t="n">
        <x:f>IFERROR((J322+J329)/J326,0)</x:f>
        <x:v>937.4999999999999</x:v>
      </x:c>
      <x:c r="K333" s="64" t="n">
        <x:f>IFERROR((K322+K329)/K326,0)</x:f>
        <x:v>937.4999999999999</x:v>
      </x:c>
      <x:c r="L333" s="64" t="n">
        <x:f>IFERROR((L322+L329)/L326,0)</x:f>
        <x:v>937.4999999999999</x:v>
      </x:c>
      <x:c r="M333" s="64" t="n">
        <x:f>IFERROR((M322+M329)/M326,0)</x:f>
        <x:v>937.4999999999999</x:v>
      </x:c>
      <x:c r="N333" s="64" t="n">
        <x:f>IFERROR((N322+N329)/N326,0)</x:f>
        <x:v>1031.25</x:v>
      </x:c>
      <x:c r="O333" s="64" t="n">
        <x:f>IFERROR((O322+O329)/O326,0)</x:f>
        <x:v>1031.25</x:v>
      </x:c>
      <x:c r="P333" s="64" t="n">
        <x:f>IFERROR((P322+P329)/P326,0)</x:f>
        <x:v>1031.25</x:v>
      </x:c>
      <x:c r="Q333" s="64" t="n">
        <x:f>IFERROR((Q322+Q329)/Q326,0)</x:f>
        <x:v>1031.25</x:v>
      </x:c>
      <x:c r="R333" s="64" t="n">
        <x:f>IFERROR((R322+R329)/R326,0)</x:f>
        <x:v>1031.25</x:v>
      </x:c>
      <x:c r="S333" s="64" t="n">
        <x:f>IFERROR((S322+S329)/S326,0)</x:f>
        <x:v>1031.25</x:v>
      </x:c>
      <x:c r="T333" s="64" t="n">
        <x:f>IFERROR((T322+T329)/T326,0)</x:f>
        <x:v>1031.25</x:v>
      </x:c>
      <x:c r="U333" s="64" t="n">
        <x:f>IFERROR((U322+U329)/U326,0)</x:f>
        <x:v>1031.25</x:v>
      </x:c>
      <x:c r="V333" s="64" t="n">
        <x:f>IFERROR((V322+V329)/V326,0)</x:f>
        <x:v>1031.25</x:v>
      </x:c>
      <x:c r="W333" s="64" t="n">
        <x:f>IFERROR((W322+W329)/W326,0)</x:f>
        <x:v>1031.25</x:v>
      </x:c>
      <x:c r="X333" s="64" t="n">
        <x:f>IFERROR((X322+X329)/X326,0)</x:f>
        <x:v>1031.25</x:v>
      </x:c>
      <x:c r="Y333" s="64" t="n">
        <x:f>IFERROR((Y322+Y329)/Y326,0)</x:f>
        <x:v>1031.25</x:v>
      </x:c>
      <x:c r="Z333" s="64" t="n">
        <x:f>IFERROR((Z322+Z329)/Z326,0)</x:f>
        <x:v>1134.3750000000002</x:v>
      </x:c>
      <x:c r="AA333" s="64" t="n">
        <x:f>IFERROR((AA322+AA329)/AA326,0)</x:f>
        <x:v>1134.3750000000002</x:v>
      </x:c>
      <x:c r="AB333" s="64" t="n">
        <x:f>IFERROR((AB322+AB329)/AB326,0)</x:f>
        <x:v>1134.3750000000002</x:v>
      </x:c>
      <x:c r="AC333" s="64" t="n">
        <x:f>IFERROR((AC322+AC329)/AC326,0)</x:f>
        <x:v>1134.3750000000002</x:v>
      </x:c>
      <x:c r="AD333" s="64" t="n">
        <x:f>IFERROR((AD322+AD329)/AD326,0)</x:f>
        <x:v>1134.3750000000002</x:v>
      </x:c>
      <x:c r="AE333" s="64" t="n">
        <x:f>IFERROR((AE322+AE329)/AE326,0)</x:f>
        <x:v>1134.3750000000002</x:v>
      </x:c>
      <x:c r="AF333" s="64" t="n">
        <x:f>IFERROR((AF322+AF329)/AF326,0)</x:f>
        <x:v>1134.375</x:v>
      </x:c>
      <x:c r="AG333" s="64" t="n">
        <x:f>IFERROR((AG322+AG329)/AG326,0)</x:f>
        <x:v>1134.375</x:v>
      </x:c>
      <x:c r="AH333" s="64" t="n">
        <x:f>IFERROR((AH322+AH329)/AH326,0)</x:f>
        <x:v>1134.375</x:v>
      </x:c>
      <x:c r="AI333" s="64" t="n">
        <x:f>IFERROR((AI322+AI329)/AI326,0)</x:f>
        <x:v>1134.375</x:v>
      </x:c>
      <x:c r="AJ333" s="64" t="n">
        <x:f>IFERROR((AJ322+AJ329)/AJ326,0)</x:f>
        <x:v>1134.375</x:v>
      </x:c>
      <x:c r="AK333" s="64" t="n">
        <x:f>IFERROR((AK322+AK329)/AK326,0)</x:f>
        <x:v>1134.375</x:v>
      </x:c>
    </x:row>
    <x:row r="334" ht="18" customHeight="1">
      <x:c r="A334" s="4" t="str"/>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c r="AA334" s="58"/>
      <x:c r="AB334" s="58"/>
      <x:c r="AC334" s="58"/>
      <x:c r="AD334" s="58"/>
      <x:c r="AE334" s="58"/>
      <x:c r="AF334" s="58"/>
      <x:c r="AG334" s="58"/>
      <x:c r="AH334" s="58"/>
      <x:c r="AI334" s="58"/>
      <x:c r="AJ334" s="58"/>
      <x:c r="AK334" s="58"/>
    </x:row>
    <x:row r="335" ht="18" customHeight="1">
      <x:c r="A335" s="4" t="str">
        <x:v>New annual payers after refunds</x:v>
      </x:c>
      <x:c r="B335" s="58" t="n">
        <x:f>B327*'Scenario Inputs'!$C$27*(1-'Scenario Inputs'!$C$29)</x:f>
        <x:v>16.732499999999998</x:v>
      </x:c>
      <x:c r="C335" s="58" t="n">
        <x:f>C327*'Scenario Inputs'!$C$27*(1-'Scenario Inputs'!$C$29)</x:f>
        <x:v>18.042</x:v>
      </x:c>
      <x:c r="D335" s="58" t="n">
        <x:f>D327*'Scenario Inputs'!$C$27*(1-'Scenario Inputs'!$C$29)</x:f>
        <x:v>19.508639999999996</x:v>
      </x:c>
      <x:c r="E335" s="58" t="n">
        <x:f>E327*'Scenario Inputs'!$C$27*(1-'Scenario Inputs'!$C$29)</x:f>
        <x:v>26.971276800000002</x:v>
      </x:c>
      <x:c r="F335" s="58" t="n">
        <x:f>F327*'Scenario Inputs'!$C$27*(1-'Scenario Inputs'!$C$29)</x:f>
        <x:v>28.811030016</x:v>
      </x:c>
      <x:c r="G335" s="58" t="n">
        <x:f>G327*'Scenario Inputs'!$C$27*(1-'Scenario Inputs'!$C$29)</x:f>
        <x:v>30.871553617920004</x:v>
      </x:c>
      <x:c r="H335" s="58" t="n">
        <x:f>H327*'Scenario Inputs'!$C$27*(1-'Scenario Inputs'!$C$29)</x:f>
        <x:v>45.78934005207041</x:v>
      </x:c>
      <x:c r="I335" s="58" t="n">
        <x:f>I327*'Scenario Inputs'!$C$27*(1-'Scenario Inputs'!$C$29)</x:f>
        <x:v>48.374060858318856</x:v>
      </x:c>
      <x:c r="J335" s="58" t="n">
        <x:f>J327*'Scenario Inputs'!$C$27*(1-'Scenario Inputs'!$C$29)</x:f>
        <x:v>51.26894816131712</x:v>
      </x:c>
      <x:c r="K335" s="58" t="n">
        <x:f>K327*'Scenario Inputs'!$C$27*(1-'Scenario Inputs'!$C$29)</x:f>
        <x:v>54.511221940675185</x:v>
      </x:c>
      <x:c r="L335" s="58" t="n">
        <x:f>L327*'Scenario Inputs'!$C$27*(1-'Scenario Inputs'!$C$29)</x:f>
        <x:v>58.14256857355621</x:v>
      </x:c>
      <x:c r="M335" s="58" t="n">
        <x:f>M327*'Scenario Inputs'!$C$27*(1-'Scenario Inputs'!$C$29)</x:f>
        <x:v>62.20967680238296</x:v>
      </x:c>
      <x:c r="N335" s="58" t="n">
        <x:f>N327*'Scenario Inputs'!$C$27*(1-'Scenario Inputs'!$C$29)</x:f>
        <x:v>85.08736003748268</x:v>
      </x:c>
      <x:c r="O335" s="58" t="n">
        <x:f>O327*'Scenario Inputs'!$C$27*(1-'Scenario Inputs'!$C$29)</x:f>
        <x:v>88.36707611320857</x:v>
      </x:c>
      <x:c r="P335" s="58" t="n">
        <x:f>P327*'Scenario Inputs'!$C$27*(1-'Scenario Inputs'!$C$29)</x:f>
        <x:v>91.90916947499254</x:v>
      </x:c>
      <x:c r="Q335" s="58" t="n">
        <x:f>Q327*'Scenario Inputs'!$C$27*(1-'Scenario Inputs'!$C$29)</x:f>
        <x:v>95.73463030571921</x:v>
      </x:c>
      <x:c r="R335" s="58" t="n">
        <x:f>R327*'Scenario Inputs'!$C$27*(1-'Scenario Inputs'!$C$29)</x:f>
        <x:v>99.86612800290402</x:v>
      </x:c>
      <x:c r="S335" s="58" t="n">
        <x:f>S327*'Scenario Inputs'!$C$27*(1-'Scenario Inputs'!$C$29)</x:f>
        <x:v>104.32814551586364</x:v>
      </x:c>
      <x:c r="T335" s="58" t="n">
        <x:f>T327*'Scenario Inputs'!$C$27*(1-'Scenario Inputs'!$C$29)</x:f>
        <x:v>131.19257897531455</x:v>
      </x:c>
      <x:c r="U335" s="58" t="n">
        <x:f>U327*'Scenario Inputs'!$C$27*(1-'Scenario Inputs'!$C$29)</x:f>
        <x:v>136.3970762024306</x:v>
      </x:c>
      <x:c r="V335" s="58" t="n">
        <x:f>V327*'Scenario Inputs'!$C$27*(1-'Scenario Inputs'!$C$29)</x:f>
        <x:v>142.01793320771597</x:v>
      </x:c>
      <x:c r="W335" s="58" t="n">
        <x:f>W327*'Scenario Inputs'!$C$27*(1-'Scenario Inputs'!$C$29)</x:f>
        <x:v>148.08845877342418</x:v>
      </x:c>
      <x:c r="X335" s="58" t="n">
        <x:f>X327*'Scenario Inputs'!$C$27*(1-'Scenario Inputs'!$C$29)</x:f>
        <x:v>154.644626384389</x:v>
      </x:c>
      <x:c r="Y335" s="58" t="n">
        <x:f>Y327*'Scenario Inputs'!$C$27*(1-'Scenario Inputs'!$C$29)</x:f>
        <x:v>161.72528740423104</x:v>
      </x:c>
      <x:c r="Z335" s="58" t="n">
        <x:f>Z327*'Scenario Inputs'!$C$27*(1-'Scenario Inputs'!$C$29)</x:f>
        <x:v>181.48954845013782</x:v>
      </x:c>
      <x:c r="AA335" s="58" t="n">
        <x:f>AA327*'Scenario Inputs'!$C$27*(1-'Scenario Inputs'!$C$29)</x:f>
        <x:v>187.56900400177415</x:v>
      </x:c>
      <x:c r="AB335" s="58" t="n">
        <x:f>AB327*'Scenario Inputs'!$C$27*(1-'Scenario Inputs'!$C$29)</x:f>
        <x:v>194.01322688650873</x:v>
      </x:c>
      <x:c r="AC335" s="58" t="n">
        <x:f>AC327*'Scenario Inputs'!$C$27*(1-'Scenario Inputs'!$C$29)</x:f>
        <x:v>200.84410314432736</x:v>
      </x:c>
      <x:c r="AD335" s="58" t="n">
        <x:f>AD327*'Scenario Inputs'!$C$27*(1-'Scenario Inputs'!$C$29)</x:f>
        <x:v>208.08483197761512</x:v>
      </x:c>
      <x:c r="AE335" s="58" t="n">
        <x:f>AE327*'Scenario Inputs'!$C$27*(1-'Scenario Inputs'!$C$29)</x:f>
        <x:v>215.76000454090016</x:v>
      </x:c>
      <x:c r="AF335" s="58" t="n">
        <x:f>AF327*'Scenario Inputs'!$C$27*(1-'Scenario Inputs'!$C$29)</x:f>
        <x:v>243.93700977203184</x:v>
      </x:c>
      <x:c r="AG335" s="58" t="n">
        <x:f>AG327*'Scenario Inputs'!$C$27*(1-'Scenario Inputs'!$C$29)</x:f>
        <x:v>252.5608336641389</x:v>
      </x:c>
      <x:c r="AH335" s="58" t="n">
        <x:f>AH327*'Scenario Inputs'!$C$27*(1-'Scenario Inputs'!$C$29)</x:f>
        <x:v>261.70208698977234</x:v>
      </x:c>
      <x:c r="AI335" s="58" t="n">
        <x:f>AI327*'Scenario Inputs'!$C$27*(1-'Scenario Inputs'!$C$29)</x:f>
        <x:v>271.3918155149438</x:v>
      </x:c>
      <x:c r="AJ335" s="58" t="n">
        <x:f>AJ327*'Scenario Inputs'!$C$27*(1-'Scenario Inputs'!$C$29)</x:f>
        <x:v>281.66292775162555</x:v>
      </x:c>
      <x:c r="AK335" s="58" t="n">
        <x:f>AK327*'Scenario Inputs'!$C$27*(1-'Scenario Inputs'!$C$29)</x:f>
        <x:v>292.55030672250825</x:v>
      </x:c>
    </x:row>
    <x:row r="336" ht="18" customHeight="1">
      <x:c r="A336" s="4" t="str">
        <x:v>First annual renewals after refunds</x:v>
      </x:c>
      <x:c r="B336" s="58" t="n">
        <x:f>0*'Stress Inputs'!$C$8*(1-'Scenario Inputs'!$C$29)</x:f>
        <x:v>0</x:v>
      </x:c>
      <x:c r="C336" s="58" t="n">
        <x:f>0*'Stress Inputs'!$C$8*(1-'Scenario Inputs'!$C$29)</x:f>
        <x:v>0</x:v>
      </x:c>
      <x:c r="D336" s="58" t="n">
        <x:f>0*'Stress Inputs'!$C$8*(1-'Scenario Inputs'!$C$29)</x:f>
        <x:v>0</x:v>
      </x:c>
      <x:c r="E336" s="58" t="n">
        <x:f>0*'Stress Inputs'!$C$8*(1-'Scenario Inputs'!$C$29)</x:f>
        <x:v>0</x:v>
      </x:c>
      <x:c r="F336" s="58" t="n">
        <x:f>0*'Stress Inputs'!$C$8*(1-'Scenario Inputs'!$C$29)</x:f>
        <x:v>0</x:v>
      </x:c>
      <x:c r="G336" s="58" t="n">
        <x:f>0*'Stress Inputs'!$C$8*(1-'Scenario Inputs'!$C$29)</x:f>
        <x:v>0</x:v>
      </x:c>
      <x:c r="H336" s="58" t="n">
        <x:f>0*'Stress Inputs'!$C$8*(1-'Scenario Inputs'!$C$29)</x:f>
        <x:v>0</x:v>
      </x:c>
      <x:c r="I336" s="58" t="n">
        <x:f>0*'Stress Inputs'!$C$8*(1-'Scenario Inputs'!$C$29)</x:f>
        <x:v>0</x:v>
      </x:c>
      <x:c r="J336" s="58" t="n">
        <x:f>0*'Stress Inputs'!$C$8*(1-'Scenario Inputs'!$C$29)</x:f>
        <x:v>0</x:v>
      </x:c>
      <x:c r="K336" s="58" t="n">
        <x:f>0*'Stress Inputs'!$C$8*(1-'Scenario Inputs'!$C$29)</x:f>
        <x:v>0</x:v>
      </x:c>
      <x:c r="L336" s="58" t="n">
        <x:f>0*'Stress Inputs'!$C$8*(1-'Scenario Inputs'!$C$29)</x:f>
        <x:v>0</x:v>
      </x:c>
      <x:c r="M336" s="58" t="n">
        <x:f>0*'Stress Inputs'!$C$8*(1-'Scenario Inputs'!$C$29)</x:f>
        <x:v>0</x:v>
      </x:c>
      <x:c r="N336" s="58" t="n">
        <x:f>B335*'Stress Inputs'!$C$8*(1-'Scenario Inputs'!$C$29)</x:f>
        <x:v>2.4345787499999996</x:v>
      </x:c>
      <x:c r="O336" s="58" t="n">
        <x:f>C335*'Stress Inputs'!$C$8*(1-'Scenario Inputs'!$C$29)</x:f>
        <x:v>2.625111</x:v>
      </x:c>
      <x:c r="P336" s="58" t="n">
        <x:f>D335*'Stress Inputs'!$C$8*(1-'Scenario Inputs'!$C$29)</x:f>
        <x:v>2.838507119999999</x:v>
      </x:c>
      <x:c r="Q336" s="58" t="n">
        <x:f>E335*'Stress Inputs'!$C$8*(1-'Scenario Inputs'!$C$29)</x:f>
        <x:v>3.9243207744</x:v>
      </x:c>
      <x:c r="R336" s="58" t="n">
        <x:f>F335*'Stress Inputs'!$C$8*(1-'Scenario Inputs'!$C$29)</x:f>
        <x:v>4.1920048673279995</x:v>
      </x:c>
      <x:c r="S336" s="58" t="n">
        <x:f>G335*'Stress Inputs'!$C$8*(1-'Scenario Inputs'!$C$29)</x:f>
        <x:v>4.4918110514073595</x:v>
      </x:c>
      <x:c r="T336" s="58" t="n">
        <x:f>H335*'Stress Inputs'!$C$8*(1-'Scenario Inputs'!$C$29)</x:f>
        <x:v>6.662348977576244</x:v>
      </x:c>
      <x:c r="U336" s="58" t="n">
        <x:f>I335*'Stress Inputs'!$C$8*(1-'Scenario Inputs'!$C$29)</x:f>
        <x:v>7.038425854885393</x:v>
      </x:c>
      <x:c r="V336" s="58" t="n">
        <x:f>J335*'Stress Inputs'!$C$8*(1-'Scenario Inputs'!$C$29)</x:f>
        <x:v>7.4596319574716405</x:v>
      </x:c>
      <x:c r="W336" s="58" t="n">
        <x:f>K335*'Stress Inputs'!$C$8*(1-'Scenario Inputs'!$C$29)</x:f>
        <x:v>7.931382792368239</x:v>
      </x:c>
      <x:c r="X336" s="58" t="n">
        <x:f>L335*'Stress Inputs'!$C$8*(1-'Scenario Inputs'!$C$29)</x:f>
        <x:v>8.459743727452429</x:v>
      </x:c>
      <x:c r="Y336" s="58" t="n">
        <x:f>M335*'Stress Inputs'!$C$8*(1-'Scenario Inputs'!$C$29)</x:f>
        <x:v>9.05150797474672</x:v>
      </x:c>
      <x:c r="Z336" s="58" t="n">
        <x:f>N335*'Stress Inputs'!$C$8*(1-'Scenario Inputs'!$C$29)</x:f>
        <x:v>12.38021088545373</x:v>
      </x:c>
      <x:c r="AA336" s="58" t="n">
        <x:f>O335*'Stress Inputs'!$C$8*(1-'Scenario Inputs'!$C$29)</x:f>
        <x:v>12.857409574471845</x:v>
      </x:c>
      <x:c r="AB336" s="58" t="n">
        <x:f>P335*'Stress Inputs'!$C$8*(1-'Scenario Inputs'!$C$29)</x:f>
        <x:v>13.372784158611413</x:v>
      </x:c>
      <x:c r="AC336" s="58" t="n">
        <x:f>Q335*'Stress Inputs'!$C$8*(1-'Scenario Inputs'!$C$29)</x:f>
        <x:v>13.929388709482145</x:v>
      </x:c>
      <x:c r="AD336" s="58" t="n">
        <x:f>R335*'Stress Inputs'!$C$8*(1-'Scenario Inputs'!$C$29)</x:f>
        <x:v>14.530521624422535</x:v>
      </x:c>
      <x:c r="AE336" s="58" t="n">
        <x:f>S335*'Stress Inputs'!$C$8*(1-'Scenario Inputs'!$C$29)</x:f>
        <x:v>15.179745172558158</x:v>
      </x:c>
      <x:c r="AF336" s="58" t="n">
        <x:f>T335*'Stress Inputs'!$C$8*(1-'Scenario Inputs'!$C$29)</x:f>
        <x:v>19.088520240908267</x:v>
      </x:c>
      <x:c r="AG336" s="58" t="n">
        <x:f>U335*'Stress Inputs'!$C$8*(1-'Scenario Inputs'!$C$29)</x:f>
        <x:v>19.845774587453654</x:v>
      </x:c>
      <x:c r="AH336" s="58" t="n">
        <x:f>V335*'Stress Inputs'!$C$8*(1-'Scenario Inputs'!$C$29)</x:f>
        <x:v>20.663609281722675</x:v>
      </x:c>
      <x:c r="AI336" s="58" t="n">
        <x:f>W335*'Stress Inputs'!$C$8*(1-'Scenario Inputs'!$C$29)</x:f>
        <x:v>21.54687075153322</x:v>
      </x:c>
      <x:c r="AJ336" s="58" t="n">
        <x:f>X335*'Stress Inputs'!$C$8*(1-'Scenario Inputs'!$C$29)</x:f>
        <x:v>22.5007931389286</x:v>
      </x:c>
      <x:c r="AK336" s="58" t="n">
        <x:f>Y335*'Stress Inputs'!$C$8*(1-'Scenario Inputs'!$C$29)</x:f>
        <x:v>23.531029317315614</x:v>
      </x:c>
    </x:row>
    <x:row r="337" ht="18" customHeight="1">
      <x:c r="A337" s="4" t="str">
        <x:v>Second annual renewals after refunds</x:v>
      </x:c>
      <x:c r="B337" s="58" t="n">
        <x:f>0*'Scenario Inputs'!$C$31*(1-'Scenario Inputs'!$C$29)</x:f>
        <x:v>0</x:v>
      </x:c>
      <x:c r="C337" s="58" t="n">
        <x:f>0*'Scenario Inputs'!$C$31*(1-'Scenario Inputs'!$C$29)</x:f>
        <x:v>0</x:v>
      </x:c>
      <x:c r="D337" s="58" t="n">
        <x:f>0*'Scenario Inputs'!$C$31*(1-'Scenario Inputs'!$C$29)</x:f>
        <x:v>0</x:v>
      </x:c>
      <x:c r="E337" s="58" t="n">
        <x:f>0*'Scenario Inputs'!$C$31*(1-'Scenario Inputs'!$C$29)</x:f>
        <x:v>0</x:v>
      </x:c>
      <x:c r="F337" s="58" t="n">
        <x:f>0*'Scenario Inputs'!$C$31*(1-'Scenario Inputs'!$C$29)</x:f>
        <x:v>0</x:v>
      </x:c>
      <x:c r="G337" s="58" t="n">
        <x:f>0*'Scenario Inputs'!$C$31*(1-'Scenario Inputs'!$C$29)</x:f>
        <x:v>0</x:v>
      </x:c>
      <x:c r="H337" s="58" t="n">
        <x:f>0*'Scenario Inputs'!$C$31*(1-'Scenario Inputs'!$C$29)</x:f>
        <x:v>0</x:v>
      </x:c>
      <x:c r="I337" s="58" t="n">
        <x:f>0*'Scenario Inputs'!$C$31*(1-'Scenario Inputs'!$C$29)</x:f>
        <x:v>0</x:v>
      </x:c>
      <x:c r="J337" s="58" t="n">
        <x:f>0*'Scenario Inputs'!$C$31*(1-'Scenario Inputs'!$C$29)</x:f>
        <x:v>0</x:v>
      </x:c>
      <x:c r="K337" s="58" t="n">
        <x:f>0*'Scenario Inputs'!$C$31*(1-'Scenario Inputs'!$C$29)</x:f>
        <x:v>0</x:v>
      </x:c>
      <x:c r="L337" s="58" t="n">
        <x:f>0*'Scenario Inputs'!$C$31*(1-'Scenario Inputs'!$C$29)</x:f>
        <x:v>0</x:v>
      </x:c>
      <x:c r="M337" s="58" t="n">
        <x:f>0*'Scenario Inputs'!$C$31*(1-'Scenario Inputs'!$C$29)</x:f>
        <x:v>0</x:v>
      </x:c>
      <x:c r="N337" s="58" t="n">
        <x:f>B336*'Scenario Inputs'!$C$31*(1-'Scenario Inputs'!$C$29)</x:f>
        <x:v>0</x:v>
      </x:c>
      <x:c r="O337" s="58" t="n">
        <x:f>C336*'Scenario Inputs'!$C$31*(1-'Scenario Inputs'!$C$29)</x:f>
        <x:v>0</x:v>
      </x:c>
      <x:c r="P337" s="58" t="n">
        <x:f>D336*'Scenario Inputs'!$C$31*(1-'Scenario Inputs'!$C$29)</x:f>
        <x:v>0</x:v>
      </x:c>
      <x:c r="Q337" s="58" t="n">
        <x:f>E336*'Scenario Inputs'!$C$31*(1-'Scenario Inputs'!$C$29)</x:f>
        <x:v>0</x:v>
      </x:c>
      <x:c r="R337" s="58" t="n">
        <x:f>F336*'Scenario Inputs'!$C$31*(1-'Scenario Inputs'!$C$29)</x:f>
        <x:v>0</x:v>
      </x:c>
      <x:c r="S337" s="58" t="n">
        <x:f>G336*'Scenario Inputs'!$C$31*(1-'Scenario Inputs'!$C$29)</x:f>
        <x:v>0</x:v>
      </x:c>
      <x:c r="T337" s="58" t="n">
        <x:f>H336*'Scenario Inputs'!$C$31*(1-'Scenario Inputs'!$C$29)</x:f>
        <x:v>0</x:v>
      </x:c>
      <x:c r="U337" s="58" t="n">
        <x:f>I336*'Scenario Inputs'!$C$31*(1-'Scenario Inputs'!$C$29)</x:f>
        <x:v>0</x:v>
      </x:c>
      <x:c r="V337" s="58" t="n">
        <x:f>J336*'Scenario Inputs'!$C$31*(1-'Scenario Inputs'!$C$29)</x:f>
        <x:v>0</x:v>
      </x:c>
      <x:c r="W337" s="58" t="n">
        <x:f>K336*'Scenario Inputs'!$C$31*(1-'Scenario Inputs'!$C$29)</x:f>
        <x:v>0</x:v>
      </x:c>
      <x:c r="X337" s="58" t="n">
        <x:f>L336*'Scenario Inputs'!$C$31*(1-'Scenario Inputs'!$C$29)</x:f>
        <x:v>0</x:v>
      </x:c>
      <x:c r="Y337" s="58" t="n">
        <x:f>M336*'Scenario Inputs'!$C$31*(1-'Scenario Inputs'!$C$29)</x:f>
        <x:v>0</x:v>
      </x:c>
      <x:c r="Z337" s="58" t="n">
        <x:f>N336*'Scenario Inputs'!$C$31*(1-'Scenario Inputs'!$C$29)</x:f>
        <x:v>1.298847763125</x:v>
      </x:c>
      <x:c r="AA337" s="58" t="n">
        <x:f>O336*'Scenario Inputs'!$C$31*(1-'Scenario Inputs'!$C$29)</x:f>
        <x:v>1.4004967185000001</x:v>
      </x:c>
      <x:c r="AB337" s="58" t="n">
        <x:f>P336*'Scenario Inputs'!$C$31*(1-'Scenario Inputs'!$C$29)</x:f>
        <x:v>1.5143435485199996</x:v>
      </x:c>
      <x:c r="AC337" s="58" t="n">
        <x:f>Q336*'Scenario Inputs'!$C$31*(1-'Scenario Inputs'!$C$29)</x:f>
        <x:v>2.0936251331424</x:v>
      </x:c>
      <x:c r="AD337" s="58" t="n">
        <x:f>R336*'Scenario Inputs'!$C$31*(1-'Scenario Inputs'!$C$29)</x:f>
        <x:v>2.236434596719488</x:v>
      </x:c>
      <x:c r="AE337" s="58" t="n">
        <x:f>S336*'Scenario Inputs'!$C$31*(1-'Scenario Inputs'!$C$29)</x:f>
        <x:v>2.3963811959258265</x:v>
      </x:c>
      <x:c r="AF337" s="58" t="n">
        <x:f>T336*'Scenario Inputs'!$C$31*(1-'Scenario Inputs'!$C$29)</x:f>
        <x:v>3.554363179536926</x:v>
      </x:c>
      <x:c r="AG337" s="58" t="n">
        <x:f>U336*'Scenario Inputs'!$C$31*(1-'Scenario Inputs'!$C$29)</x:f>
        <x:v>3.7550001935813575</x:v>
      </x:c>
      <x:c r="AH337" s="58" t="n">
        <x:f>V336*'Scenario Inputs'!$C$31*(1-'Scenario Inputs'!$C$29)</x:f>
        <x:v>3.9797136493111207</x:v>
      </x:c>
      <x:c r="AI337" s="58" t="n">
        <x:f>W336*'Scenario Inputs'!$C$31*(1-'Scenario Inputs'!$C$29)</x:f>
        <x:v>4.231392719728455</x:v>
      </x:c>
      <x:c r="AJ337" s="58" t="n">
        <x:f>X336*'Scenario Inputs'!$C$31*(1-'Scenario Inputs'!$C$29)</x:f>
        <x:v>4.513273278595872</x:v>
      </x:c>
      <x:c r="AK337" s="58" t="n">
        <x:f>Y336*'Scenario Inputs'!$C$31*(1-'Scenario Inputs'!$C$29)</x:f>
        <x:v>4.828979504527375</x:v>
      </x:c>
    </x:row>
    <x:row r="338" ht="18" customHeight="1">
      <x:c r="A338" s="4" t="str">
        <x:v>Annual terms ending this month</x:v>
      </x:c>
      <x:c r="B338" s="58" t="n">
        <x:f>0+0+0</x:f>
        <x:v>0</x:v>
      </x:c>
      <x:c r="C338" s="58" t="n">
        <x:f>0+0+0</x:f>
        <x:v>0</x:v>
      </x:c>
      <x:c r="D338" s="58" t="n">
        <x:f>0+0+0</x:f>
        <x:v>0</x:v>
      </x:c>
      <x:c r="E338" s="58" t="n">
        <x:f>0+0+0</x:f>
        <x:v>0</x:v>
      </x:c>
      <x:c r="F338" s="58" t="n">
        <x:f>0+0+0</x:f>
        <x:v>0</x:v>
      </x:c>
      <x:c r="G338" s="58" t="n">
        <x:f>0+0+0</x:f>
        <x:v>0</x:v>
      </x:c>
      <x:c r="H338" s="58" t="n">
        <x:f>0+0+0</x:f>
        <x:v>0</x:v>
      </x:c>
      <x:c r="I338" s="58" t="n">
        <x:f>0+0+0</x:f>
        <x:v>0</x:v>
      </x:c>
      <x:c r="J338" s="58" t="n">
        <x:f>0+0+0</x:f>
        <x:v>0</x:v>
      </x:c>
      <x:c r="K338" s="58" t="n">
        <x:f>0+0+0</x:f>
        <x:v>0</x:v>
      </x:c>
      <x:c r="L338" s="58" t="n">
        <x:f>0+0+0</x:f>
        <x:v>0</x:v>
      </x:c>
      <x:c r="M338" s="58" t="n">
        <x:f>0+0+0</x:f>
        <x:v>0</x:v>
      </x:c>
      <x:c r="N338" s="58" t="n">
        <x:f>B335+B336+B337</x:f>
        <x:v>16.732499999999998</x:v>
      </x:c>
      <x:c r="O338" s="58" t="n">
        <x:f>C335+C336+C337</x:f>
        <x:v>18.042</x:v>
      </x:c>
      <x:c r="P338" s="58" t="n">
        <x:f>D335+D336+D337</x:f>
        <x:v>19.508639999999996</x:v>
      </x:c>
      <x:c r="Q338" s="58" t="n">
        <x:f>E335+E336+E337</x:f>
        <x:v>26.971276800000002</x:v>
      </x:c>
      <x:c r="R338" s="58" t="n">
        <x:f>F335+F336+F337</x:f>
        <x:v>28.811030016</x:v>
      </x:c>
      <x:c r="S338" s="58" t="n">
        <x:f>G335+G336+G337</x:f>
        <x:v>30.871553617920004</x:v>
      </x:c>
      <x:c r="T338" s="58" t="n">
        <x:f>H335+H336+H337</x:f>
        <x:v>45.78934005207041</x:v>
      </x:c>
      <x:c r="U338" s="58" t="n">
        <x:f>I335+I336+I337</x:f>
        <x:v>48.374060858318856</x:v>
      </x:c>
      <x:c r="V338" s="58" t="n">
        <x:f>J335+J336+J337</x:f>
        <x:v>51.26894816131712</x:v>
      </x:c>
      <x:c r="W338" s="58" t="n">
        <x:f>K335+K336+K337</x:f>
        <x:v>54.511221940675185</x:v>
      </x:c>
      <x:c r="X338" s="58" t="n">
        <x:f>L335+L336+L337</x:f>
        <x:v>58.14256857355621</x:v>
      </x:c>
      <x:c r="Y338" s="58" t="n">
        <x:f>M335+M336+M337</x:f>
        <x:v>62.20967680238296</x:v>
      </x:c>
      <x:c r="Z338" s="58" t="n">
        <x:f>N335+N336+N337</x:f>
        <x:v>87.52193878748268</x:v>
      </x:c>
      <x:c r="AA338" s="58" t="n">
        <x:f>O335+O336+O337</x:f>
        <x:v>90.99218711320857</x:v>
      </x:c>
      <x:c r="AB338" s="58" t="n">
        <x:f>P335+P336+P337</x:f>
        <x:v>94.74767659499254</x:v>
      </x:c>
      <x:c r="AC338" s="58" t="n">
        <x:f>Q335+Q336+Q337</x:f>
        <x:v>99.65895108011921</x:v>
      </x:c>
      <x:c r="AD338" s="58" t="n">
        <x:f>R335+R336+R337</x:f>
        <x:v>104.05813287023201</x:v>
      </x:c>
      <x:c r="AE338" s="58" t="n">
        <x:f>S335+S336+S337</x:f>
        <x:v>108.81995656727099</x:v>
      </x:c>
      <x:c r="AF338" s="58" t="n">
        <x:f>T335+T336+T337</x:f>
        <x:v>137.8549279528908</x:v>
      </x:c>
      <x:c r="AG338" s="58" t="n">
        <x:f>U335+U336+U337</x:f>
        <x:v>143.435502057316</x:v>
      </x:c>
      <x:c r="AH338" s="58" t="n">
        <x:f>V335+V336+V337</x:f>
        <x:v>149.4775651651876</x:v>
      </x:c>
      <x:c r="AI338" s="58" t="n">
        <x:f>W335+W336+W337</x:f>
        <x:v>156.0198415657924</x:v>
      </x:c>
      <x:c r="AJ338" s="58" t="n">
        <x:f>X335+X336+X337</x:f>
        <x:v>163.10437011184143</x:v>
      </x:c>
      <x:c r="AK338" s="58" t="n">
        <x:f>Y335+Y336+Y337</x:f>
        <x:v>170.77679537897777</x:v>
      </x:c>
    </x:row>
    <x:row r="339" ht="18" customHeight="1">
      <x:c r="A339" s="74" t="str">
        <x:v>ACTIVE ANNUAL SUBSCRIBERS</x:v>
      </x:c>
      <x:c r="B339" s="75" t="n">
        <x:f>0+SUM(B335:B337)-B338</x:f>
        <x:v>16.732499999999998</x:v>
      </x:c>
      <x:c r="C339" s="75" t="n">
        <x:f>B339+SUM(C335:C337)-C338</x:f>
        <x:v>34.7745</x:v>
      </x:c>
      <x:c r="D339" s="75" t="n">
        <x:f>C339+SUM(D335:D337)-D338</x:f>
        <x:v>54.28314</x:v>
      </x:c>
      <x:c r="E339" s="75" t="n">
        <x:f>D339+SUM(E335:E337)-E338</x:f>
        <x:v>81.2544168</x:v>
      </x:c>
      <x:c r="F339" s="75" t="n">
        <x:f>E339+SUM(F335:F337)-F338</x:f>
        <x:v>110.065446816</x:v>
      </x:c>
      <x:c r="G339" s="75" t="n">
        <x:f>F339+SUM(G335:G337)-G338</x:f>
        <x:v>140.93700043392002</x:v>
      </x:c>
      <x:c r="H339" s="75" t="n">
        <x:f>G339+SUM(H335:H337)-H338</x:f>
        <x:v>186.72634048599042</x:v>
      </x:c>
      <x:c r="I339" s="75" t="n">
        <x:f>H339+SUM(I335:I337)-I338</x:f>
        <x:v>235.10040134430926</x:v>
      </x:c>
      <x:c r="J339" s="75" t="n">
        <x:f>I339+SUM(J335:J337)-J338</x:f>
        <x:v>286.36934950562636</x:v>
      </x:c>
      <x:c r="K339" s="75" t="n">
        <x:f>J339+SUM(K335:K337)-K338</x:f>
        <x:v>340.88057144630153</x:v>
      </x:c>
      <x:c r="L339" s="75" t="n">
        <x:f>K339+SUM(L335:L337)-L338</x:f>
        <x:v>399.02314001985775</x:v>
      </x:c>
      <x:c r="M339" s="75" t="n">
        <x:f>L339+SUM(M335:M337)-M338</x:f>
        <x:v>461.2328168222407</x:v>
      </x:c>
      <x:c r="N339" s="75" t="n">
        <x:f>M339+SUM(N335:N337)-N338</x:f>
        <x:v>532.0222556097234</x:v>
      </x:c>
      <x:c r="O339" s="75" t="n">
        <x:f>N339+SUM(O335:O337)-O338</x:f>
        <x:v>604.972442722932</x:v>
      </x:c>
      <x:c r="P339" s="75" t="n">
        <x:f>O339+SUM(P335:P337)-P338</x:f>
        <x:v>680.2114793179245</x:v>
      </x:c>
      <x:c r="Q339" s="75" t="n">
        <x:f>P339+SUM(Q335:Q337)-Q338</x:f>
        <x:v>752.8991535980437</x:v>
      </x:c>
      <x:c r="R339" s="75" t="n">
        <x:f>Q339+SUM(R335:R337)-R338</x:f>
        <x:v>828.1462564522757</x:v>
      </x:c>
      <x:c r="S339" s="75" t="n">
        <x:f>R339+SUM(S335:S337)-S338</x:f>
        <x:v>906.0946594016267</x:v>
      </x:c>
      <x:c r="T339" s="75" t="n">
        <x:f>S339+SUM(T335:T337)-T338</x:f>
        <x:v>998.160247302447</x:v>
      </x:c>
      <x:c r="U339" s="75" t="n">
        <x:f>T339+SUM(U335:U337)-U338</x:f>
        <x:v>1093.221688501444</x:v>
      </x:c>
      <x:c r="V339" s="75" t="n">
        <x:f>U339+SUM(V335:V337)-V338</x:f>
        <x:v>1191.4303055053144</x:v>
      </x:c>
      <x:c r="W339" s="75" t="n">
        <x:f>V339+SUM(W335:W337)-W338</x:f>
        <x:v>1292.9389251304317</x:v>
      </x:c>
      <x:c r="X339" s="75" t="n">
        <x:f>W339+SUM(X335:X337)-X338</x:f>
        <x:v>1397.900726668717</x:v>
      </x:c>
      <x:c r="Y339" s="75" t="n">
        <x:f>X339+SUM(Y335:Y337)-Y338</x:f>
        <x:v>1506.4678452453118</x:v>
      </x:c>
      <x:c r="Z339" s="75" t="n">
        <x:f>Y339+SUM(Z335:Z337)-Z338</x:f>
        <x:v>1614.1145135565457</x:v>
      </x:c>
      <x:c r="AA339" s="75" t="n">
        <x:f>Z339+SUM(AA335:AA337)-AA338</x:f>
        <x:v>1724.9492367380833</x:v>
      </x:c>
      <x:c r="AB339" s="75" t="n">
        <x:f>AA339+SUM(AB335:AB337)-AB338</x:f>
        <x:v>1839.1019147367308</x:v>
      </x:c>
      <x:c r="AC339" s="75" t="n">
        <x:f>AB339+SUM(AC335:AC337)-AC338</x:f>
        <x:v>1956.3100806435637</x:v>
      </x:c>
      <x:c r="AD339" s="75" t="n">
        <x:f>AC339+SUM(AD335:AD337)-AD338</x:f>
        <x:v>2077.103735972089</x:v>
      </x:c>
      <x:c r="AE339" s="75" t="n">
        <x:f>AD339+SUM(AE335:AE337)-AE338</x:f>
        <x:v>2201.6199103142026</x:v>
      </x:c>
      <x:c r="AF339" s="75" t="n">
        <x:f>AE339+SUM(AF335:AF337)-AF338</x:f>
        <x:v>2330.344875553789</x:v>
      </x:c>
      <x:c r="AG339" s="75" t="n">
        <x:f>AF339+SUM(AG335:AG337)-AG338</x:f>
        <x:v>2463.0709819416466</x:v>
      </x:c>
      <x:c r="AH339" s="75" t="n">
        <x:f>AG339+SUM(AH335:AH337)-AH338</x:f>
        <x:v>2599.938826697265</x:v>
      </x:c>
      <x:c r="AI339" s="75" t="n">
        <x:f>AH339+SUM(AI335:AI337)-AI338</x:f>
        <x:v>2741.0890641176784</x:v>
      </x:c>
      <x:c r="AJ339" s="75" t="n">
        <x:f>AI339+SUM(AJ335:AJ337)-AJ338</x:f>
        <x:v>2886.661688174987</x:v>
      </x:c>
      <x:c r="AK339" s="75" t="n">
        <x:f>AJ339+SUM(AK335:AK337)-AK338</x:f>
        <x:v>3036.7952083403607</x:v>
      </x:c>
    </x:row>
    <x:row r="340" ht="18" customHeight="1">
      <x:c r="A340" s="4" t="str">
        <x:v>Annual charge events before refunds</x:v>
      </x:c>
      <x:c r="B340" s="58" t="n">
        <x:f>SUM(B335:B337)/(1-'Scenario Inputs'!$C$29)</x:f>
        <x:v>17.25</x:v>
      </x:c>
      <x:c r="C340" s="58" t="n">
        <x:f>SUM(C335:C337)/(1-'Scenario Inputs'!$C$29)</x:f>
        <x:v>18.6</x:v>
      </x:c>
      <x:c r="D340" s="58" t="n">
        <x:f>SUM(D335:D337)/(1-'Scenario Inputs'!$C$29)</x:f>
        <x:v>20.112</x:v>
      </x:c>
      <x:c r="E340" s="58" t="n">
        <x:f>SUM(E335:E337)/(1-'Scenario Inputs'!$C$29)</x:f>
        <x:v>27.805440000000004</x:v>
      </x:c>
      <x:c r="F340" s="58" t="n">
        <x:f>SUM(F335:F337)/(1-'Scenario Inputs'!$C$29)</x:f>
        <x:v>29.702092800000003</x:v>
      </x:c>
      <x:c r="G340" s="58" t="n">
        <x:f>SUM(G335:G337)/(1-'Scenario Inputs'!$C$29)</x:f>
        <x:v>31.826343936000004</x:v>
      </x:c>
      <x:c r="H340" s="58" t="n">
        <x:f>SUM(H335:H337)/(1-'Scenario Inputs'!$C$29)</x:f>
        <x:v>47.20550520832001</x:v>
      </x:c>
      <x:c r="I340" s="58" t="n">
        <x:f>SUM(I335:I337)/(1-'Scenario Inputs'!$C$29)</x:f>
        <x:v>49.87016583331841</x:v>
      </x:c>
      <x:c r="J340" s="58" t="n">
        <x:f>SUM(J335:J337)/(1-'Scenario Inputs'!$C$29)</x:f>
        <x:v>52.85458573331662</x:v>
      </x:c>
      <x:c r="K340" s="58" t="n">
        <x:f>SUM(K335:K337)/(1-'Scenario Inputs'!$C$29)</x:f>
        <x:v>56.19713602131463</x:v>
      </x:c>
      <x:c r="L340" s="58" t="n">
        <x:f>SUM(L335:L337)/(1-'Scenario Inputs'!$C$29)</x:f>
        <x:v>59.94079234387238</x:v>
      </x:c>
      <x:c r="M340" s="58" t="n">
        <x:f>SUM(M335:M337)/(1-'Scenario Inputs'!$C$29)</x:f>
        <x:v>64.13368742513707</x:v>
      </x:c>
      <x:c r="N340" s="58" t="n">
        <x:f>SUM(N335:N337)/(1-'Scenario Inputs'!$C$29)</x:f>
        <x:v>90.2288028736935</x:v>
      </x:c>
      <x:c r="O340" s="58" t="n">
        <x:f>SUM(O335:O337)/(1-'Scenario Inputs'!$C$29)</x:f>
        <x:v>93.80637846722533</x:v>
      </x:c>
      <x:c r="P340" s="58" t="n">
        <x:f>SUM(P335:P337)/(1-'Scenario Inputs'!$C$29)</x:f>
        <x:v>97.67801710823973</x:v>
      </x:c>
      <x:c r="Q340" s="58" t="n">
        <x:f>SUM(Q335:Q337)/(1-'Scenario Inputs'!$C$29)</x:f>
        <x:v>102.74118668053526</x:v>
      </x:c>
      <x:c r="R340" s="58" t="n">
        <x:f>SUM(R335:R337)/(1-'Scenario Inputs'!$C$29)</x:f>
        <x:v>107.27642563941446</x:v>
      </x:c>
      <x:c r="S340" s="58" t="n">
        <x:f>SUM(S335:S337)/(1-'Scenario Inputs'!$C$29)</x:f>
        <x:v>112.1855222343</x:v>
      </x:c>
      <x:c r="T340" s="58" t="n">
        <x:f>SUM(T335:T337)/(1-'Scenario Inputs'!$C$29)</x:f>
        <x:v>142.1184824256606</x:v>
      </x:c>
      <x:c r="U340" s="58" t="n">
        <x:f>SUM(U335:U337)/(1-'Scenario Inputs'!$C$29)</x:f>
        <x:v>147.87165160548042</x:v>
      </x:c>
      <x:c r="V340" s="58" t="n">
        <x:f>SUM(V335:V337)/(1-'Scenario Inputs'!$C$29)</x:f>
        <x:v>154.1005826445233</x:v>
      </x:c>
      <x:c r="W340" s="58" t="n">
        <x:f>SUM(W335:W337)/(1-'Scenario Inputs'!$C$29)</x:f>
        <x:v>160.84519749050764</x:v>
      </x:c>
      <x:c r="X340" s="58" t="n">
        <x:f>SUM(X335:X337)/(1-'Scenario Inputs'!$C$29)</x:f>
        <x:v>168.14883516684685</x:v>
      </x:c>
      <x:c r="Y340" s="58" t="n">
        <x:f>SUM(Y335:Y337)/(1-'Scenario Inputs'!$C$29)</x:f>
        <x:v>176.0585519370905</x:v>
      </x:c>
      <x:c r="Z340" s="58" t="n">
        <x:f>SUM(Z335:Z337)/(1-'Scenario Inputs'!$C$29)</x:f>
        <x:v>201.20474958630572</x:v>
      </x:c>
      <x:c r="AA340" s="58" t="n">
        <x:f>SUM(AA335:AA337)/(1-'Scenario Inputs'!$C$29)</x:f>
        <x:v>208.06897968530512</x:v>
      </x:c>
      <x:c r="AB340" s="58" t="n">
        <x:f>SUM(AB335:AB337)/(1-'Scenario Inputs'!$C$29)</x:f>
        <x:v>215.3611903027218</x:v>
      </x:c>
      <x:c r="AC340" s="58" t="n">
        <x:f>SUM(AC335:AC337)/(1-'Scenario Inputs'!$C$29)</x:f>
        <x:v>223.57434740922878</x:v>
      </x:c>
      <x:c r="AD340" s="58" t="n">
        <x:f>SUM(AD335:AD337)/(1-'Scenario Inputs'!$C$29)</x:f>
        <x:v>231.80596721521354</x:v>
      </x:c>
      <x:c r="AE340" s="58" t="n">
        <x:f>SUM(AE335:AE337)/(1-'Scenario Inputs'!$C$29)</x:f>
        <x:v>240.55271227771564</x:v>
      </x:c>
      <x:c r="AF340" s="58" t="n">
        <x:f>SUM(AF335:AF337)/(1-'Scenario Inputs'!$C$29)</x:f>
        <x:v>274.82463215719287</x:v>
      </x:c>
      <x:c r="AG340" s="58" t="n">
        <x:f>SUM(AG335:AG337)/(1-'Scenario Inputs'!$C$29)</x:f>
        <x:v>284.702689118736</x:v>
      </x:c>
      <x:c r="AH340" s="58" t="n">
        <x:f>SUM(AH335:AH337)/(1-'Scenario Inputs'!$C$29)</x:f>
        <x:v>295.2014535266043</x:v>
      </x:c>
      <x:c r="AI340" s="58" t="n">
        <x:f>SUM(AI335:AI337)/(1-'Scenario Inputs'!$C$29)</x:f>
        <x:v>306.36090617134585</x:v>
      </x:c>
      <x:c r="AJ340" s="58" t="n">
        <x:f>SUM(AJ335:AJ337)/(1-'Scenario Inputs'!$C$29)</x:f>
        <x:v>318.2237053290207</x:v>
      </x:c>
      <x:c r="AK340" s="58" t="n">
        <x:f>SUM(AK335:AK337)/(1-'Scenario Inputs'!$C$29)</x:f>
        <x:v>330.8353768498467</x:v>
      </x:c>
    </x:row>
    <x:row r="341" ht="18" customHeight="1">
      <x:c r="A341" s="4" t="str"/>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c r="AA341" s="58"/>
      <x:c r="AB341" s="58"/>
      <x:c r="AC341" s="58"/>
      <x:c r="AD341" s="58"/>
      <x:c r="AE341" s="58"/>
      <x:c r="AF341" s="58"/>
      <x:c r="AG341" s="58"/>
      <x:c r="AH341" s="58"/>
      <x:c r="AI341" s="58"/>
      <x:c r="AJ341" s="58"/>
      <x:c r="AK341" s="58"/>
    </x:row>
    <x:row r="342" ht="18" customHeight="1">
      <x:c r="A342" s="4" t="str">
        <x:v>New monthly payers after refunds</x:v>
      </x:c>
      <x:c r="B342" s="58" t="n">
        <x:f>B327*(1-'Scenario Inputs'!$C$27)*(1-'Scenario Inputs'!$C$29)</x:f>
        <x:v>5.5775</x:v>
      </x:c>
      <x:c r="C342" s="58" t="n">
        <x:f>C327*(1-'Scenario Inputs'!$C$27)*(1-'Scenario Inputs'!$C$29)</x:f>
        <x:v>6.014</x:v>
      </x:c>
      <x:c r="D342" s="58" t="n">
        <x:f>D327*(1-'Scenario Inputs'!$C$27)*(1-'Scenario Inputs'!$C$29)</x:f>
        <x:v>6.502879999999999</x:v>
      </x:c>
      <x:c r="E342" s="58" t="n">
        <x:f>E327*(1-'Scenario Inputs'!$C$27)*(1-'Scenario Inputs'!$C$29)</x:f>
        <x:v>8.9904256</x:v>
      </x:c>
      <x:c r="F342" s="58" t="n">
        <x:f>F327*(1-'Scenario Inputs'!$C$27)*(1-'Scenario Inputs'!$C$29)</x:f>
        <x:v>9.603676672</x:v>
      </x:c>
      <x:c r="G342" s="58" t="n">
        <x:f>G327*(1-'Scenario Inputs'!$C$27)*(1-'Scenario Inputs'!$C$29)</x:f>
        <x:v>10.29051787264</x:v>
      </x:c>
      <x:c r="H342" s="58" t="n">
        <x:f>H327*(1-'Scenario Inputs'!$C$27)*(1-'Scenario Inputs'!$C$29)</x:f>
        <x:v>15.263113350690137</x:v>
      </x:c>
      <x:c r="I342" s="58" t="n">
        <x:f>I327*(1-'Scenario Inputs'!$C$27)*(1-'Scenario Inputs'!$C$29)</x:f>
        <x:v>16.12468695277295</x:v>
      </x:c>
      <x:c r="J342" s="58" t="n">
        <x:f>J327*(1-'Scenario Inputs'!$C$27)*(1-'Scenario Inputs'!$C$29)</x:f>
        <x:v>17.089649387105705</x:v>
      </x:c>
      <x:c r="K342" s="58" t="n">
        <x:f>K327*(1-'Scenario Inputs'!$C$27)*(1-'Scenario Inputs'!$C$29)</x:f>
        <x:v>18.170407313558396</x:v>
      </x:c>
      <x:c r="L342" s="58" t="n">
        <x:f>L327*(1-'Scenario Inputs'!$C$27)*(1-'Scenario Inputs'!$C$29)</x:f>
        <x:v>19.3808561911854</x:v>
      </x:c>
      <x:c r="M342" s="58" t="n">
        <x:f>M327*(1-'Scenario Inputs'!$C$27)*(1-'Scenario Inputs'!$C$29)</x:f>
        <x:v>20.73655893412765</x:v>
      </x:c>
      <x:c r="N342" s="58" t="n">
        <x:f>N327*(1-'Scenario Inputs'!$C$27)*(1-'Scenario Inputs'!$C$29)</x:f>
        <x:v>28.36245334582756</x:v>
      </x:c>
      <x:c r="O342" s="58" t="n">
        <x:f>O327*(1-'Scenario Inputs'!$C$27)*(1-'Scenario Inputs'!$C$29)</x:f>
        <x:v>29.455692037736192</x:v>
      </x:c>
      <x:c r="P342" s="58" t="n">
        <x:f>P327*(1-'Scenario Inputs'!$C$27)*(1-'Scenario Inputs'!$C$29)</x:f>
        <x:v>30.636389824997515</x:v>
      </x:c>
      <x:c r="Q342" s="58" t="n">
        <x:f>Q327*(1-'Scenario Inputs'!$C$27)*(1-'Scenario Inputs'!$C$29)</x:f>
        <x:v>31.911543435239736</x:v>
      </x:c>
      <x:c r="R342" s="58" t="n">
        <x:f>R327*(1-'Scenario Inputs'!$C$27)*(1-'Scenario Inputs'!$C$29)</x:f>
        <x:v>33.288709334301345</x:v>
      </x:c>
      <x:c r="S342" s="58" t="n">
        <x:f>S327*(1-'Scenario Inputs'!$C$27)*(1-'Scenario Inputs'!$C$29)</x:f>
        <x:v>34.776048505287875</x:v>
      </x:c>
      <x:c r="T342" s="58" t="n">
        <x:f>T327*(1-'Scenario Inputs'!$C$27)*(1-'Scenario Inputs'!$C$29)</x:f>
        <x:v>43.73085965843818</x:v>
      </x:c>
      <x:c r="U342" s="58" t="n">
        <x:f>U327*(1-'Scenario Inputs'!$C$27)*(1-'Scenario Inputs'!$C$29)</x:f>
        <x:v>45.46569206747687</x:v>
      </x:c>
      <x:c r="V342" s="58" t="n">
        <x:f>V327*(1-'Scenario Inputs'!$C$27)*(1-'Scenario Inputs'!$C$29)</x:f>
        <x:v>47.33931106923866</x:v>
      </x:c>
      <x:c r="W342" s="58" t="n">
        <x:f>W327*(1-'Scenario Inputs'!$C$27)*(1-'Scenario Inputs'!$C$29)</x:f>
        <x:v>49.36281959114139</x:v>
      </x:c>
      <x:c r="X342" s="58" t="n">
        <x:f>X327*(1-'Scenario Inputs'!$C$27)*(1-'Scenario Inputs'!$C$29)</x:f>
        <x:v>51.54820879479634</x:v>
      </x:c>
      <x:c r="Y342" s="58" t="n">
        <x:f>Y327*(1-'Scenario Inputs'!$C$27)*(1-'Scenario Inputs'!$C$29)</x:f>
        <x:v>53.90842913474368</x:v>
      </x:c>
      <x:c r="Z342" s="58" t="n">
        <x:f>Z327*(1-'Scenario Inputs'!$C$27)*(1-'Scenario Inputs'!$C$29)</x:f>
        <x:v>60.496516150045935</x:v>
      </x:c>
      <x:c r="AA342" s="58" t="n">
        <x:f>AA327*(1-'Scenario Inputs'!$C$27)*(1-'Scenario Inputs'!$C$29)</x:f>
        <x:v>62.523001333924725</x:v>
      </x:c>
      <x:c r="AB342" s="58" t="n">
        <x:f>AB327*(1-'Scenario Inputs'!$C$27)*(1-'Scenario Inputs'!$C$29)</x:f>
        <x:v>64.67107562883625</x:v>
      </x:c>
      <x:c r="AC342" s="58" t="n">
        <x:f>AC327*(1-'Scenario Inputs'!$C$27)*(1-'Scenario Inputs'!$C$29)</x:f>
        <x:v>66.94803438144245</x:v>
      </x:c>
      <x:c r="AD342" s="58" t="n">
        <x:f>AD327*(1-'Scenario Inputs'!$C$27)*(1-'Scenario Inputs'!$C$29)</x:f>
        <x:v>69.36161065920504</x:v>
      </x:c>
      <x:c r="AE342" s="58" t="n">
        <x:f>AE327*(1-'Scenario Inputs'!$C$27)*(1-'Scenario Inputs'!$C$29)</x:f>
        <x:v>71.92000151363338</x:v>
      </x:c>
      <x:c r="AF342" s="58" t="n">
        <x:f>AF327*(1-'Scenario Inputs'!$C$27)*(1-'Scenario Inputs'!$C$29)</x:f>
        <x:v>81.31233659067728</x:v>
      </x:c>
      <x:c r="AG342" s="58" t="n">
        <x:f>AG327*(1-'Scenario Inputs'!$C$27)*(1-'Scenario Inputs'!$C$29)</x:f>
        <x:v>84.18694455471295</x:v>
      </x:c>
      <x:c r="AH342" s="58" t="n">
        <x:f>AH327*(1-'Scenario Inputs'!$C$27)*(1-'Scenario Inputs'!$C$29)</x:f>
        <x:v>87.23402899659078</x:v>
      </x:c>
      <x:c r="AI342" s="58" t="n">
        <x:f>AI327*(1-'Scenario Inputs'!$C$27)*(1-'Scenario Inputs'!$C$29)</x:f>
        <x:v>90.46393850498127</x:v>
      </x:c>
      <x:c r="AJ342" s="58" t="n">
        <x:f>AJ327*(1-'Scenario Inputs'!$C$27)*(1-'Scenario Inputs'!$C$29)</x:f>
        <x:v>93.88764258387519</x:v>
      </x:c>
      <x:c r="AK342" s="58" t="n">
        <x:f>AK327*(1-'Scenario Inputs'!$C$27)*(1-'Scenario Inputs'!$C$29)</x:f>
        <x:v>97.51676890750275</x:v>
      </x:c>
    </x:row>
    <x:row r="343" ht="18" customHeight="1">
      <x:c r="A343" s="4" t="str">
        <x:v>First monthly renewals after refunds</x:v>
      </x:c>
      <x:c r="B343" s="58" t="n">
        <x:f>0*'Scenario Inputs'!$C$32*(1-'Scenario Inputs'!$C$29)</x:f>
        <x:v>0</x:v>
      </x:c>
      <x:c r="C343" s="58" t="n">
        <x:f>B342*'Scenario Inputs'!$C$32*(1-'Scenario Inputs'!$C$29)</x:f>
        <x:v>3.2461049999999996</x:v>
      </x:c>
      <x:c r="D343" s="58" t="n">
        <x:f>C342*'Scenario Inputs'!$C$32*(1-'Scenario Inputs'!$C$29)</x:f>
        <x:v>3.500148</x:v>
      </x:c>
      <x:c r="E343" s="58" t="n">
        <x:f>D342*'Scenario Inputs'!$C$32*(1-'Scenario Inputs'!$C$29)</x:f>
        <x:v>3.784676159999999</x:v>
      </x:c>
      <x:c r="F343" s="58" t="n">
        <x:f>E342*'Scenario Inputs'!$C$32*(1-'Scenario Inputs'!$C$29)</x:f>
        <x:v>5.2324276992</x:v>
      </x:c>
      <x:c r="G343" s="58" t="n">
        <x:f>F342*'Scenario Inputs'!$C$32*(1-'Scenario Inputs'!$C$29)</x:f>
        <x:v>5.589339823104</x:v>
      </x:c>
      <x:c r="H343" s="58" t="n">
        <x:f>G342*'Scenario Inputs'!$C$32*(1-'Scenario Inputs'!$C$29)</x:f>
        <x:v>5.98908140187648</x:v>
      </x:c>
      <x:c r="I343" s="58" t="n">
        <x:f>H342*'Scenario Inputs'!$C$32*(1-'Scenario Inputs'!$C$29)</x:f>
        <x:v>8.88313197010166</x:v>
      </x:c>
      <x:c r="J343" s="58" t="n">
        <x:f>I342*'Scenario Inputs'!$C$32*(1-'Scenario Inputs'!$C$29)</x:f>
        <x:v>9.384567806513857</x:v>
      </x:c>
      <x:c r="K343" s="58" t="n">
        <x:f>J342*'Scenario Inputs'!$C$32*(1-'Scenario Inputs'!$C$29)</x:f>
        <x:v>9.94617594329552</x:v>
      </x:c>
      <x:c r="L343" s="58" t="n">
        <x:f>K342*'Scenario Inputs'!$C$32*(1-'Scenario Inputs'!$C$29)</x:f>
        <x:v>10.575177056490984</x:v>
      </x:c>
      <x:c r="M343" s="58" t="n">
        <x:f>L342*'Scenario Inputs'!$C$32*(1-'Scenario Inputs'!$C$29)</x:f>
        <x:v>11.279658303269903</x:v>
      </x:c>
      <x:c r="N343" s="58" t="n">
        <x:f>M342*'Scenario Inputs'!$C$32*(1-'Scenario Inputs'!$C$29)</x:f>
        <x:v>12.068677299662292</x:v>
      </x:c>
      <x:c r="O343" s="58" t="n">
        <x:f>N342*'Scenario Inputs'!$C$32*(1-'Scenario Inputs'!$C$29)</x:f>
        <x:v>16.50694784727164</x:v>
      </x:c>
      <x:c r="P343" s="58" t="n">
        <x:f>O342*'Scenario Inputs'!$C$32*(1-'Scenario Inputs'!$C$29)</x:f>
        <x:v>17.143212765962463</x:v>
      </x:c>
      <x:c r="Q343" s="58" t="n">
        <x:f>P342*'Scenario Inputs'!$C$32*(1-'Scenario Inputs'!$C$29)</x:f>
        <x:v>17.83037887814855</x:v>
      </x:c>
      <x:c r="R343" s="58" t="n">
        <x:f>Q342*'Scenario Inputs'!$C$32*(1-'Scenario Inputs'!$C$29)</x:f>
        <x:v>18.572518279309524</x:v>
      </x:c>
      <x:c r="S343" s="58" t="n">
        <x:f>R342*'Scenario Inputs'!$C$32*(1-'Scenario Inputs'!$C$29)</x:f>
        <x:v>19.374028832563383</x:v>
      </x:c>
      <x:c r="T343" s="58" t="n">
        <x:f>S342*'Scenario Inputs'!$C$32*(1-'Scenario Inputs'!$C$29)</x:f>
        <x:v>20.239660230077543</x:v>
      </x:c>
      <x:c r="U343" s="58" t="n">
        <x:f>T342*'Scenario Inputs'!$C$32*(1-'Scenario Inputs'!$C$29)</x:f>
        <x:v>25.451360321211016</x:v>
      </x:c>
      <x:c r="V343" s="58" t="n">
        <x:f>U342*'Scenario Inputs'!$C$32*(1-'Scenario Inputs'!$C$29)</x:f>
        <x:v>26.461032783271538</x:v>
      </x:c>
      <x:c r="W343" s="58" t="n">
        <x:f>V342*'Scenario Inputs'!$C$32*(1-'Scenario Inputs'!$C$29)</x:f>
        <x:v>27.5514790422969</x:v>
      </x:c>
      <x:c r="X343" s="58" t="n">
        <x:f>W342*'Scenario Inputs'!$C$32*(1-'Scenario Inputs'!$C$29)</x:f>
        <x:v>28.729161002044286</x:v>
      </x:c>
      <x:c r="Y343" s="58" t="n">
        <x:f>X342*'Scenario Inputs'!$C$32*(1-'Scenario Inputs'!$C$29)</x:f>
        <x:v>30.001057518571468</x:v>
      </x:c>
      <x:c r="Z343" s="58" t="n">
        <x:f>Y342*'Scenario Inputs'!$C$32*(1-'Scenario Inputs'!$C$29)</x:f>
        <x:v>31.37470575642082</x:v>
      </x:c>
      <x:c r="AA343" s="58" t="n">
        <x:f>Z342*'Scenario Inputs'!$C$32*(1-'Scenario Inputs'!$C$29)</x:f>
        <x:v>35.20897239932673</x:v>
      </x:c>
      <x:c r="AB343" s="58" t="n">
        <x:f>AA342*'Scenario Inputs'!$C$32*(1-'Scenario Inputs'!$C$29)</x:f>
        <x:v>36.38838677634419</x:v>
      </x:c>
      <x:c r="AC343" s="58" t="n">
        <x:f>AB342*'Scenario Inputs'!$C$32*(1-'Scenario Inputs'!$C$29)</x:f>
        <x:v>37.6385660159827</x:v>
      </x:c>
      <x:c r="AD343" s="58" t="n">
        <x:f>AC342*'Scenario Inputs'!$C$32*(1-'Scenario Inputs'!$C$29)</x:f>
        <x:v>38.9637560099995</x:v>
      </x:c>
      <x:c r="AE343" s="58" t="n">
        <x:f>AD342*'Scenario Inputs'!$C$32*(1-'Scenario Inputs'!$C$29)</x:f>
        <x:v>40.36845740365733</x:v>
      </x:c>
      <x:c r="AF343" s="58" t="n">
        <x:f>AE342*'Scenario Inputs'!$C$32*(1-'Scenario Inputs'!$C$29)</x:f>
        <x:v>41.857440880934625</x:v>
      </x:c>
      <x:c r="AG343" s="58" t="n">
        <x:f>AF342*'Scenario Inputs'!$C$32*(1-'Scenario Inputs'!$C$29)</x:f>
        <x:v>47.32377989577417</x:v>
      </x:c>
      <x:c r="AH343" s="58" t="n">
        <x:f>AG342*'Scenario Inputs'!$C$32*(1-'Scenario Inputs'!$C$29)</x:f>
        <x:v>48.99680173084294</x:v>
      </x:c>
      <x:c r="AI343" s="58" t="n">
        <x:f>AH342*'Scenario Inputs'!$C$32*(1-'Scenario Inputs'!$C$29)</x:f>
        <x:v>50.77020487601583</x:v>
      </x:c>
      <x:c r="AJ343" s="58" t="n">
        <x:f>AI342*'Scenario Inputs'!$C$32*(1-'Scenario Inputs'!$C$29)</x:f>
        <x:v>52.650012209899096</x:v>
      </x:c>
      <x:c r="AK343" s="58" t="n">
        <x:f>AJ342*'Scenario Inputs'!$C$32*(1-'Scenario Inputs'!$C$29)</x:f>
        <x:v>54.64260798381536</x:v>
      </x:c>
    </x:row>
    <x:row r="344" ht="18" customHeight="1">
      <x:c r="A344" s="4" t="str">
        <x:v>Second monthly renewals after refunds</x:v>
      </x:c>
      <x:c r="B344" s="58" t="n">
        <x:f>0*'Scenario Inputs'!$C$33*(1-'Scenario Inputs'!$C$29)</x:f>
        <x:v>0</x:v>
      </x:c>
      <x:c r="C344" s="58" t="n">
        <x:f>B343*'Scenario Inputs'!$C$33*(1-'Scenario Inputs'!$C$29)</x:f>
        <x:v>0</x:v>
      </x:c>
      <x:c r="D344" s="58" t="n">
        <x:f>C343*'Scenario Inputs'!$C$33*(1-'Scenario Inputs'!$C$29)</x:f>
        <x:v>2.3615413874999995</x:v>
      </x:c>
      <x:c r="E344" s="58" t="n">
        <x:f>D343*'Scenario Inputs'!$C$33*(1-'Scenario Inputs'!$C$29)</x:f>
        <x:v>2.54635767</x:v>
      </x:c>
      <x:c r="F344" s="58" t="n">
        <x:f>E343*'Scenario Inputs'!$C$33*(1-'Scenario Inputs'!$C$29)</x:f>
        <x:v>2.753351906399999</x:v>
      </x:c>
      <x:c r="G344" s="58" t="n">
        <x:f>F343*'Scenario Inputs'!$C$33*(1-'Scenario Inputs'!$C$29)</x:f>
        <x:v>3.806591151168</x:v>
      </x:c>
      <x:c r="H344" s="58" t="n">
        <x:f>G343*'Scenario Inputs'!$C$33*(1-'Scenario Inputs'!$C$29)</x:f>
        <x:v>4.06624472130816</x:v>
      </x:c>
      <x:c r="I344" s="58" t="n">
        <x:f>H343*'Scenario Inputs'!$C$33*(1-'Scenario Inputs'!$C$29)</x:f>
        <x:v>4.357056719865139</x:v>
      </x:c>
      <x:c r="J344" s="58" t="n">
        <x:f>I343*'Scenario Inputs'!$C$33*(1-'Scenario Inputs'!$C$29)</x:f>
        <x:v>6.4624785082489575</x:v>
      </x:c>
      <x:c r="K344" s="58" t="n">
        <x:f>J343*'Scenario Inputs'!$C$33*(1-'Scenario Inputs'!$C$29)</x:f>
        <x:v>6.8272730792388305</x:v>
      </x:c>
      <x:c r="L344" s="58" t="n">
        <x:f>K343*'Scenario Inputs'!$C$33*(1-'Scenario Inputs'!$C$29)</x:f>
        <x:v>7.23584299874749</x:v>
      </x:c>
      <x:c r="M344" s="58" t="n">
        <x:f>L343*'Scenario Inputs'!$C$33*(1-'Scenario Inputs'!$C$29)</x:f>
        <x:v>7.69344130859719</x:v>
      </x:c>
      <x:c r="N344" s="58" t="n">
        <x:f>M343*'Scenario Inputs'!$C$33*(1-'Scenario Inputs'!$C$29)</x:f>
        <x:v>8.205951415628853</x:v>
      </x:c>
      <x:c r="O344" s="58" t="n">
        <x:f>N343*'Scenario Inputs'!$C$33*(1-'Scenario Inputs'!$C$29)</x:f>
        <x:v>8.779962735504318</x:v>
      </x:c>
      <x:c r="P344" s="58" t="n">
        <x:f>O343*'Scenario Inputs'!$C$33*(1-'Scenario Inputs'!$C$29)</x:f>
        <x:v>12.008804558890118</x:v>
      </x:c>
      <x:c r="Q344" s="58" t="n">
        <x:f>P343*'Scenario Inputs'!$C$33*(1-'Scenario Inputs'!$C$29)</x:f>
        <x:v>12.471687287237692</x:v>
      </x:c>
      <x:c r="R344" s="58" t="n">
        <x:f>Q343*'Scenario Inputs'!$C$33*(1-'Scenario Inputs'!$C$29)</x:f>
        <x:v>12.97160063385307</x:v>
      </x:c>
      <x:c r="S344" s="58" t="n">
        <x:f>R343*'Scenario Inputs'!$C$33*(1-'Scenario Inputs'!$C$29)</x:f>
        <x:v>13.511507048197679</x:v>
      </x:c>
      <x:c r="T344" s="58" t="n">
        <x:f>S343*'Scenario Inputs'!$C$33*(1-'Scenario Inputs'!$C$29)</x:f>
        <x:v>14.094605975689861</x:v>
      </x:c>
      <x:c r="U344" s="58" t="n">
        <x:f>T343*'Scenario Inputs'!$C$33*(1-'Scenario Inputs'!$C$29)</x:f>
        <x:v>14.724352817381412</x:v>
      </x:c>
      <x:c r="V344" s="58" t="n">
        <x:f>U343*'Scenario Inputs'!$C$33*(1-'Scenario Inputs'!$C$29)</x:f>
        <x:v>18.515864633681016</x:v>
      </x:c>
      <x:c r="W344" s="58" t="n">
        <x:f>V343*'Scenario Inputs'!$C$33*(1-'Scenario Inputs'!$C$29)</x:f>
        <x:v>19.250401349830042</x:v>
      </x:c>
      <x:c r="X344" s="58" t="n">
        <x:f>W343*'Scenario Inputs'!$C$33*(1-'Scenario Inputs'!$C$29)</x:f>
        <x:v>20.043701003270993</x:v>
      </x:c>
      <x:c r="Y344" s="58" t="n">
        <x:f>X343*'Scenario Inputs'!$C$33*(1-'Scenario Inputs'!$C$29)</x:f>
        <x:v>20.900464628987216</x:v>
      </x:c>
      <x:c r="Z344" s="58" t="n">
        <x:f>Y343*'Scenario Inputs'!$C$33*(1-'Scenario Inputs'!$C$29)</x:f>
        <x:v>21.82576934476074</x:v>
      </x:c>
      <x:c r="AA344" s="58" t="n">
        <x:f>Z343*'Scenario Inputs'!$C$33*(1-'Scenario Inputs'!$C$29)</x:f>
        <x:v>22.825098437796147</x:v>
      </x:c>
      <x:c r="AB344" s="58" t="n">
        <x:f>AA343*'Scenario Inputs'!$C$33*(1-'Scenario Inputs'!$C$29)</x:f>
        <x:v>25.614527420510196</x:v>
      </x:c>
      <x:c r="AC344" s="58" t="n">
        <x:f>AB343*'Scenario Inputs'!$C$33*(1-'Scenario Inputs'!$C$29)</x:f>
        <x:v>26.4725513797904</x:v>
      </x:c>
      <x:c r="AD344" s="58" t="n">
        <x:f>AC343*'Scenario Inputs'!$C$33*(1-'Scenario Inputs'!$C$29)</x:f>
        <x:v>27.38205677662741</x:v>
      </x:c>
      <x:c r="AE344" s="58" t="n">
        <x:f>AD343*'Scenario Inputs'!$C$33*(1-'Scenario Inputs'!$C$29)</x:f>
        <x:v>28.346132497274635</x:v>
      </x:c>
      <x:c r="AF344" s="58" t="n">
        <x:f>AE343*'Scenario Inputs'!$C$33*(1-'Scenario Inputs'!$C$29)</x:f>
        <x:v>29.36805276116071</x:v>
      </x:c>
      <x:c r="AG344" s="58" t="n">
        <x:f>AF343*'Scenario Inputs'!$C$33*(1-'Scenario Inputs'!$C$29)</x:f>
        <x:v>30.451288240879936</x:v>
      </x:c>
      <x:c r="AH344" s="58" t="n">
        <x:f>AG343*'Scenario Inputs'!$C$33*(1-'Scenario Inputs'!$C$29)</x:f>
        <x:v>34.428049874175706</x:v>
      </x:c>
      <x:c r="AI344" s="58" t="n">
        <x:f>AH343*'Scenario Inputs'!$C$33*(1-'Scenario Inputs'!$C$29)</x:f>
        <x:v>35.64517325918823</x:v>
      </x:c>
      <x:c r="AJ344" s="58" t="n">
        <x:f>AI343*'Scenario Inputs'!$C$33*(1-'Scenario Inputs'!$C$29)</x:f>
        <x:v>36.93532404730151</x:v>
      </x:c>
      <x:c r="AK344" s="58" t="n">
        <x:f>AJ343*'Scenario Inputs'!$C$33*(1-'Scenario Inputs'!$C$29)</x:f>
        <x:v>38.302883882701586</x:v>
      </x:c>
    </x:row>
    <x:row r="345" ht="18" customHeight="1">
      <x:c r="A345" s="4" t="str">
        <x:v>Later monthly renewals after refunds</x:v>
      </x:c>
      <x:c r="B345" s="58" t="n">
        <x:f>(0+0)*'Scenario Inputs'!$C$34*(1-'Scenario Inputs'!$C$29)</x:f>
        <x:v>0</x:v>
      </x:c>
      <x:c r="C345" s="58" t="n">
        <x:f>(B344+B345)*'Scenario Inputs'!$C$34*(1-'Scenario Inputs'!$C$29)</x:f>
        <x:v>0</x:v>
      </x:c>
      <x:c r="D345" s="58" t="n">
        <x:f>(C344+C345)*'Scenario Inputs'!$C$34*(1-'Scenario Inputs'!$C$29)</x:f>
        <x:v>0</x:v>
      </x:c>
      <x:c r="E345" s="58" t="n">
        <x:f>(D344+D345)*'Scenario Inputs'!$C$34*(1-'Scenario Inputs'!$C$29)</x:f>
        <x:v>2.0158117283699997</x:v>
      </x:c>
      <x:c r="F345" s="58" t="n">
        <x:f>(E344+E345)*'Scenario Inputs'!$C$34*(1-'Scenario Inputs'!$C$29)</x:f>
        <x:v>3.8942677984486314</x:v>
      </x:c>
      <x:c r="G345" s="58" t="n">
        <x:f>(F344+F345)*'Scenario Inputs'!$C$34*(1-'Scenario Inputs'!$C$29)</x:f>
        <x:v>5.67440818005879</x:v>
      </x:c>
      <x:c r="H345" s="58" t="n">
        <x:f>(G344+G345)*'Scenario Inputs'!$C$34*(1-'Scenario Inputs'!$C$29)</x:f>
        <x:v>8.092981029135188</x:v>
      </x:c>
      <x:c r="I345" s="58" t="n">
        <x:f>(H344+H345)*'Scenario Inputs'!$C$34*(1-'Scenario Inputs'!$C$29)</x:f>
        <x:v>10.379115100578442</x:v>
      </x:c>
      <x:c r="J345" s="58" t="n">
        <x:f>(I344+I345)*'Scenario Inputs'!$C$34*(1-'Scenario Inputs'!$C$29)</x:f>
        <x:v>12.57879626593064</x:v>
      </x:c>
      <x:c r="K345" s="58" t="n">
        <x:f>(J344+J345)*'Scenario Inputs'!$C$34*(1-'Scenario Inputs'!$C$29)</x:f>
        <x:v>16.253632147239706</x:v>
      </x:c>
      <x:c r="L345" s="58" t="n">
        <x:f>(K344+K345)*'Scenario Inputs'!$C$34*(1-'Scenario Inputs'!$C$29)</x:f>
        <x:v>19.70186070132208</x:v>
      </x:c>
      <x:c r="M345" s="58" t="n">
        <x:f>(L344+L345)*'Scenario Inputs'!$C$34*(1-'Scenario Inputs'!$C$29)</x:f>
        <x:v>22.994023878379384</x:v>
      </x:c>
      <x:c r="N345" s="58" t="n">
        <x:f>(M344+M345)*'Scenario Inputs'!$C$34*(1-'Scenario Inputs'!$C$29)</x:f>
        <x:v>26.194820283603203</x:v>
      </x:c>
      <x:c r="O345" s="58" t="n">
        <x:f>(N344+N345)*'Scenario Inputs'!$C$34*(1-'Scenario Inputs'!$C$29)</x:f>
        <x:v>29.36449872246448</x:v>
      </x:c>
      <x:c r="P345" s="58" t="n">
        <x:f>(O344+O345)*'Scenario Inputs'!$C$34*(1-'Scenario Inputs'!$C$29)</x:f>
        <x:v>32.560112300522164</x:v>
      </x:c>
      <x:c r="Q345" s="58" t="n">
        <x:f>(P344+P345)*'Scenario Inputs'!$C$34*(1-'Scenario Inputs'!$C$29)</x:f>
        <x:v>38.04402743119432</x:v>
      </x:c>
      <x:c r="R345" s="58" t="n">
        <x:f>(Q344+Q345)*'Scenario Inputs'!$C$34*(1-'Scenario Inputs'!$C$29)</x:f>
        <x:v>43.120214083653565</x:v>
      </x:c>
      <x:c r="S345" s="58" t="n">
        <x:f>(R344+R345)*'Scenario Inputs'!$C$34*(1-'Scenario Inputs'!$C$29)</x:f>
        <x:v>47.87997304286366</x:v>
      </x:c>
      <x:c r="T345" s="58" t="n">
        <x:f>(S344+S345)*'Scenario Inputs'!$C$34*(1-'Scenario Inputs'!$C$29)</x:f>
        <x:v>52.40376740572996</x:v>
      </x:c>
      <x:c r="U345" s="58" t="n">
        <x:f>(T344+T345)*'Scenario Inputs'!$C$34*(1-'Scenario Inputs'!$C$29)</x:f>
        <x:v>56.76301151837996</x:v>
      </x:c>
      <x:c r="V345" s="58" t="n">
        <x:f>(U344+U345)*'Scenario Inputs'!$C$34*(1-'Scenario Inputs'!$C$29)</x:f>
        <x:v>61.0216141970059</x:v>
      </x:c>
      <x:c r="W345" s="58" t="n">
        <x:f>(V344+V345)*'Scenario Inputs'!$C$34*(1-'Scenario Inputs'!$C$29)</x:f>
        <x:v>67.89319192987435</x:v>
      </x:c>
      <x:c r="X345" s="58" t="n">
        <x:f>(W344+W345)*'Scenario Inputs'!$C$34*(1-'Scenario Inputs'!$C$29)</x:f>
        <x:v>74.38577122355566</x:v>
      </x:c>
      <x:c r="Y345" s="58" t="n">
        <x:f>(X344+X345)*'Scenario Inputs'!$C$34*(1-'Scenario Inputs'!$C$29)</x:f>
        <x:v>80.60499749281924</x:v>
      </x:c>
      <x:c r="Z345" s="58" t="n">
        <x:f>(Y344+Y345)*'Scenario Inputs'!$C$34*(1-'Scenario Inputs'!$C$29)</x:f>
        <x:v>86.645062467174</x:v>
      </x:c>
      <x:c r="AA345" s="58" t="n">
        <x:f>(Z344+Z345)*'Scenario Inputs'!$C$34*(1-'Scenario Inputs'!$C$29)</x:f>
        <x:v>92.5907020346675</x:v>
      </x:c>
      <x:c r="AB345" s="58" t="n">
        <x:f>(AA344+AA345)*'Scenario Inputs'!$C$34*(1-'Scenario Inputs'!$C$29)</x:f>
        <x:v>98.51892728329496</x:v>
      </x:c>
      <x:c r="AC345" s="58" t="n">
        <x:f>(AB344+AB345)*'Scenario Inputs'!$C$34*(1-'Scenario Inputs'!$C$29)</x:f>
        <x:v>105.96031693516808</x:v>
      </x:c>
      <x:c r="AD345" s="58" t="n">
        <x:f>(AC344+AC345)*'Scenario Inputs'!$C$34*(1-'Scenario Inputs'!$C$29)</x:f>
        <x:v>113.04469639364856</x:v>
      </x:c>
      <x:c r="AE345" s="58" t="n">
        <x:f>(AD344+AD345)*'Scenario Inputs'!$C$34*(1-'Scenario Inputs'!$C$29)</x:f>
        <x:v>119.86827650614758</x:v>
      </x:c>
      <x:c r="AF345" s="58" t="n">
        <x:f>(AE344+AE345)*'Scenario Inputs'!$C$34*(1-'Scenario Inputs'!$C$29)</x:f>
        <x:v>126.51581952532119</x:v>
      </x:c>
      <x:c r="AG345" s="58" t="n">
        <x:f>(AF344+AF345)*'Scenario Inputs'!$C$34*(1-'Scenario Inputs'!$C$29)</x:f>
        <x:v>133.06247338374095</x:v>
      </x:c>
      <x:c r="AH345" s="58" t="n">
        <x:f>(AG344+AG345)*'Scenario Inputs'!$C$34*(1-'Scenario Inputs'!$C$29)</x:f>
        <x:v>139.5753469227764</x:v>
      </x:c>
      <x:c r="AI345" s="58" t="n">
        <x:f>(AH344+AH345)*'Scenario Inputs'!$C$34*(1-'Scenario Inputs'!$C$29)</x:f>
        <x:v>148.5292995058783</x:v>
      </x:c>
      <x:c r="AJ345" s="58" t="n">
        <x:f>(AI344+AI345)*'Scenario Inputs'!$C$34*(1-'Scenario Inputs'!$C$29)</x:f>
        <x:v>157.21132995226077</x:v>
      </x:c>
      <x:c r="AK345" s="58" t="n">
        <x:f>(AJ344+AJ345)*'Scenario Inputs'!$C$34*(1-'Scenario Inputs'!$C$29)</x:f>
        <x:v>165.72358385402637</x:v>
      </x:c>
    </x:row>
    <x:row r="346" ht="18" customHeight="1">
      <x:c r="A346" s="74" t="str">
        <x:v>ACTIVE MONTHLY SUBSCRIBERS</x:v>
      </x:c>
      <x:c r="B346" s="75" t="n">
        <x:f>SUM(B342:B345)</x:f>
        <x:v>5.5775</x:v>
      </x:c>
      <x:c r="C346" s="75" t="n">
        <x:f>SUM(C342:C345)</x:f>
        <x:v>9.260105</x:v>
      </x:c>
      <x:c r="D346" s="75" t="n">
        <x:f>SUM(D342:D345)</x:f>
        <x:v>12.364569387499998</x:v>
      </x:c>
      <x:c r="E346" s="75" t="n">
        <x:f>SUM(E342:E345)</x:f>
        <x:v>17.337271158369997</x:v>
      </x:c>
      <x:c r="F346" s="75" t="n">
        <x:f>SUM(F342:F345)</x:f>
        <x:v>21.48372407604863</x:v>
      </x:c>
      <x:c r="G346" s="75" t="n">
        <x:f>SUM(G342:G345)</x:f>
        <x:v>25.36085702697079</x:v>
      </x:c>
      <x:c r="H346" s="75" t="n">
        <x:f>SUM(H342:H345)</x:f>
        <x:v>33.411420503009964</x:v>
      </x:c>
      <x:c r="I346" s="75" t="n">
        <x:f>SUM(I342:I345)</x:f>
        <x:v>39.74399074331819</x:v>
      </x:c>
      <x:c r="J346" s="75" t="n">
        <x:f>SUM(J342:J345)</x:f>
        <x:v>45.515491967799164</x:v>
      </x:c>
      <x:c r="K346" s="75" t="n">
        <x:f>SUM(K342:K345)</x:f>
        <x:v>51.19748848333245</x:v>
      </x:c>
      <x:c r="L346" s="75" t="n">
        <x:f>SUM(L342:L345)</x:f>
        <x:v>56.89373694774595</x:v>
      </x:c>
      <x:c r="M346" s="75" t="n">
        <x:f>SUM(M342:M345)</x:f>
        <x:v>62.70368242437412</x:v>
      </x:c>
      <x:c r="N346" s="75" t="n">
        <x:f>SUM(N342:N345)</x:f>
        <x:v>74.83190234472191</x:v>
      </x:c>
      <x:c r="O346" s="75" t="n">
        <x:f>SUM(O342:O345)</x:f>
        <x:v>84.10710134297663</x:v>
      </x:c>
      <x:c r="P346" s="75" t="n">
        <x:f>SUM(P342:P345)</x:f>
        <x:v>92.34851945037227</x:v>
      </x:c>
      <x:c r="Q346" s="75" t="n">
        <x:f>SUM(Q342:Q345)</x:f>
        <x:v>100.25763703182031</x:v>
      </x:c>
      <x:c r="R346" s="75" t="n">
        <x:f>SUM(R342:R345)</x:f>
        <x:v>107.9530423311175</x:v>
      </x:c>
      <x:c r="S346" s="75" t="n">
        <x:f>SUM(S342:S345)</x:f>
        <x:v>115.5415574289126</x:v>
      </x:c>
      <x:c r="T346" s="75" t="n">
        <x:f>SUM(T342:T345)</x:f>
        <x:v>130.46889326993553</x:v>
      </x:c>
      <x:c r="U346" s="75" t="n">
        <x:f>SUM(U342:U345)</x:f>
        <x:v>142.40441672444928</x:v>
      </x:c>
      <x:c r="V346" s="75" t="n">
        <x:f>SUM(V342:V345)</x:f>
        <x:v>153.33782268319712</x:v>
      </x:c>
      <x:c r="W346" s="75" t="n">
        <x:f>SUM(W342:W345)</x:f>
        <x:v>164.05789191314267</x:v>
      </x:c>
      <x:c r="X346" s="75" t="n">
        <x:f>SUM(X342:X345)</x:f>
        <x:v>174.70684202366726</x:v>
      </x:c>
      <x:c r="Y346" s="75" t="n">
        <x:f>SUM(Y342:Y345)</x:f>
        <x:v>185.41494877512162</x:v>
      </x:c>
      <x:c r="Z346" s="75" t="n">
        <x:f>SUM(Z342:Z345)</x:f>
        <x:v>200.3420537184015</x:v>
      </x:c>
      <x:c r="AA346" s="75" t="n">
        <x:f>SUM(AA342:AA345)</x:f>
        <x:v>213.1477742057151</x:v>
      </x:c>
      <x:c r="AB346" s="75" t="n">
        <x:f>SUM(AB342:AB345)</x:f>
        <x:v>225.1929171089856</x:v>
      </x:c>
      <x:c r="AC346" s="75" t="n">
        <x:f>SUM(AC342:AC345)</x:f>
        <x:v>237.01946871238363</x:v>
      </x:c>
      <x:c r="AD346" s="75" t="n">
        <x:f>SUM(AD342:AD345)</x:f>
        <x:v>248.7521198394805</x:v>
      </x:c>
      <x:c r="AE346" s="75" t="n">
        <x:f>SUM(AE342:AE345)</x:f>
        <x:v>260.5028679207129</x:v>
      </x:c>
      <x:c r="AF346" s="75" t="n">
        <x:f>SUM(AF342:AF345)</x:f>
        <x:v>279.0536497580938</x:v>
      </x:c>
      <x:c r="AG346" s="75" t="n">
        <x:f>SUM(AG342:AG345)</x:f>
        <x:v>295.02448607510803</x:v>
      </x:c>
      <x:c r="AH346" s="75" t="n">
        <x:f>SUM(AH342:AH345)</x:f>
        <x:v>310.2342275243858</x:v>
      </x:c>
      <x:c r="AI346" s="75" t="n">
        <x:f>SUM(AI342:AI345)</x:f>
        <x:v>325.40861614606365</x:v>
      </x:c>
      <x:c r="AJ346" s="75" t="n">
        <x:f>SUM(AJ342:AJ345)</x:f>
        <x:v>340.6843087933366</x:v>
      </x:c>
      <x:c r="AK346" s="75" t="n">
        <x:f>SUM(AK342:AK345)</x:f>
        <x:v>356.1858446280461</x:v>
      </x:c>
    </x:row>
    <x:row r="347" ht="18" customHeight="1">
      <x:c r="A347" s="4" t="str">
        <x:v>Monthly charge events before refunds</x:v>
      </x:c>
      <x:c r="B347" s="58" t="n">
        <x:f>B346/(1-'Scenario Inputs'!$C$29)</x:f>
        <x:v>5.75</x:v>
      </x:c>
      <x:c r="C347" s="58" t="n">
        <x:f>C346/(1-'Scenario Inputs'!$C$29)</x:f>
        <x:v>9.5465</x:v>
      </x:c>
      <x:c r="D347" s="58" t="n">
        <x:f>D346/(1-'Scenario Inputs'!$C$29)</x:f>
        <x:v>12.746978749999998</x:v>
      </x:c>
      <x:c r="E347" s="58" t="n">
        <x:f>E346/(1-'Scenario Inputs'!$C$29)</x:f>
        <x:v>17.873475421</x:v>
      </x:c>
      <x:c r="F347" s="58" t="n">
        <x:f>F346/(1-'Scenario Inputs'!$C$29)</x:f>
        <x:v>22.1481691505656</x:v>
      </x:c>
      <x:c r="G347" s="58" t="n">
        <x:f>G346/(1-'Scenario Inputs'!$C$29)</x:f>
        <x:v>26.145213429866796</x:v>
      </x:c>
      <x:c r="H347" s="58" t="n">
        <x:f>H346/(1-'Scenario Inputs'!$C$29)</x:f>
        <x:v>34.44476340516491</x:v>
      </x:c>
      <x:c r="I347" s="58" t="n">
        <x:f>I346/(1-'Scenario Inputs'!$C$29)</x:f>
        <x:v>40.97318633331773</x:v>
      </x:c>
      <x:c r="J347" s="58" t="n">
        <x:f>J346/(1-'Scenario Inputs'!$C$29)</x:f>
        <x:v>46.92318759566924</x:v>
      </x:c>
      <x:c r="K347" s="58" t="n">
        <x:f>K346/(1-'Scenario Inputs'!$C$29)</x:f>
        <x:v>52.78091596219841</x:v>
      </x:c>
      <x:c r="L347" s="58" t="n">
        <x:f>L346/(1-'Scenario Inputs'!$C$29)</x:f>
        <x:v>58.65333705953191</x:v>
      </x:c>
      <x:c r="M347" s="58" t="n">
        <x:f>M346/(1-'Scenario Inputs'!$C$29)</x:f>
        <x:v>64.64297157151971</x:v>
      </x:c>
      <x:c r="N347" s="58" t="n">
        <x:f>N346/(1-'Scenario Inputs'!$C$29)</x:f>
        <x:v>77.1462910770329</x:v>
      </x:c>
      <x:c r="O347" s="58" t="n">
        <x:f>O346/(1-'Scenario Inputs'!$C$29)</x:f>
        <x:v>86.70835189997591</x:v>
      </x:c>
      <x:c r="P347" s="58" t="n">
        <x:f>P346/(1-'Scenario Inputs'!$C$29)</x:f>
        <x:v>95.2046592271879</x:v>
      </x:c>
      <x:c r="Q347" s="58" t="n">
        <x:f>Q346/(1-'Scenario Inputs'!$C$29)</x:f>
        <x:v>103.35838869259825</x:v>
      </x:c>
      <x:c r="R347" s="58" t="n">
        <x:f>R346/(1-'Scenario Inputs'!$C$29)</x:f>
        <x:v>111.2917962176469</x:v>
      </x:c>
      <x:c r="S347" s="58" t="n">
        <x:f>S346/(1-'Scenario Inputs'!$C$29)</x:f>
        <x:v>119.11500765867278</x:v>
      </x:c>
      <x:c r="T347" s="58" t="n">
        <x:f>T346/(1-'Scenario Inputs'!$C$29)</x:f>
        <x:v>134.5040136803459</x:v>
      </x:c>
      <x:c r="U347" s="58" t="n">
        <x:f>U346/(1-'Scenario Inputs'!$C$29)</x:f>
        <x:v>146.80867703551473</x:v>
      </x:c>
      <x:c r="V347" s="58" t="n">
        <x:f>V346/(1-'Scenario Inputs'!$C$29)</x:f>
        <x:v>158.0802295703063</x:v>
      </x:c>
      <x:c r="W347" s="58" t="n">
        <x:f>W346/(1-'Scenario Inputs'!$C$29)</x:f>
        <x:v>169.1318473331368</x:v>
      </x:c>
      <x:c r="X347" s="58" t="n">
        <x:f>X346/(1-'Scenario Inputs'!$C$29)</x:f>
        <x:v>180.11014641615182</x:v>
      </x:c>
      <x:c r="Y347" s="58" t="n">
        <x:f>Y346/(1-'Scenario Inputs'!$C$29)</x:f>
        <x:v>191.1494317269295</x:v>
      </x:c>
      <x:c r="Z347" s="58" t="n">
        <x:f>Z346/(1-'Scenario Inputs'!$C$29)</x:f>
        <x:v>206.53819970969226</x:v>
      </x:c>
      <x:c r="AA347" s="58" t="n">
        <x:f>AA346/(1-'Scenario Inputs'!$C$29)</x:f>
        <x:v>219.73997340795373</x:v>
      </x:c>
      <x:c r="AB347" s="58" t="n">
        <x:f>AB346/(1-'Scenario Inputs'!$C$29)</x:f>
        <x:v>232.15764650410887</x:v>
      </x:c>
      <x:c r="AC347" s="58" t="n">
        <x:f>AC346/(1-'Scenario Inputs'!$C$29)</x:f>
        <x:v>244.3499677447254</x:v>
      </x:c>
      <x:c r="AD347" s="58" t="n">
        <x:f>AD346/(1-'Scenario Inputs'!$C$29)</x:f>
        <x:v>256.4454843705985</x:v>
      </x:c>
      <x:c r="AE347" s="58" t="n">
        <x:f>AE346/(1-'Scenario Inputs'!$C$29)</x:f>
        <x:v>268.5596576502195</x:v>
      </x:c>
      <x:c r="AF347" s="58" t="n">
        <x:f>AF346/(1-'Scenario Inputs'!$C$29)</x:f>
        <x:v>287.68417500834414</x:v>
      </x:c>
      <x:c r="AG347" s="58" t="n">
        <x:f>AG346/(1-'Scenario Inputs'!$C$29)</x:f>
        <x:v>304.1489547166062</x:v>
      </x:c>
      <x:c r="AH347" s="58" t="n">
        <x:f>AH346/(1-'Scenario Inputs'!$C$29)</x:f>
        <x:v>319.8291005406039</x:v>
      </x:c>
      <x:c r="AI347" s="58" t="n">
        <x:f>AI346/(1-'Scenario Inputs'!$C$29)</x:f>
        <x:v>335.47280015058107</x:v>
      </x:c>
      <x:c r="AJ347" s="58" t="n">
        <x:f>AJ346/(1-'Scenario Inputs'!$C$29)</x:f>
        <x:v>351.220936900347</x:v>
      </x:c>
      <x:c r="AK347" s="58" t="n">
        <x:f>AK346/(1-'Scenario Inputs'!$C$29)</x:f>
        <x:v>367.20190167839803</x:v>
      </x:c>
    </x:row>
    <x:row r="348" ht="18" customHeight="1">
      <x:c r="A348" s="4" t="str"/>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c r="AA348" s="58"/>
      <x:c r="AB348" s="58"/>
      <x:c r="AC348" s="58"/>
      <x:c r="AD348" s="58"/>
      <x:c r="AE348" s="58"/>
      <x:c r="AF348" s="58"/>
      <x:c r="AG348" s="58"/>
      <x:c r="AH348" s="58"/>
      <x:c r="AI348" s="58"/>
      <x:c r="AJ348" s="58"/>
      <x:c r="AK348" s="58"/>
    </x:row>
    <x:row r="349" ht="18" customHeight="1">
      <x:c r="A349" s="74" t="str">
        <x:v>TOTAL ACTIVE PAID SUBSCRIBERS</x:v>
      </x:c>
      <x:c r="B349" s="75" t="n">
        <x:f>B339+B346</x:f>
        <x:v>22.31</x:v>
      </x:c>
      <x:c r="C349" s="75" t="n">
        <x:f>C339+C346</x:f>
        <x:v>44.034605</x:v>
      </x:c>
      <x:c r="D349" s="75" t="n">
        <x:f>D339+D346</x:f>
        <x:v>66.6477093875</x:v>
      </x:c>
      <x:c r="E349" s="75" t="n">
        <x:f>E339+E346</x:f>
        <x:v>98.59168795837</x:v>
      </x:c>
      <x:c r="F349" s="75" t="n">
        <x:f>F339+F346</x:f>
        <x:v>131.54917089204864</x:v>
      </x:c>
      <x:c r="G349" s="75" t="n">
        <x:f>G339+G346</x:f>
        <x:v>166.2978574608908</x:v>
      </x:c>
      <x:c r="H349" s="75" t="n">
        <x:f>H339+H346</x:f>
        <x:v>220.13776098900038</x:v>
      </x:c>
      <x:c r="I349" s="75" t="n">
        <x:f>I339+I346</x:f>
        <x:v>274.84439208762745</x:v>
      </x:c>
      <x:c r="J349" s="75" t="n">
        <x:f>J339+J346</x:f>
        <x:v>331.8848414734255</x:v>
      </x:c>
      <x:c r="K349" s="75" t="n">
        <x:f>K339+K346</x:f>
        <x:v>392.078059929634</x:v>
      </x:c>
      <x:c r="L349" s="75" t="n">
        <x:f>L339+L346</x:f>
        <x:v>455.9168769676037</x:v>
      </x:c>
      <x:c r="M349" s="75" t="n">
        <x:f>M339+M346</x:f>
        <x:v>523.9364992466149</x:v>
      </x:c>
      <x:c r="N349" s="75" t="n">
        <x:f>N339+N346</x:f>
        <x:v>606.8541579544453</x:v>
      </x:c>
      <x:c r="O349" s="75" t="n">
        <x:f>O339+O346</x:f>
        <x:v>689.0795440659086</x:v>
      </x:c>
      <x:c r="P349" s="75" t="n">
        <x:f>P339+P346</x:f>
        <x:v>772.5599987682967</x:v>
      </x:c>
      <x:c r="Q349" s="75" t="n">
        <x:f>Q339+Q346</x:f>
        <x:v>853.156790629864</x:v>
      </x:c>
      <x:c r="R349" s="75" t="n">
        <x:f>R339+R346</x:f>
        <x:v>936.0992987833931</x:v>
      </x:c>
      <x:c r="S349" s="75" t="n">
        <x:f>S339+S346</x:f>
        <x:v>1021.6362168305393</x:v>
      </x:c>
      <x:c r="T349" s="75" t="n">
        <x:f>T339+T346</x:f>
        <x:v>1128.6291405723825</x:v>
      </x:c>
      <x:c r="U349" s="75" t="n">
        <x:f>U339+U346</x:f>
        <x:v>1235.6261052258933</x:v>
      </x:c>
      <x:c r="V349" s="75" t="n">
        <x:f>V339+V346</x:f>
        <x:v>1344.7681281885116</x:v>
      </x:c>
      <x:c r="W349" s="75" t="n">
        <x:f>W339+W346</x:f>
        <x:v>1456.9968170435743</x:v>
      </x:c>
      <x:c r="X349" s="75" t="n">
        <x:f>X339+X346</x:f>
        <x:v>1572.6075686923841</x:v>
      </x:c>
      <x:c r="Y349" s="75" t="n">
        <x:f>Y339+Y346</x:f>
        <x:v>1691.8827940204333</x:v>
      </x:c>
      <x:c r="Z349" s="75" t="n">
        <x:f>Z339+Z346</x:f>
        <x:v>1814.4565672749472</x:v>
      </x:c>
      <x:c r="AA349" s="75" t="n">
        <x:f>AA339+AA346</x:f>
        <x:v>1938.0970109437985</x:v>
      </x:c>
      <x:c r="AB349" s="75" t="n">
        <x:f>AB339+AB346</x:f>
        <x:v>2064.2948318457165</x:v>
      </x:c>
      <x:c r="AC349" s="75" t="n">
        <x:f>AC339+AC346</x:f>
        <x:v>2193.329549355947</x:v>
      </x:c>
      <x:c r="AD349" s="75" t="n">
        <x:f>AD339+AD346</x:f>
        <x:v>2325.8558558115697</x:v>
      </x:c>
      <x:c r="AE349" s="75" t="n">
        <x:f>AE339+AE346</x:f>
        <x:v>2462.1227782349156</x:v>
      </x:c>
      <x:c r="AF349" s="75" t="n">
        <x:f>AF339+AF346</x:f>
        <x:v>2609.3985253118826</x:v>
      </x:c>
      <x:c r="AG349" s="75" t="n">
        <x:f>AG339+AG346</x:f>
        <x:v>2758.0954680167547</x:v>
      </x:c>
      <x:c r="AH349" s="75" t="n">
        <x:f>AH339+AH346</x:f>
        <x:v>2910.173054221651</x:v>
      </x:c>
      <x:c r="AI349" s="75" t="n">
        <x:f>AI339+AI346</x:f>
        <x:v>3066.497680263742</x:v>
      </x:c>
      <x:c r="AJ349" s="75" t="n">
        <x:f>AJ339+AJ346</x:f>
        <x:v>3227.3459969683236</x:v>
      </x:c>
      <x:c r="AK349" s="75" t="n">
        <x:f>AK339+AK346</x:f>
        <x:v>3392.981052968407</x:v>
      </x:c>
    </x:row>
    <x:row r="350" ht="18" customHeight="1">
      <x:c r="A350" s="4" t="str">
        <x:v>Estimated active free users</x:v>
      </x:c>
      <x:c r="B350" s="58" t="n">
        <x:f>MAX('Commercial Inputs'!$B$27,B349*'Commercial Inputs'!$B$26)</x:f>
        <x:v>500</x:v>
      </x:c>
      <x:c r="C350" s="58" t="n">
        <x:f>MAX('Commercial Inputs'!$B$27,C349*'Commercial Inputs'!$B$26)</x:f>
        <x:v>880.6921</x:v>
      </x:c>
      <x:c r="D350" s="58" t="n">
        <x:f>MAX('Commercial Inputs'!$B$27,D349*'Commercial Inputs'!$B$26)</x:f>
        <x:v>1332.95418775</x:v>
      </x:c>
      <x:c r="E350" s="58" t="n">
        <x:f>MAX('Commercial Inputs'!$B$27,E349*'Commercial Inputs'!$B$26)</x:f>
        <x:v>1971.8337591674</x:v>
      </x:c>
      <x:c r="F350" s="58" t="n">
        <x:f>MAX('Commercial Inputs'!$B$27,F349*'Commercial Inputs'!$B$26)</x:f>
        <x:v>2630.983417840973</x:v>
      </x:c>
      <x:c r="G350" s="58" t="n">
        <x:f>MAX('Commercial Inputs'!$B$27,G349*'Commercial Inputs'!$B$26)</x:f>
        <x:v>3325.957149217816</x:v>
      </x:c>
      <x:c r="H350" s="58" t="n">
        <x:f>MAX('Commercial Inputs'!$B$27,H349*'Commercial Inputs'!$B$26)</x:f>
        <x:v>4402.755219780008</x:v>
      </x:c>
      <x:c r="I350" s="58" t="n">
        <x:f>MAX('Commercial Inputs'!$B$27,I349*'Commercial Inputs'!$B$26)</x:f>
        <x:v>5496.887841752549</x:v>
      </x:c>
      <x:c r="J350" s="58" t="n">
        <x:f>MAX('Commercial Inputs'!$B$27,J349*'Commercial Inputs'!$B$26)</x:f>
        <x:v>6637.69682946851</x:v>
      </x:c>
      <x:c r="K350" s="58" t="n">
        <x:f>MAX('Commercial Inputs'!$B$27,K349*'Commercial Inputs'!$B$26)</x:f>
        <x:v>7841.56119859268</x:v>
      </x:c>
      <x:c r="L350" s="58" t="n">
        <x:f>MAX('Commercial Inputs'!$B$27,L349*'Commercial Inputs'!$B$26)</x:f>
        <x:v>9118.337539352073</x:v>
      </x:c>
      <x:c r="M350" s="58" t="n">
        <x:f>MAX('Commercial Inputs'!$B$27,M349*'Commercial Inputs'!$B$26)</x:f>
        <x:v>10478.729984932297</x:v>
      </x:c>
      <x:c r="N350" s="58" t="n">
        <x:f>MAX('Commercial Inputs'!$B$27,N349*'Commercial Inputs'!$B$26)</x:f>
        <x:v>12137.083159088907</x:v>
      </x:c>
      <x:c r="O350" s="58" t="n">
        <x:f>MAX('Commercial Inputs'!$B$27,O349*'Commercial Inputs'!$B$26)</x:f>
        <x:v>13781.590881318172</x:v>
      </x:c>
      <x:c r="P350" s="58" t="n">
        <x:f>MAX('Commercial Inputs'!$B$27,P349*'Commercial Inputs'!$B$26)</x:f>
        <x:v>15451.199975365935</x:v>
      </x:c>
      <x:c r="Q350" s="58" t="n">
        <x:f>MAX('Commercial Inputs'!$B$27,Q349*'Commercial Inputs'!$B$26)</x:f>
        <x:v>17063.13581259728</x:v>
      </x:c>
      <x:c r="R350" s="58" t="n">
        <x:f>MAX('Commercial Inputs'!$B$27,R349*'Commercial Inputs'!$B$26)</x:f>
        <x:v>18721.985975667863</x:v>
      </x:c>
      <x:c r="S350" s="58" t="n">
        <x:f>MAX('Commercial Inputs'!$B$27,S349*'Commercial Inputs'!$B$26)</x:f>
        <x:v>20432.724336610787</x:v>
      </x:c>
      <x:c r="T350" s="58" t="n">
        <x:f>MAX('Commercial Inputs'!$B$27,T349*'Commercial Inputs'!$B$26)</x:f>
        <x:v>22572.58281144765</x:v>
      </x:c>
      <x:c r="U350" s="58" t="n">
        <x:f>MAX('Commercial Inputs'!$B$27,U349*'Commercial Inputs'!$B$26)</x:f>
        <x:v>24712.522104517866</x:v>
      </x:c>
      <x:c r="V350" s="58" t="n">
        <x:f>MAX('Commercial Inputs'!$B$27,V349*'Commercial Inputs'!$B$26)</x:f>
        <x:v>26895.36256377023</x:v>
      </x:c>
      <x:c r="W350" s="58" t="n">
        <x:f>MAX('Commercial Inputs'!$B$27,W349*'Commercial Inputs'!$B$26)</x:f>
        <x:v>29139.936340871485</x:v>
      </x:c>
      <x:c r="X350" s="58" t="n">
        <x:f>MAX('Commercial Inputs'!$B$27,X349*'Commercial Inputs'!$B$26)</x:f>
        <x:v>31452.151373847682</x:v>
      </x:c>
      <x:c r="Y350" s="58" t="n">
        <x:f>MAX('Commercial Inputs'!$B$27,Y349*'Commercial Inputs'!$B$26)</x:f>
        <x:v>33837.65588040867</x:v>
      </x:c>
      <x:c r="Z350" s="58" t="n">
        <x:f>MAX('Commercial Inputs'!$B$27,Z349*'Commercial Inputs'!$B$26)</x:f>
        <x:v>36289.13134549894</x:v>
      </x:c>
      <x:c r="AA350" s="58" t="n">
        <x:f>MAX('Commercial Inputs'!$B$27,AA349*'Commercial Inputs'!$B$26)</x:f>
        <x:v>38761.94021887597</x:v>
      </x:c>
      <x:c r="AB350" s="58" t="n">
        <x:f>MAX('Commercial Inputs'!$B$27,AB349*'Commercial Inputs'!$B$26)</x:f>
        <x:v>41285.89663691433</x:v>
      </x:c>
      <x:c r="AC350" s="58" t="n">
        <x:f>MAX('Commercial Inputs'!$B$27,AC349*'Commercial Inputs'!$B$26)</x:f>
        <x:v>43866.59098711894</x:v>
      </x:c>
      <x:c r="AD350" s="58" t="n">
        <x:f>MAX('Commercial Inputs'!$B$27,AD349*'Commercial Inputs'!$B$26)</x:f>
        <x:v>46517.11711623139</x:v>
      </x:c>
      <x:c r="AE350" s="58" t="n">
        <x:f>MAX('Commercial Inputs'!$B$27,AE349*'Commercial Inputs'!$B$26)</x:f>
        <x:v>49242.45556469831</x:v>
      </x:c>
      <x:c r="AF350" s="58" t="n">
        <x:f>MAX('Commercial Inputs'!$B$27,AF349*'Commercial Inputs'!$B$26)</x:f>
        <x:v>52187.97050623765</x:v>
      </x:c>
      <x:c r="AG350" s="58" t="n">
        <x:f>MAX('Commercial Inputs'!$B$27,AG349*'Commercial Inputs'!$B$26)</x:f>
        <x:v>55161.90936033509</x:v>
      </x:c>
      <x:c r="AH350" s="58" t="n">
        <x:f>MAX('Commercial Inputs'!$B$27,AH349*'Commercial Inputs'!$B$26)</x:f>
        <x:v>58203.46108443302</x:v>
      </x:c>
      <x:c r="AI350" s="58" t="n">
        <x:f>MAX('Commercial Inputs'!$B$27,AI349*'Commercial Inputs'!$B$26)</x:f>
        <x:v>61329.953605274844</x:v>
      </x:c>
      <x:c r="AJ350" s="58" t="n">
        <x:f>MAX('Commercial Inputs'!$B$27,AJ349*'Commercial Inputs'!$B$26)</x:f>
        <x:v>64546.919939366475</x:v>
      </x:c>
      <x:c r="AK350" s="58" t="n">
        <x:f>MAX('Commercial Inputs'!$B$27,AK349*'Commercial Inputs'!$B$26)</x:f>
        <x:v>67859.62105936813</x:v>
      </x:c>
    </x:row>
    <x:row r="351" ht="18" customHeight="1">
      <x:c r="A351" s="4" t="str">
        <x:v>Earned annual-plan revenue (INR)</x:v>
      </x:c>
      <x:c r="B351" s="58" t="n">
        <x:f>B339*$B$399/'Commercial Inputs'!$B$46</x:f>
        <x:v>3955.9633510593217</x:v>
      </x:c>
      <x:c r="C351" s="58" t="n">
        <x:f>C339*$B$399/'Commercial Inputs'!$B$46</x:f>
        <x:v>8221.52383394068</x:v>
      </x:c>
      <x:c r="D351" s="58" t="n">
        <x:f>D339*$B$399/'Commercial Inputs'!$B$46</x:f>
        <x:v>12833.833104462714</x:v>
      </x:c>
      <x:c r="E351" s="58" t="n">
        <x:f>E339*$B$399/'Commercial Inputs'!$B$46</x:f>
        <x:v>19210.48826968468</x:v>
      </x:c>
      <x:c r="F351" s="58" t="n">
        <x:f>F339*$B$399/'Commercial Inputs'!$B$46</x:f>
        <x:v>26022.105114123115</x:v>
      </x:c>
      <x:c r="G351" s="58" t="n">
        <x:f>G339*$B$399/'Commercial Inputs'!$B$46</x:f>
        <x:v>33320.879039283995</x:v>
      </x:c>
      <x:c r="H351" s="58" t="n">
        <x:f>H339*$B$399/'Commercial Inputs'!$B$46</x:f>
        <x:v>44146.57460869581</x:v>
      </x:c>
      <x:c r="I351" s="58" t="n">
        <x:f>I339*$B$399/'Commercial Inputs'!$B$46</x:f>
        <x:v>55583.36002016586</x:v>
      </x:c>
      <x:c r="J351" s="58" t="n">
        <x:f>J339*$B$399/'Commercial Inputs'!$B$46</x:f>
        <x:v>67704.56605474114</x:v>
      </x:c>
      <x:c r="K351" s="58" t="n">
        <x:f>K339*$B$399/'Commercial Inputs'!$B$46</x:f>
        <x:v>80592.32318719426</x:v>
      </x:c>
      <x:c r="L351" s="58" t="n">
        <x:f>L339*$B$399/'Commercial Inputs'!$B$46</x:f>
        <x:v>94338.61754927057</x:v>
      </x:c>
      <x:c r="M351" s="58" t="n">
        <x:f>M339*$B$399/'Commercial Inputs'!$B$46</x:f>
        <x:v>109046.47360852484</x:v>
      </x:c>
      <x:c r="N351" s="58" t="n">
        <x:f>N339*$B$399/'Commercial Inputs'!$B$46</x:f>
        <x:v>125782.79068519233</x:v>
      </x:c>
      <x:c r="O351" s="58" t="n">
        <x:f>O339*$B$399/'Commercial Inputs'!$B$46</x:f>
        <x:v>143029.96036532221</x:v>
      </x:c>
      <x:c r="P351" s="58" t="n">
        <x:f>P339*$B$399/'Commercial Inputs'!$B$46</x:f>
        <x:v>160818.2688272258</x:v>
      </x:c>
      <x:c r="Q351" s="58" t="n">
        <x:f>Q339*$B$399/'Commercial Inputs'!$B$46</x:f>
        <x:v>178003.37419258594</x:v>
      </x:c>
      <x:c r="R351" s="58" t="n">
        <x:f>R339*$B$399/'Commercial Inputs'!$B$46</x:f>
        <x:v>195793.58971117155</x:v>
      </x:c>
      <x:c r="S351" s="58" t="n">
        <x:f>S339*$B$399/'Commercial Inputs'!$B$46</x:f>
        <x:v>214222.45720504495</x:v>
      </x:c>
      <x:c r="T351" s="58" t="n">
        <x:f>T339*$B$399/'Commercial Inputs'!$B$46</x:f>
        <x:v>235988.96499702916</x:v>
      </x:c>
      <x:c r="U351" s="58" t="n">
        <x:f>U339*$B$399/'Commercial Inputs'!$B$46</x:f>
        <x:v>258463.76418914707</x:v>
      </x:c>
      <x:c r="V351" s="58" t="n">
        <x:f>V339*$B$399/'Commercial Inputs'!$B$46</x:f>
        <x:v>281682.6310426079</x:v>
      </x:c>
      <x:c r="W351" s="58" t="n">
        <x:f>W339*$B$399/'Commercial Inputs'!$B$46</x:f>
        <x:v>305681.6974734213</x:v>
      </x:c>
      <x:c r="X351" s="58" t="n">
        <x:f>X339*$B$399/'Commercial Inputs'!$B$46</x:f>
        <x:v>330497.17873124994</x:v>
      </x:c>
      <x:c r="Y351" s="58" t="n">
        <x:f>Y339*$B$399/'Commercial Inputs'!$B$46</x:f>
        <x:v>356165.04319974664</x:v>
      </x:c>
      <x:c r="Z351" s="58" t="n">
        <x:f>Z339*$B$399/'Commercial Inputs'!$B$46</x:f>
        <x:v>381615.2912023093</x:v>
      </x:c>
      <x:c r="AA351" s="58" t="n">
        <x:f>AA339*$B$399/'Commercial Inputs'!$B$46</x:f>
        <x:v>407819.27165537776</x:v>
      </x:c>
      <x:c r="AB351" s="58" t="n">
        <x:f>AB339*$B$399/'Commercial Inputs'!$B$46</x:f>
        <x:v>434807.69601443503</x:v>
      </x:c>
      <x:c r="AC351" s="58" t="n">
        <x:f>AC339*$B$399/'Commercial Inputs'!$B$46</x:f>
        <x:v>462518.5108222827</x:v>
      </x:c>
      <x:c r="AD351" s="58" t="n">
        <x:f>AD339*$B$399/'Commercial Inputs'!$B$46</x:f>
        <x:v>491077.0211178236</x:v>
      </x:c>
      <x:c r="AE351" s="58" t="n">
        <x:f>AE339*$B$399/'Commercial Inputs'!$B$46</x:f>
        <x:v>520515.62397522776</x:v>
      </x:c>
      <x:c r="AF351" s="58" t="n">
        <x:f>AF339*$B$399/'Commercial Inputs'!$B$46</x:f>
        <x:v>550949.2857026557</x:v>
      </x:c>
      <x:c r="AG351" s="58" t="n">
        <x:f>AG339*$B$399/'Commercial Inputs'!$B$46</x:f>
        <x:v>582328.9129310534</x:v>
      </x:c>
      <x:c r="AH351" s="58" t="n">
        <x:f>AH339*$B$399/'Commercial Inputs'!$B$46</x:f>
        <x:v>614687.7462071152</x:v>
      </x:c>
      <x:c r="AI351" s="58" t="n">
        <x:f>AI339*$B$399/'Commercial Inputs'!$B$46</x:f>
        <x:v>648059.0395720325</x:v>
      </x:c>
      <x:c r="AJ351" s="58" t="n">
        <x:f>AJ339*$B$399/'Commercial Inputs'!$B$46</x:f>
        <x:v>682475.8909503829</x:v>
      </x:c>
      <x:c r="AK351" s="58" t="n">
        <x:f>AK339*$B$399/'Commercial Inputs'!$B$46</x:f>
        <x:v>717971.0472952056</x:v>
      </x:c>
    </x:row>
    <x:row r="352" ht="18" customHeight="1">
      <x:c r="A352" s="4" t="str">
        <x:v>Earned monthly-plan revenue (INR)</x:v>
      </x:c>
      <x:c r="B352" s="58" t="n">
        <x:f>B346*$B$400</x:f>
        <x:v>2274.876963559322</x:v>
      </x:c>
      <x:c r="C352" s="58" t="n">
        <x:f>C346*$B$400</x:f>
        <x:v>3776.889205672881</x:v>
      </x:c>
      <x:c r="D352" s="58" t="n">
        <x:f>D346*$B$400</x:f>
        <x:v>5043.097097974817</x:v>
      </x:c>
      <x:c r="E352" s="58" t="n">
        <x:f>E346*$B$400</x:f>
        <x:v>7071.296955474199</x:v>
      </x:c>
      <x:c r="F352" s="58" t="n">
        <x:f>F346*$B$400</x:f>
        <x:v>8762.497354023812</x:v>
      </x:c>
      <x:c r="G352" s="58" t="n">
        <x:f>G346*$B$400</x:f>
        <x:v>10343.85108503405</x:v>
      </x:c>
      <x:c r="H352" s="58" t="n">
        <x:f>H346*$B$400</x:f>
        <x:v>13627.408484462749</x:v>
      </x:c>
      <x:c r="I352" s="58" t="n">
        <x:f>I346*$B$400</x:f>
        <x:v>16210.25351535446</x:v>
      </x:c>
      <x:c r="J352" s="58" t="n">
        <x:f>J346*$B$400</x:f>
        <x:v>18564.257133593128</x:v>
      </x:c>
      <x:c r="K352" s="58" t="n">
        <x:f>K346*$B$400</x:f>
        <x:v>20881.75475442881</x:v>
      </x:c>
      <x:c r="L352" s="58" t="n">
        <x:f>L346*$B$400</x:f>
        <x:v>23205.065271758158</x:v>
      </x:c>
      <x:c r="M352" s="58" t="n">
        <x:f>M346*$B$400</x:f>
        <x:v>25574.74902331658</x:v>
      </x:c>
      <x:c r="N352" s="58" t="n">
        <x:f>N346*$B$400</x:f>
        <x:v>30521.44702524943</x:v>
      </x:c>
      <x:c r="O352" s="58" t="n">
        <x:f>O346*$B$400</x:f>
        <x:v>34304.492571382674</x:v>
      </x:c>
      <x:c r="P352" s="58" t="n">
        <x:f>P346*$B$400</x:f>
        <x:v>37665.893234686126</x:v>
      </x:c>
      <x:c r="Q352" s="58" t="n">
        <x:f>Q346*$B$400</x:f>
        <x:v>40891.75955259167</x:v>
      </x:c>
      <x:c r="R352" s="58" t="n">
        <x:f>R346*$B$400</x:f>
        <x:v>44030.45973020234</x:v>
      </x:c>
      <x:c r="S352" s="58" t="n">
        <x:f>S346*$B$400</x:f>
        <x:v>47125.56294554903</x:v>
      </x:c>
      <x:c r="T352" s="58" t="n">
        <x:f>T346*$B$400</x:f>
        <x:v>53213.927343945536</x:v>
      </x:c>
      <x:c r="U352" s="58" t="n">
        <x:f>U346*$B$400</x:f>
        <x:v>58082.03085890659</x:v>
      </x:c>
      <x:c r="V352" s="58" t="n">
        <x:f>V346*$B$400</x:f>
        <x:v>62541.403938027644</x:v>
      </x:c>
      <x:c r="W352" s="58" t="n">
        <x:f>W346*$B$400</x:f>
        <x:v>66913.7640525887</x:v>
      </x:c>
      <x:c r="X352" s="58" t="n">
        <x:f>X346*$B$400</x:f>
        <x:v>71257.11704093919</x:v>
      </x:c>
      <x:c r="Y352" s="58" t="n">
        <x:f>Y346*$B$400</x:f>
        <x:v>75624.59805792128</x:v>
      </x:c>
      <x:c r="Z352" s="58" t="n">
        <x:f>Z346*$B$400</x:f>
        <x:v>81712.86828079888</x:v>
      </x:c>
      <x:c r="AA352" s="58" t="n">
        <x:f>AA346*$B$400</x:f>
        <x:v>86935.89625719859</x:v>
      </x:c>
      <x:c r="AB352" s="58" t="n">
        <x:f>AB346*$B$400</x:f>
        <x:v>91848.70990371228</x:v>
      </x:c>
      <x:c r="AC352" s="58" t="n">
        <x:f>AC346*$B$400</x:f>
        <x:v>96672.36742068507</x:v>
      </x:c>
      <x:c r="AD352" s="58" t="n">
        <x:f>AD346*$B$400</x:f>
        <x:v>101457.72605278029</x:v>
      </x:c>
      <x:c r="AE352" s="58" t="n">
        <x:f>AE346*$B$400</x:f>
        <x:v>106250.46583128041</x:v>
      </x:c>
      <x:c r="AF352" s="58" t="n">
        <x:f>AF346*$B$400</x:f>
        <x:v>113816.71347948704</x:v>
      </x:c>
      <x:c r="AG352" s="58" t="n">
        <x:f>AG346*$B$400</x:f>
        <x:v>120330.68705660084</x:v>
      </x:c>
      <x:c r="AH352" s="58" t="n">
        <x:f>AH346*$B$400</x:f>
        <x:v>126534.23532099447</x:v>
      </x:c>
      <x:c r="AI352" s="58" t="n">
        <x:f>AI346*$B$400</x:f>
        <x:v>132723.364341443</x:v>
      </x:c>
      <x:c r="AJ352" s="58" t="n">
        <x:f>AJ346*$B$400</x:f>
        <x:v>138953.81190857769</x:v>
      </x:c>
      <x:c r="AK352" s="58" t="n">
        <x:f>AK346*$B$400</x:f>
        <x:v>145276.3734092805</x:v>
      </x:c>
    </x:row>
    <x:row r="353" ht="18" customHeight="1">
      <x:c r="A353" s="74" t="str">
        <x:v>EARNED REVENUE, NET OF SALES TAX / REFUNDS</x:v>
      </x:c>
      <x:c r="B353" s="75" t="n">
        <x:f>SUM(B351:B352)</x:f>
        <x:v>6230.840314618644</x:v>
      </x:c>
      <x:c r="C353" s="75" t="n">
        <x:f>SUM(C351:C352)</x:f>
        <x:v>11998.413039613562</x:v>
      </x:c>
      <x:c r="D353" s="75" t="n">
        <x:f>SUM(D351:D352)</x:f>
        <x:v>17876.930202437532</x:v>
      </x:c>
      <x:c r="E353" s="75" t="n">
        <x:f>SUM(E351:E352)</x:f>
        <x:v>26281.785225158877</x:v>
      </x:c>
      <x:c r="F353" s="75" t="n">
        <x:f>SUM(F351:F352)</x:f>
        <x:v>34784.60246814693</x:v>
      </x:c>
      <x:c r="G353" s="75" t="n">
        <x:f>SUM(G351:G352)</x:f>
        <x:v>43664.73012431804</x:v>
      </x:c>
      <x:c r="H353" s="75" t="n">
        <x:f>SUM(H351:H352)</x:f>
        <x:v>57773.98309315856</x:v>
      </x:c>
      <x:c r="I353" s="75" t="n">
        <x:f>SUM(I351:I352)</x:f>
        <x:v>71793.61353552033</x:v>
      </x:c>
      <x:c r="J353" s="75" t="n">
        <x:f>SUM(J351:J352)</x:f>
        <x:v>86268.82318833427</x:v>
      </x:c>
      <x:c r="K353" s="75" t="n">
        <x:f>SUM(K351:K352)</x:f>
        <x:v>101474.07794162307</x:v>
      </x:c>
      <x:c r="L353" s="75" t="n">
        <x:f>SUM(L351:L352)</x:f>
        <x:v>117543.68282102872</x:v>
      </x:c>
      <x:c r="M353" s="75" t="n">
        <x:f>SUM(M351:M352)</x:f>
        <x:v>134621.22263184143</x:v>
      </x:c>
      <x:c r="N353" s="75" t="n">
        <x:f>SUM(N351:N352)</x:f>
        <x:v>156304.23771044175</x:v>
      </x:c>
      <x:c r="O353" s="75" t="n">
        <x:f>SUM(O351:O352)</x:f>
        <x:v>177334.45293670488</x:v>
      </x:c>
      <x:c r="P353" s="75" t="n">
        <x:f>SUM(P351:P352)</x:f>
        <x:v>198484.16206191195</x:v>
      </x:c>
      <x:c r="Q353" s="75" t="n">
        <x:f>SUM(Q351:Q352)</x:f>
        <x:v>218895.1337451776</x:v>
      </x:c>
      <x:c r="R353" s="75" t="n">
        <x:f>SUM(R351:R352)</x:f>
        <x:v>239824.04944137388</x:v>
      </x:c>
      <x:c r="S353" s="75" t="n">
        <x:f>SUM(S351:S352)</x:f>
        <x:v>261348.02015059398</x:v>
      </x:c>
      <x:c r="T353" s="75" t="n">
        <x:f>SUM(T351:T352)</x:f>
        <x:v>289202.8923409747</x:v>
      </x:c>
      <x:c r="U353" s="75" t="n">
        <x:f>SUM(U351:U352)</x:f>
        <x:v>316545.79504805367</x:v>
      </x:c>
      <x:c r="V353" s="75" t="n">
        <x:f>SUM(V351:V352)</x:f>
        <x:v>344224.0349806355</x:v>
      </x:c>
      <x:c r="W353" s="75" t="n">
        <x:f>SUM(W351:W352)</x:f>
        <x:v>372595.46152600995</x:v>
      </x:c>
      <x:c r="X353" s="75" t="n">
        <x:f>SUM(X351:X352)</x:f>
        <x:v>401754.29577218916</x:v>
      </x:c>
      <x:c r="Y353" s="75" t="n">
        <x:f>SUM(Y351:Y352)</x:f>
        <x:v>431789.6412576679</x:v>
      </x:c>
      <x:c r="Z353" s="75" t="n">
        <x:f>SUM(Z351:Z352)</x:f>
        <x:v>463328.1594831082</x:v>
      </x:c>
      <x:c r="AA353" s="75" t="n">
        <x:f>SUM(AA351:AA352)</x:f>
        <x:v>494755.16791257635</x:v>
      </x:c>
      <x:c r="AB353" s="75" t="n">
        <x:f>SUM(AB351:AB352)</x:f>
        <x:v>526656.4059181473</x:v>
      </x:c>
      <x:c r="AC353" s="75" t="n">
        <x:f>SUM(AC351:AC352)</x:f>
        <x:v>559190.8782429678</x:v>
      </x:c>
      <x:c r="AD353" s="75" t="n">
        <x:f>SUM(AD351:AD352)</x:f>
        <x:v>592534.7471706038</x:v>
      </x:c>
      <x:c r="AE353" s="75" t="n">
        <x:f>SUM(AE351:AE352)</x:f>
        <x:v>626766.0898065082</x:v>
      </x:c>
      <x:c r="AF353" s="75" t="n">
        <x:f>SUM(AF351:AF352)</x:f>
        <x:v>664765.9991821427</x:v>
      </x:c>
      <x:c r="AG353" s="75" t="n">
        <x:f>SUM(AG351:AG352)</x:f>
        <x:v>702659.5999876542</x:v>
      </x:c>
      <x:c r="AH353" s="75" t="n">
        <x:f>SUM(AH351:AH352)</x:f>
        <x:v>741221.9815281098</x:v>
      </x:c>
      <x:c r="AI353" s="75" t="n">
        <x:f>SUM(AI351:AI352)</x:f>
        <x:v>780782.4039134756</x:v>
      </x:c>
      <x:c r="AJ353" s="75" t="n">
        <x:f>SUM(AJ351:AJ352)</x:f>
        <x:v>821429.7028589606</x:v>
      </x:c>
      <x:c r="AK353" s="75" t="n">
        <x:f>SUM(AK351:AK352)</x:f>
        <x:v>863247.4207044861</x:v>
      </x:c>
    </x:row>
    <x:row r="354" ht="18" customHeight="1">
      <x:c r="A354" s="4" t="str">
        <x:v>Annual gross billings, ex-tax (INR)</x:v>
      </x:c>
      <x:c r="B354" s="58" t="n">
        <x:f>B340*$B$399</x:f>
        <x:v>48939.75279661018</x:v>
      </x:c>
      <x:c r="C354" s="58" t="n">
        <x:f>C340*$B$399</x:f>
        <x:v>52769.82040677967</x:v>
      </x:c>
      <x:c r="D354" s="58" t="n">
        <x:f>D340*$B$399</x:f>
        <x:v>57059.49613016949</x:v>
      </x:c>
      <x:c r="E354" s="58" t="n">
        <x:f>E340*$B$399</x:f>
        <x:v>78886.45565223054</x:v>
      </x:c>
      <x:c r="F354" s="58" t="n">
        <x:f>F340*$B$399</x:f>
        <x:v>84267.42487965073</x:v>
      </x:c>
      <x:c r="G354" s="58" t="n">
        <x:f>G340*$B$399</x:f>
        <x:v>90294.11041436136</x:v>
      </x:c>
      <x:c r="H354" s="58" t="n">
        <x:f>H340*$B$399</x:f>
        <x:v>133926.13075561018</x:v>
      </x:c>
      <x:c r="I354" s="58" t="n">
        <x:f>I340*$B$399</x:f>
        <x:v>141486.0050903512</x:v>
      </x:c>
      <x:c r="J354" s="58" t="n">
        <x:f>J340*$B$399</x:f>
        <x:v>149953.0643452611</x:v>
      </x:c>
      <x:c r="K354" s="58" t="n">
        <x:f>K340*$B$399</x:f>
        <x:v>159436.17071076029</x:v>
      </x:c>
      <x:c r="L354" s="58" t="n">
        <x:f>L340*$B$399</x:f>
        <x:v>170057.2498401193</x:v>
      </x:c>
      <x:c r="M354" s="58" t="n">
        <x:f>M340*$B$399</x:f>
        <x:v>181952.85846500142</x:v>
      </x:c>
      <x:c r="N354" s="58" t="n">
        <x:f>N340*$B$399</x:f>
        <x:v>255986.9743636307</x:v>
      </x:c>
      <x:c r="O354" s="58" t="n">
        <x:f>O340*$B$399</x:f>
        <x:v>266136.8679960153</x:v>
      </x:c>
      <x:c r="P354" s="58" t="n">
        <x:f>P340*$B$399</x:f>
        <x:v>277121.0441124818</x:v>
      </x:c>
      <x:c r="Q354" s="58" t="n">
        <x:f>Q340*$B$399</x:f>
        <x:v>291485.6972855521</x:v>
      </x:c>
      <x:c r="R354" s="58" t="n">
        <x:f>R340*$B$399</x:f>
        <x:v>304352.565315761</x:v>
      </x:c>
      <x:c r="S354" s="58" t="n">
        <x:f>S340*$B$399</x:f>
        <x:v>318280.1000292902</x:v>
      </x:c>
      <x:c r="T354" s="58" t="n">
        <x:f>T340*$B$399</x:f>
        <x:v>403202.51581108506</x:v>
      </x:c>
      <x:c r="U354" s="58" t="n">
        <x:f>U340*$B$399</x:f>
        <x:v>419524.75798253197</x:v>
      </x:c>
      <x:c r="V354" s="58" t="n">
        <x:f>V340*$B$399</x:f>
        <x:v>437196.7779963227</x:v>
      </x:c>
      <x:c r="W354" s="58" t="n">
        <x:f>W340*$B$399</x:f>
        <x:v>456331.83789608045</x:v>
      </x:c>
      <x:c r="X354" s="58" t="n">
        <x:f>X340*$B$399</x:f>
        <x:v>477052.8942668659</x:v>
      </x:c>
      <x:c r="Y354" s="58" t="n">
        <x:f>Y340*$B$399</x:f>
        <x:v>499493.44982784713</x:v>
      </x:c>
      <x:c r="Z354" s="58" t="n">
        <x:f>Z340*$B$399</x:f>
        <x:v>570835.4032613133</x:v>
      </x:c>
      <x:c r="AA354" s="58" t="n">
        <x:f>AA340*$B$399</x:f>
        <x:v>590309.8220545935</x:v>
      </x:c>
      <x:c r="AB354" s="58" t="n">
        <x:f>AB340*$B$399</x:f>
        <x:v>610998.4588637059</x:v>
      </x:c>
      <x:c r="AC354" s="58" t="n">
        <x:f>AC340*$B$399</x:f>
        <x:v>634299.9010939768</x:v>
      </x:c>
      <x:c r="AD354" s="58" t="n">
        <x:f>AD340*$B$399</x:f>
        <x:v>657653.7236111115</x:v>
      </x:c>
      <x:c r="AE354" s="58" t="n">
        <x:f>AE340*$B$399</x:f>
        <x:v>682469.0013579999</x:v>
      </x:c>
      <x:c r="AF354" s="58" t="n">
        <x:f>AF340*$B$399</x:f>
        <x:v>779701.4237792662</x:v>
      </x:c>
      <x:c r="AG354" s="58" t="n">
        <x:f>AG340*$B$399</x:f>
        <x:v>807726.3319420925</x:v>
      </x:c>
      <x:c r="AH354" s="58" t="n">
        <x:f>AH340*$B$399</x:f>
        <x:v>837512.2412053347</x:v>
      </x:c>
      <x:c r="AI354" s="58" t="n">
        <x:f>AI340*$B$399</x:f>
        <x:v>869172.5805548494</x:v>
      </x:c>
      <x:c r="AJ354" s="58" t="n">
        <x:f>AJ340*$B$399</x:f>
        <x:v>902828.3752361502</x:v>
      </x:c>
      <x:c r="AK354" s="58" t="n">
        <x:f>AK340*$B$399</x:f>
        <x:v>938608.786052456</x:v>
      </x:c>
    </x:row>
    <x:row r="355" ht="18" customHeight="1">
      <x:c r="A355" s="4" t="str">
        <x:v>Monthly gross billings, ex-tax (INR)</x:v>
      </x:c>
      <x:c r="B355" s="58" t="n">
        <x:f>B347*$B$400</x:f>
        <x:v>2345.2339830508477</x:v>
      </x:c>
      <x:c r="C355" s="58" t="n">
        <x:f>C347*$B$400</x:f>
        <x:v>3893.7002120338984</x:v>
      </x:c>
      <x:c r="D355" s="58" t="n">
        <x:f>D347*$B$400</x:f>
        <x:v>5199.069173169914</x:v>
      </x:c>
      <x:c r="E355" s="58" t="n">
        <x:f>E347*$B$400</x:f>
        <x:v>7289.996861313609</x:v>
      </x:c>
      <x:c r="F355" s="58" t="n">
        <x:f>F347*$B$400</x:f>
        <x:v>9033.502426828672</x:v>
      </x:c>
      <x:c r="G355" s="58" t="n">
        <x:f>G347*$B$400</x:f>
        <x:v>10663.764005189742</x:v>
      </x:c>
      <x:c r="H355" s="58" t="n">
        <x:f>H347*$B$400</x:f>
        <x:v>14048.874726250258</x:v>
      </x:c>
      <x:c r="I355" s="58" t="n">
        <x:f>I347*$B$400</x:f>
        <x:v>16711.60156222109</x:v>
      </x:c>
      <x:c r="J355" s="58" t="n">
        <x:f>J347*$B$400</x:f>
        <x:v>19138.40941607539</x:v>
      </x:c>
      <x:c r="K355" s="58" t="n">
        <x:f>K347*$B$400</x:f>
        <x:v>21527.58222106063</x:v>
      </x:c>
      <x:c r="L355" s="58" t="n">
        <x:f>L347*$B$400</x:f>
        <x:v>23922.74770284346</x:v>
      </x:c>
      <x:c r="M355" s="58" t="n">
        <x:f>M347*$B$400</x:f>
        <x:v>26365.720642594413</x:v>
      </x:c>
      <x:c r="N355" s="58" t="n">
        <x:f>N347*$B$400</x:f>
        <x:v>31465.409304380857</x:v>
      </x:c>
      <x:c r="O355" s="58" t="n">
        <x:f>O347*$B$400</x:f>
        <x:v>35365.45625915739</x:v>
      </x:c>
      <x:c r="P355" s="58" t="n">
        <x:f>P347*$B$400</x:f>
        <x:v>38830.81776771765</x:v>
      </x:c>
      <x:c r="Q355" s="58" t="n">
        <x:f>Q347*$B$400</x:f>
        <x:v>42156.45314700172</x:v>
      </x:c>
      <x:c r="R355" s="58" t="n">
        <x:f>R347*$B$400</x:f>
        <x:v>45392.22652598179</x:v>
      </x:c>
      <x:c r="S355" s="58" t="n">
        <x:f>S347*$B$400</x:f>
        <x:v>48583.05458304024</x:v>
      </x:c>
      <x:c r="T355" s="58" t="n">
        <x:f>T347*$B$400</x:f>
        <x:v>54859.71891128405</x:v>
      </x:c>
      <x:c r="U355" s="58" t="n">
        <x:f>U347*$B$400</x:f>
        <x:v>59878.38232876969</x:v>
      </x:c>
      <x:c r="V355" s="58" t="n">
        <x:f>V347*$B$400</x:f>
        <x:v>64475.67416291509</x:v>
      </x:c>
      <x:c r="W355" s="58" t="n">
        <x:f>W347*$B$400</x:f>
        <x:v>68983.26190988526</x:v>
      </x:c>
      <x:c r="X355" s="58" t="n">
        <x:f>X347*$B$400</x:f>
        <x:v>73460.9454030301</x:v>
      </x:c>
      <x:c r="Y355" s="58" t="n">
        <x:f>Y347*$B$400</x:f>
        <x:v>77963.50315249615</x:v>
      </x:c>
      <x:c r="Z355" s="58" t="n">
        <x:f>Z347*$B$400</x:f>
        <x:v>84240.07039257616</x:v>
      </x:c>
      <x:c r="AA355" s="58" t="n">
        <x:f>AA347*$B$400</x:f>
        <x:v>89624.63531669958</x:v>
      </x:c>
      <x:c r="AB355" s="58" t="n">
        <x:f>AB347*$B$400</x:f>
        <x:v>94689.39165331163</x:v>
      </x:c>
      <x:c r="AC355" s="58" t="n">
        <x:f>AC347*$B$400</x:f>
        <x:v>99662.23445431452</x:v>
      </x:c>
      <x:c r="AD355" s="58" t="n">
        <x:f>AD347*$B$400</x:f>
        <x:v>104595.59386884565</x:v>
      </x:c>
      <x:c r="AE355" s="58" t="n">
        <x:f>AE347*$B$400</x:f>
        <x:v>109536.56271266022</x:v>
      </x:c>
      <x:c r="AF355" s="58" t="n">
        <x:f>AF347*$B$400</x:f>
        <x:v>117336.81802008973</x:v>
      </x:c>
      <x:c r="AG355" s="58" t="n">
        <x:f>AG347*$B$400</x:f>
        <x:v>124052.25469752666</x:v>
      </x:c>
      <x:c r="AH355" s="58" t="n">
        <x:f>AH347*$B$400</x:f>
        <x:v>130447.66527937574</x:v>
      </x:c>
      <x:c r="AI355" s="58" t="n">
        <x:f>AI347*$B$400</x:f>
        <x:v>136828.21066128142</x:v>
      </x:c>
      <x:c r="AJ355" s="58" t="n">
        <x:f>AJ347*$B$400</x:f>
        <x:v>143251.35248306976</x:v>
      </x:c>
      <x:c r="AK355" s="58" t="n">
        <x:f>AK347*$B$400</x:f>
        <x:v>149769.4571229696</x:v>
      </x:c>
    </x:row>
    <x:row r="356" ht="18" customHeight="1">
      <x:c r="A356" s="4" t="str">
        <x:v>Total gross billings, ex-tax (INR)</x:v>
      </x:c>
      <x:c r="B356" s="58" t="n">
        <x:f>SUM(B354:B355)</x:f>
        <x:v>51284.98677966103</x:v>
      </x:c>
      <x:c r="C356" s="58" t="n">
        <x:f>SUM(C354:C355)</x:f>
        <x:v>56663.52061881356</x:v>
      </x:c>
      <x:c r="D356" s="58" t="n">
        <x:f>SUM(D354:D355)</x:f>
        <x:v>62258.565303339405</x:v>
      </x:c>
      <x:c r="E356" s="58" t="n">
        <x:f>SUM(E354:E355)</x:f>
        <x:v>86176.45251354415</x:v>
      </x:c>
      <x:c r="F356" s="58" t="n">
        <x:f>SUM(F354:F355)</x:f>
        <x:v>93300.9273064794</x:v>
      </x:c>
      <x:c r="G356" s="58" t="n">
        <x:f>SUM(G354:G355)</x:f>
        <x:v>100957.87441955111</x:v>
      </x:c>
      <x:c r="H356" s="58" t="n">
        <x:f>SUM(H354:H355)</x:f>
        <x:v>147975.00548186043</x:v>
      </x:c>
      <x:c r="I356" s="58" t="n">
        <x:f>SUM(I354:I355)</x:f>
        <x:v>158197.60665257229</x:v>
      </x:c>
      <x:c r="J356" s="58" t="n">
        <x:f>SUM(J354:J355)</x:f>
        <x:v>169091.4737613365</x:v>
      </x:c>
      <x:c r="K356" s="58" t="n">
        <x:f>SUM(K354:K355)</x:f>
        <x:v>180963.75293182093</x:v>
      </x:c>
      <x:c r="L356" s="58" t="n">
        <x:f>SUM(L354:L355)</x:f>
        <x:v>193979.99754296275</x:v>
      </x:c>
      <x:c r="M356" s="58" t="n">
        <x:f>SUM(M354:M355)</x:f>
        <x:v>208318.57910759584</x:v>
      </x:c>
      <x:c r="N356" s="58" t="n">
        <x:f>SUM(N354:N355)</x:f>
        <x:v>287452.3836680116</x:v>
      </x:c>
      <x:c r="O356" s="58" t="n">
        <x:f>SUM(O354:O355)</x:f>
        <x:v>301502.3242551727</x:v>
      </x:c>
      <x:c r="P356" s="58" t="n">
        <x:f>SUM(P354:P355)</x:f>
        <x:v>315951.86188019946</x:v>
      </x:c>
      <x:c r="Q356" s="58" t="n">
        <x:f>SUM(Q354:Q355)</x:f>
        <x:v>333642.15043255384</x:v>
      </x:c>
      <x:c r="R356" s="58" t="n">
        <x:f>SUM(R354:R355)</x:f>
        <x:v>349744.7918417428</x:v>
      </x:c>
      <x:c r="S356" s="58" t="n">
        <x:f>SUM(S354:S355)</x:f>
        <x:v>366863.1546123304</x:v>
      </x:c>
      <x:c r="T356" s="58" t="n">
        <x:f>SUM(T354:T355)</x:f>
        <x:v>458062.2347223691</x:v>
      </x:c>
      <x:c r="U356" s="58" t="n">
        <x:f>SUM(U354:U355)</x:f>
        <x:v>479403.1403113017</x:v>
      </x:c>
      <x:c r="V356" s="58" t="n">
        <x:f>SUM(V354:V355)</x:f>
        <x:v>501672.4521592378</x:v>
      </x:c>
      <x:c r="W356" s="58" t="n">
        <x:f>SUM(W354:W355)</x:f>
        <x:v>525315.0998059657</x:v>
      </x:c>
      <x:c r="X356" s="58" t="n">
        <x:f>SUM(X354:X355)</x:f>
        <x:v>550513.839669896</x:v>
      </x:c>
      <x:c r="Y356" s="58" t="n">
        <x:f>SUM(Y354:Y355)</x:f>
        <x:v>577456.9529803433</x:v>
      </x:c>
      <x:c r="Z356" s="58" t="n">
        <x:f>SUM(Z354:Z355)</x:f>
        <x:v>655075.4736538895</x:v>
      </x:c>
      <x:c r="AA356" s="58" t="n">
        <x:f>SUM(AA354:AA355)</x:f>
        <x:v>679934.4573712931</x:v>
      </x:c>
      <x:c r="AB356" s="58" t="n">
        <x:f>SUM(AB354:AB355)</x:f>
        <x:v>705687.8505170175</x:v>
      </x:c>
      <x:c r="AC356" s="58" t="n">
        <x:f>SUM(AC354:AC355)</x:f>
        <x:v>733962.1355482913</x:v>
      </x:c>
      <x:c r="AD356" s="58" t="n">
        <x:f>SUM(AD354:AD355)</x:f>
        <x:v>762249.3174799571</x:v>
      </x:c>
      <x:c r="AE356" s="58" t="n">
        <x:f>SUM(AE354:AE355)</x:f>
        <x:v>792005.56407066</x:v>
      </x:c>
      <x:c r="AF356" s="58" t="n">
        <x:f>SUM(AF354:AF355)</x:f>
        <x:v>897038.241799356</x:v>
      </x:c>
      <x:c r="AG356" s="58" t="n">
        <x:f>SUM(AG354:AG355)</x:f>
        <x:v>931778.5866396192</x:v>
      </x:c>
      <x:c r="AH356" s="58" t="n">
        <x:f>SUM(AH354:AH355)</x:f>
        <x:v>967959.9064847104</x:v>
      </x:c>
      <x:c r="AI356" s="58" t="n">
        <x:f>SUM(AI354:AI355)</x:f>
        <x:v>1006000.7912161308</x:v>
      </x:c>
      <x:c r="AJ356" s="58" t="n">
        <x:f>SUM(AJ354:AJ355)</x:f>
        <x:v>1046079.72771922</x:v>
      </x:c>
      <x:c r="AK356" s="58" t="n">
        <x:f>SUM(AK354:AK355)</x:f>
        <x:v>1088378.2431754256</x:v>
      </x:c>
    </x:row>
    <x:row r="357" ht="18" customHeight="1">
      <x:c r="A357" s="4" t="str">
        <x:v>Refunds (INR)</x:v>
      </x:c>
      <x:c r="B357" s="58" t="n">
        <x:f>B356*'Scenario Inputs'!$C$29</x:f>
        <x:v>1538.5496033898307</x:v>
      </x:c>
      <x:c r="C357" s="58" t="n">
        <x:f>C356*'Scenario Inputs'!$C$29</x:f>
        <x:v>1699.905618564407</x:v>
      </x:c>
      <x:c r="D357" s="58" t="n">
        <x:f>D356*'Scenario Inputs'!$C$29</x:f>
        <x:v>1867.756959100182</x:v>
      </x:c>
      <x:c r="E357" s="58" t="n">
        <x:f>E356*'Scenario Inputs'!$C$29</x:f>
        <x:v>2585.2935754063246</x:v>
      </x:c>
      <x:c r="F357" s="58" t="n">
        <x:f>F356*'Scenario Inputs'!$C$29</x:f>
        <x:v>2799.0278191943817</x:v>
      </x:c>
      <x:c r="G357" s="58" t="n">
        <x:f>G356*'Scenario Inputs'!$C$29</x:f>
        <x:v>3028.7362325865333</x:v>
      </x:c>
      <x:c r="H357" s="58" t="n">
        <x:f>H356*'Scenario Inputs'!$C$29</x:f>
        <x:v>4439.250164455812</x:v>
      </x:c>
      <x:c r="I357" s="58" t="n">
        <x:f>I356*'Scenario Inputs'!$C$29</x:f>
        <x:v>4745.928199577168</x:v>
      </x:c>
      <x:c r="J357" s="58" t="n">
        <x:f>J356*'Scenario Inputs'!$C$29</x:f>
        <x:v>5072.744212840094</x:v>
      </x:c>
      <x:c r="K357" s="58" t="n">
        <x:f>K356*'Scenario Inputs'!$C$29</x:f>
        <x:v>5428.912587954627</x:v>
      </x:c>
      <x:c r="L357" s="58" t="n">
        <x:f>L356*'Scenario Inputs'!$C$29</x:f>
        <x:v>5819.399926288882</x:v>
      </x:c>
      <x:c r="M357" s="58" t="n">
        <x:f>M356*'Scenario Inputs'!$C$29</x:f>
        <x:v>6249.557373227875</x:v>
      </x:c>
      <x:c r="N357" s="58" t="n">
        <x:f>N356*'Scenario Inputs'!$C$29</x:f>
        <x:v>8623.571510040347</x:v>
      </x:c>
      <x:c r="O357" s="58" t="n">
        <x:f>O356*'Scenario Inputs'!$C$29</x:f>
        <x:v>9045.06972765518</x:v>
      </x:c>
      <x:c r="P357" s="58" t="n">
        <x:f>P356*'Scenario Inputs'!$C$29</x:f>
        <x:v>9478.555856405983</x:v>
      </x:c>
      <x:c r="Q357" s="58" t="n">
        <x:f>Q356*'Scenario Inputs'!$C$29</x:f>
        <x:v>10009.264512976615</x:v>
      </x:c>
      <x:c r="R357" s="58" t="n">
        <x:f>R356*'Scenario Inputs'!$C$29</x:f>
        <x:v>10492.343755252285</x:v>
      </x:c>
      <x:c r="S357" s="58" t="n">
        <x:f>S356*'Scenario Inputs'!$C$29</x:f>
        <x:v>11005.894638369913</x:v>
      </x:c>
      <x:c r="T357" s="58" t="n">
        <x:f>T356*'Scenario Inputs'!$C$29</x:f>
        <x:v>13741.867041671074</x:v>
      </x:c>
      <x:c r="U357" s="58" t="n">
        <x:f>U356*'Scenario Inputs'!$C$29</x:f>
        <x:v>14382.09420933905</x:v>
      </x:c>
      <x:c r="V357" s="58" t="n">
        <x:f>V356*'Scenario Inputs'!$C$29</x:f>
        <x:v>15050.173564777135</x:v>
      </x:c>
      <x:c r="W357" s="58" t="n">
        <x:f>W356*'Scenario Inputs'!$C$29</x:f>
        <x:v>15759.45299417897</x:v>
      </x:c>
      <x:c r="X357" s="58" t="n">
        <x:f>X356*'Scenario Inputs'!$C$29</x:f>
        <x:v>16515.415190096883</x:v>
      </x:c>
      <x:c r="Y357" s="58" t="n">
        <x:f>Y356*'Scenario Inputs'!$C$29</x:f>
        <x:v>17323.708589410297</x:v>
      </x:c>
      <x:c r="Z357" s="58" t="n">
        <x:f>Z356*'Scenario Inputs'!$C$29</x:f>
        <x:v>19652.264209616686</x:v>
      </x:c>
      <x:c r="AA357" s="58" t="n">
        <x:f>AA356*'Scenario Inputs'!$C$29</x:f>
        <x:v>20398.033721138792</x:v>
      </x:c>
      <x:c r="AB357" s="58" t="n">
        <x:f>AB356*'Scenario Inputs'!$C$29</x:f>
        <x:v>21170.635515510527</x:v>
      </x:c>
      <x:c r="AC357" s="58" t="n">
        <x:f>AC356*'Scenario Inputs'!$C$29</x:f>
        <x:v>22018.864066448736</x:v>
      </x:c>
      <x:c r="AD357" s="58" t="n">
        <x:f>AD356*'Scenario Inputs'!$C$29</x:f>
        <x:v>22867.479524398714</x:v>
      </x:c>
      <x:c r="AE357" s="58" t="n">
        <x:f>AE356*'Scenario Inputs'!$C$29</x:f>
        <x:v>23760.1669221198</x:v>
      </x:c>
      <x:c r="AF357" s="58" t="n">
        <x:f>AF356*'Scenario Inputs'!$C$29</x:f>
        <x:v>26911.14725398068</x:v>
      </x:c>
      <x:c r="AG357" s="58" t="n">
        <x:f>AG356*'Scenario Inputs'!$C$29</x:f>
        <x:v>27953.357599188574</x:v>
      </x:c>
      <x:c r="AH357" s="58" t="n">
        <x:f>AH356*'Scenario Inputs'!$C$29</x:f>
        <x:v>29038.797194541312</x:v>
      </x:c>
      <x:c r="AI357" s="58" t="n">
        <x:f>AI356*'Scenario Inputs'!$C$29</x:f>
        <x:v>30180.023736483923</x:v>
      </x:c>
      <x:c r="AJ357" s="58" t="n">
        <x:f>AJ356*'Scenario Inputs'!$C$29</x:f>
        <x:v>31382.3918315766</x:v>
      </x:c>
      <x:c r="AK357" s="58" t="n">
        <x:f>AK356*'Scenario Inputs'!$C$29</x:f>
        <x:v>32651.347295262767</x:v>
      </x:c>
    </x:row>
    <x:row r="358" ht="18" customHeight="1">
      <x:c r="A358" s="4" t="str">
        <x:v>Net billings, ex-tax (INR)</x:v>
      </x:c>
      <x:c r="B358" s="58" t="n">
        <x:f>B356-B357</x:f>
        <x:v>49746.437176271196</x:v>
      </x:c>
      <x:c r="C358" s="58" t="n">
        <x:f>C356-C357</x:f>
        <x:v>54963.615000249156</x:v>
      </x:c>
      <x:c r="D358" s="58" t="n">
        <x:f>D356-D357</x:f>
        <x:v>60390.80834423922</x:v>
      </x:c>
      <x:c r="E358" s="58" t="n">
        <x:f>E356-E357</x:f>
        <x:v>83591.15893813783</x:v>
      </x:c>
      <x:c r="F358" s="58" t="n">
        <x:f>F356-F357</x:f>
        <x:v>90501.89948728502</x:v>
      </x:c>
      <x:c r="G358" s="58" t="n">
        <x:f>G356-G357</x:f>
        <x:v>97929.13818696457</x:v>
      </x:c>
      <x:c r="H358" s="58" t="n">
        <x:f>H356-H357</x:f>
        <x:v>143535.7553174046</x:v>
      </x:c>
      <x:c r="I358" s="58" t="n">
        <x:f>I356-I357</x:f>
        <x:v>153451.6784529951</x:v>
      </x:c>
      <x:c r="J358" s="58" t="n">
        <x:f>J356-J357</x:f>
        <x:v>164018.7295484964</x:v>
      </x:c>
      <x:c r="K358" s="58" t="n">
        <x:f>K356-K357</x:f>
        <x:v>175534.8403438663</x:v>
      </x:c>
      <x:c r="L358" s="58" t="n">
        <x:f>L356-L357</x:f>
        <x:v>188160.59761667388</x:v>
      </x:c>
      <x:c r="M358" s="58" t="n">
        <x:f>M356-M357</x:f>
        <x:v>202069.02173436797</x:v>
      </x:c>
      <x:c r="N358" s="58" t="n">
        <x:f>N356-N357</x:f>
        <x:v>278828.8121579712</x:v>
      </x:c>
      <x:c r="O358" s="58" t="n">
        <x:f>O356-O357</x:f>
        <x:v>292457.2545275175</x:v>
      </x:c>
      <x:c r="P358" s="58" t="n">
        <x:f>P356-P357</x:f>
        <x:v>306473.30602379347</x:v>
      </x:c>
      <x:c r="Q358" s="58" t="n">
        <x:f>Q356-Q357</x:f>
        <x:v>323632.8859195772</x:v>
      </x:c>
      <x:c r="R358" s="58" t="n">
        <x:f>R356-R357</x:f>
        <x:v>339252.4480864905</x:v>
      </x:c>
      <x:c r="S358" s="58" t="n">
        <x:f>S356-S357</x:f>
        <x:v>355857.2599739605</x:v>
      </x:c>
      <x:c r="T358" s="58" t="n">
        <x:f>T356-T357</x:f>
        <x:v>444320.36768069805</x:v>
      </x:c>
      <x:c r="U358" s="58" t="n">
        <x:f>U356-U357</x:f>
        <x:v>465021.0461019626</x:v>
      </x:c>
      <x:c r="V358" s="58" t="n">
        <x:f>V356-V357</x:f>
        <x:v>486622.2785944607</x:v>
      </x:c>
      <x:c r="W358" s="58" t="n">
        <x:f>W356-W357</x:f>
        <x:v>509555.6468117867</x:v>
      </x:c>
      <x:c r="X358" s="58" t="n">
        <x:f>X356-X357</x:f>
        <x:v>533998.4244797992</x:v>
      </x:c>
      <x:c r="Y358" s="58" t="n">
        <x:f>Y356-Y357</x:f>
        <x:v>560133.244390933</x:v>
      </x:c>
      <x:c r="Z358" s="58" t="n">
        <x:f>Z356-Z357</x:f>
        <x:v>635423.2094442728</x:v>
      </x:c>
      <x:c r="AA358" s="58" t="n">
        <x:f>AA356-AA357</x:f>
        <x:v>659536.4236501543</x:v>
      </x:c>
      <x:c r="AB358" s="58" t="n">
        <x:f>AB356-AB357</x:f>
        <x:v>684517.215001507</x:v>
      </x:c>
      <x:c r="AC358" s="58" t="n">
        <x:f>AC356-AC357</x:f>
        <x:v>711943.2714818425</x:v>
      </x:c>
      <x:c r="AD358" s="58" t="n">
        <x:f>AD356-AD357</x:f>
        <x:v>739381.8379555584</x:v>
      </x:c>
      <x:c r="AE358" s="58" t="n">
        <x:f>AE356-AE357</x:f>
        <x:v>768245.3971485402</x:v>
      </x:c>
      <x:c r="AF358" s="58" t="n">
        <x:f>AF356-AF357</x:f>
        <x:v>870127.0945453753</x:v>
      </x:c>
      <x:c r="AG358" s="58" t="n">
        <x:f>AG356-AG357</x:f>
        <x:v>903825.2290404306</x:v>
      </x:c>
      <x:c r="AH358" s="58" t="n">
        <x:f>AH356-AH357</x:f>
        <x:v>938921.1092901691</x:v>
      </x:c>
      <x:c r="AI358" s="58" t="n">
        <x:f>AI356-AI357</x:f>
        <x:v>975820.767479647</x:v>
      </x:c>
      <x:c r="AJ358" s="58" t="n">
        <x:f>AJ356-AJ357</x:f>
        <x:v>1014697.3358876434</x:v>
      </x:c>
      <x:c r="AK358" s="58" t="n">
        <x:f>AK356-AK357</x:f>
        <x:v>1055726.8958801627</x:v>
      </x:c>
    </x:row>
    <x:row r="359" ht="18" customHeight="1">
      <x:c r="A359" s="4" t="str">
        <x:v>Payment / store fees (INR)</x:v>
      </x:c>
      <x:c r="B359" s="58" t="n">
        <x:f>B340*$B$401+B347*$B$402</x:f>
        <x:v>5304.1549484745765</x:v>
      </x:c>
      <x:c r="C359" s="58" t="n">
        <x:f>C340*$B$401+C347*$B$402</x:f>
        <x:v>5897.804487181016</x:v>
      </x:c>
      <x:c r="D359" s="58" t="n">
        <x:f>D340*$B$401+D347*$B$402</x:f>
        <x:v>6506.58716308263</x:v>
      </x:c>
      <x:c r="E359" s="58" t="n">
        <x:f>E340*$B$401+E347*$B$402</x:f>
        <x:v>9008.909992367218</x:v>
      </x:c>
      <x:c r="F359" s="58" t="n">
        <x:f>F340*$B$401+F347*$B$402</x:f>
        <x:v>9786.4391494951</x:v>
      </x:c>
      <x:c r="G359" s="58" t="n">
        <x:f>G340*$B$401+G347*$B$402</x:f>
        <x:v>10615.09120405933</x:v>
      </x:c>
      <x:c r="H359" s="58" t="n">
        <x:f>H340*$B$401+H347*$B$402</x:f>
        <x:v>15513.28102434319</x:v>
      </x:c>
      <x:c r="I359" s="58" t="n">
        <x:f>I340*$B$401+I347*$B$402</x:f>
        <x:v>16633.54507695494</x:v>
      </x:c>
      <x:c r="J359" s="58" t="n">
        <x:f>J340*$B$401+J347*$B$402</x:f>
        <x:v>17815.584620820908</x:v>
      </x:c>
      <x:c r="K359" s="58" t="n">
        <x:f>K340*$B$401+K347*$B$402</x:f>
        <x:v>19096.452800878254</x:v>
      </x:c>
      <x:c r="L359" s="58" t="n">
        <x:f>L340*$B$401+L347*$B$402</x:f>
        <x:v>20494.306611838154</x:v>
      </x:c>
      <x:c r="M359" s="58" t="n">
        <x:f>M340*$B$401+M347*$B$402</x:f>
        <x:v>22028.55992523203</x:v>
      </x:c>
      <x:c r="N359" s="58" t="n">
        <x:f>N340*$B$401+N347*$B$402</x:f>
        <x:v>30255.475804725866</x:v>
      </x:c>
      <x:c r="O359" s="58" t="n">
        <x:f>O340*$B$401+O347*$B$402</x:f>
        <x:v>31802.064356300423</x:v>
      </x:c>
      <x:c r="P359" s="58" t="n">
        <x:f>P340*$B$401+P347*$B$402</x:f>
        <x:v>33376.98409215543</x:v>
      </x:c>
      <x:c r="Q359" s="58" t="n">
        <x:f>Q340*$B$401+Q347*$B$402</x:f>
        <x:v>35278.817145796005</x:v>
      </x:c>
      <x:c r="R359" s="58" t="n">
        <x:f>R340*$B$401+R347*$B$402</x:f>
        <x:v>37015.95238166301</x:v>
      </x:c>
      <x:c r="S359" s="58" t="n">
        <x:f>S340*$B$401+S347*$B$402</x:f>
        <x:v>38855.51625544173</x:v>
      </x:c>
      <x:c r="T359" s="58" t="n">
        <x:f>T340*$B$401+T347*$B$402</x:f>
        <x:v>48348.22501176723</x:v>
      </x:c>
      <x:c r="U359" s="58" t="n">
        <x:f>U340*$B$401+U347*$B$402</x:f>
        <x:v>50671.412985154464</x:v>
      </x:c>
      <x:c r="V359" s="58" t="n">
        <x:f>V340*$B$401+V347*$B$402</x:f>
        <x:v>53077.31243582547</x:v>
      </x:c>
      <x:c r="W359" s="58" t="n">
        <x:f>W340*$B$401+W347*$B$402</x:f>
        <x:v>55620.87328085925</x:v>
      </x:c>
      <x:c r="X359" s="58" t="n">
        <x:f>X340*$B$401+X347*$B$402</x:f>
        <x:v>58322.47320969489</x:v>
      </x:c>
      <x:c r="Y359" s="58" t="n">
        <x:f>Y340*$B$401+Y347*$B$402</x:f>
        <x:v>61202.90998484257</x:v>
      </x:c>
      <x:c r="Z359" s="58" t="n">
        <x:f>Z340*$B$401+Z347*$B$402</x:f>
        <x:v>69308.86507006267</x:v>
      </x:c>
      <x:c r="AA359" s="58" t="n">
        <x:f>AA340*$B$401+AA347*$B$402</x:f>
        <x:v>72001.79351494217</x:v>
      </x:c>
      <x:c r="AB359" s="58" t="n">
        <x:f>AB340*$B$401+AB347*$B$402</x:f>
        <x:v>74776.87616482469</x:v>
      </x:c>
      <x:c r="AC359" s="58" t="n">
        <x:f>AC340*$B$401+AC347*$B$402</x:f>
        <x:v>77806.73713999064</x:v>
      </x:c>
      <x:c r="AD359" s="58" t="n">
        <x:f>AD340*$B$401+AD347*$B$402</x:f>
        <x:v>80836.78212104965</x:v>
      </x:c>
      <x:c r="AE359" s="58" t="n">
        <x:f>AE340*$B$401+AE347*$B$402</x:f>
        <x:v>84017.05596183885</x:v>
      </x:c>
      <x:c r="AF359" s="58" t="n">
        <x:f>AF340*$B$401+AF347*$B$402</x:f>
        <x:v>94966.07192934962</x:v>
      </x:c>
      <x:c r="AG359" s="58" t="n">
        <x:f>AG340*$B$401+AG347*$B$402</x:f>
        <x:v>98706.20321026057</x:v>
      </x:c>
      <x:c r="AH359" s="58" t="n">
        <x:f>AH340*$B$401+AH347*$B$402</x:f>
        <x:v>102584.29387431005</x:v>
      </x:c>
      <x:c r="AI359" s="58" t="n">
        <x:f>AI340*$B$401+AI347*$B$402</x:f>
        <x:v>106651.84363933418</x:v>
      </x:c>
      <x:c r="AJ359" s="58" t="n">
        <x:f>AJ340*$B$401+AJ347*$B$402</x:f>
        <x:v>110928.72712816481</x:v>
      </x:c>
      <x:c r="AK359" s="58" t="n">
        <x:f>AK340*$B$401+AK347*$B$402</x:f>
        <x:v>115434.98321400322</x:v>
      </x:c>
    </x:row>
    <x:row r="360" ht="18" customHeight="1">
      <x:c r="A360" s="4" t="str">
        <x:v>Billing / entitlement reserve (INR)</x:v>
      </x:c>
      <x:c r="B360" s="58" t="n">
        <x:f>B340*$B$403+B347*$B$404</x:f>
        <x:v>534.7638</x:v>
      </x:c>
      <x:c r="C360" s="58" t="n">
        <x:f>C340*$B$403+C347*$B$404</x:f>
        <x:v>590.7725829000001</x:v>
      </x:c>
      <x:c r="D360" s="58" t="n">
        <x:f>D340*$B$403+D347*$B$404</x:f>
        <x:v>649.0535154997499</x:v>
      </x:c>
      <x:c r="E360" s="58" t="n">
        <x:f>E340*$B$403+E347*$B$404</x:f>
        <x:v>898.3951779800827</x:v>
      </x:c>
      <x:c r="F360" s="58" t="n">
        <x:f>F340*$B$403+F347*$B$404</x:f>
        <x:v>972.6027916160629</x:v>
      </x:c>
      <x:c r="G360" s="58" t="n">
        <x:f>G340*$B$403+G347*$B$404</x:f>
        <x:v>1052.370552808996</x:v>
      </x:c>
      <x:c r="H360" s="58" t="n">
        <x:f>H340*$B$403+H347*$B$404</x:f>
        <x:v>1542.5612384792046</x:v>
      </x:c>
      <x:c r="I360" s="58" t="n">
        <x:f>I340*$B$403+I347*$B$404</x:f>
        <x:v>1649.0292912091256</x:v>
      </x:c>
      <x:c r="J360" s="58" t="n">
        <x:f>J340*$B$403+J347*$B$404</x:f>
        <x:v>1762.5121420425169</x:v>
      </x:c>
      <x:c r="K360" s="58" t="n">
        <x:f>K340*$B$403+K347*$B$404</x:f>
        <x:v>1886.201916221989</x:v>
      </x:c>
      <x:c r="L360" s="58" t="n">
        <x:f>L340*$B$403+L347*$B$404</x:f>
        <x:v>2021.8228176946457</x:v>
      </x:c>
      <x:c r="M360" s="58" t="n">
        <x:f>M340*$B$403+M347*$B$404</x:f>
        <x:v>2171.232846652732</x:v>
      </x:c>
      <x:c r="N360" s="58" t="n">
        <x:f>N340*$B$403+N347*$B$404</x:f>
        <x:v>2996.29951334481</x:v>
      </x:c>
      <x:c r="O360" s="58" t="n">
        <x:f>O340*$B$403+O347*$B$404</x:f>
        <x:v>3142.6153762203157</x:v>
      </x:c>
      <x:c r="P360" s="58" t="n">
        <x:f>P340*$B$403+P347*$B$404</x:f>
        <x:v>3293.1239643696194</x:v>
      </x:c>
      <x:c r="Q360" s="58" t="n">
        <x:f>Q340*$B$403+Q347*$B$404</x:f>
        <x:v>3477.4413577919527</x:v>
      </x:c>
      <x:c r="R360" s="58" t="n">
        <x:f>R340*$B$403+R347*$B$404</x:f>
        <x:v>3645.204873604034</x:v>
      </x:c>
      <x:c r="S360" s="58" t="n">
        <x:f>S340*$B$403+S347*$B$404</x:f>
        <x:v>3823.5648656270587</x:v>
      </x:c>
      <x:c r="T360" s="58" t="n">
        <x:f>T340*$B$403+T347*$B$404</x:f>
        <x:v>4774.403846340823</x:v>
      </x:c>
      <x:c r="U360" s="58" t="n">
        <x:f>U340*$B$403+U347*$B$404</x:f>
        <x:v>4996.699683063578</x:v>
      </x:c>
      <x:c r="V360" s="58" t="n">
        <x:f>V340*$B$403+V347*$B$404</x:f>
        <x:v>5228.702920021169</x:v>
      </x:c>
      <x:c r="W360" s="58" t="n">
        <x:f>W340*$B$403+W347*$B$404</x:f>
        <x:v>5475.035094190183</x:v>
      </x:c>
      <x:c r="X360" s="58" t="n">
        <x:f>X340*$B$403+X347*$B$404</x:f>
        <x:v>5737.59890731627</x:v>
      </x:c>
      <x:c r="Y360" s="58" t="n">
        <x:f>Y340*$B$403+Y347*$B$404</x:f>
        <x:v>6018.354972813618</x:v>
      </x:c>
      <x:c r="Z360" s="58" t="n">
        <x:f>Z340*$B$403+Z347*$B$404</x:f>
        <x:v>6827.549770800361</x:v>
      </x:c>
      <x:c r="AA360" s="58" t="n">
        <x:f>AA340*$B$403+AA347*$B$404</x:f>
        <x:v>7086.517881775679</x:v>
      </x:c>
      <x:c r="AB360" s="58" t="n">
        <x:f>AB340*$B$403+AB347*$B$404</x:f>
        <x:v>7354.832977072003</x:v>
      </x:c>
      <x:c r="AC360" s="58" t="n">
        <x:f>AC340*$B$403+AC347*$B$404</x:f>
        <x:v>7649.44605798836</x:v>
      </x:c>
      <x:c r="AD360" s="58" t="n">
        <x:f>AD340*$B$403+AD347*$B$404</x:f>
        <x:v>7944.195919656751</x:v>
      </x:c>
      <x:c r="AE360" s="58" t="n">
        <x:f>AE340*$B$403+AE347*$B$404</x:f>
        <x:v>8254.26757557999</x:v>
      </x:c>
      <x:c r="AF360" s="58" t="n">
        <x:f>AF340*$B$403+AF347*$B$404</x:f>
        <x:v>9349.302431100932</x:v>
      </x:c>
      <x:c r="AG360" s="58" t="n">
        <x:f>AG340*$B$403+AG347*$B$404</x:f>
        <x:v>9711.255960460943</x:v>
      </x:c>
      <x:c r="AH360" s="58" t="n">
        <x:f>AH340*$B$403+AH347*$B$404</x:f>
        <x:v>10088.257123471416</x:v>
      </x:c>
      <x:c r="AI360" s="58" t="n">
        <x:f>AI340*$B$403+AI347*$B$404</x:f>
        <x:v>10484.654258470873</x:v>
      </x:c>
      <x:c r="AJ360" s="58" t="n">
        <x:f>AJ340*$B$403+AJ347*$B$404</x:f>
        <x:v>10902.305670559528</x:v>
      </x:c>
      <x:c r="AK360" s="58" t="n">
        <x:f>AK340*$B$403+AK347*$B$404</x:f>
        <x:v>11343.101667453704</x:v>
      </x:c>
    </x:row>
    <x:row r="361" ht="18" customHeight="1">
      <x:c r="A361" s="4" t="str">
        <x:v>Paid users: AI cost (INR)</x:v>
      </x:c>
      <x:c r="B361" s="58" t="n">
        <x:f>B349*'Commercial Inputs'!$B$24*$B$405</x:f>
        <x:v>143.56485</x:v>
      </x:c>
      <x:c r="C361" s="58" t="n">
        <x:f>C349*'Commercial Inputs'!$B$24*$B$405</x:f>
        <x:v>283.36268317500003</x:v>
      </x:c>
      <x:c r="D361" s="58" t="n">
        <x:f>D349*'Commercial Inputs'!$B$24*$B$405</x:f>
        <x:v>428.87800990856255</x:v>
      </x:c>
      <x:c r="E361" s="58" t="n">
        <x:f>E349*'Commercial Inputs'!$B$24*$B$405</x:f>
        <x:v>634.437512012111</x:v>
      </x:c>
      <x:c r="F361" s="58" t="n">
        <x:f>F349*'Commercial Inputs'!$B$24*$B$405</x:f>
        <x:v>846.5189146903331</x:v>
      </x:c>
      <x:c r="G361" s="58" t="n">
        <x:f>G349*'Commercial Inputs'!$B$24*$B$405</x:f>
        <x:v>1070.1267127608323</x:v>
      </x:c>
      <x:c r="H361" s="58" t="n">
        <x:f>H349*'Commercial Inputs'!$B$24*$B$405</x:f>
        <x:v>1416.5864919642177</x:v>
      </x:c>
      <x:c r="I361" s="58" t="n">
        <x:f>I349*'Commercial Inputs'!$B$24*$B$405</x:f>
        <x:v>1768.6236630838828</x:v>
      </x:c>
      <x:c r="J361" s="58" t="n">
        <x:f>J349*'Commercial Inputs'!$B$24*$B$405</x:f>
        <x:v>2135.6789548814936</x:v>
      </x:c>
      <x:c r="K361" s="58" t="n">
        <x:f>K349*'Commercial Inputs'!$B$24*$B$405</x:f>
        <x:v>2523.022315647195</x:v>
      </x:c>
      <x:c r="L361" s="58" t="n">
        <x:f>L349*'Commercial Inputs'!$B$24*$B$405</x:f>
        <x:v>2933.82510328653</x:v>
      </x:c>
      <x:c r="M361" s="58" t="n">
        <x:f>M349*'Commercial Inputs'!$B$24*$B$405</x:f>
        <x:v>3371.5313726519666</x:v>
      </x:c>
      <x:c r="N361" s="58" t="n">
        <x:f>N349*'Commercial Inputs'!$B$24*$B$405</x:f>
        <x:v>3905.106506436856</x:v>
      </x:c>
      <x:c r="O361" s="58" t="n">
        <x:f>O349*'Commercial Inputs'!$B$24*$B$405</x:f>
        <x:v>4434.226866064123</x:v>
      </x:c>
      <x:c r="P361" s="58" t="n">
        <x:f>P349*'Commercial Inputs'!$B$24*$B$405</x:f>
        <x:v>4971.42359207399</x:v>
      </x:c>
      <x:c r="Q361" s="58" t="n">
        <x:f>Q349*'Commercial Inputs'!$B$24*$B$405</x:f>
        <x:v>5490.0639477031755</x:v>
      </x:c>
      <x:c r="R361" s="58" t="n">
        <x:f>R349*'Commercial Inputs'!$B$24*$B$405</x:f>
        <x:v>6023.798987671135</x:v>
      </x:c>
      <x:c r="S361" s="58" t="n">
        <x:f>S349*'Commercial Inputs'!$B$24*$B$405</x:f>
        <x:v>6574.229055304521</x:v>
      </x:c>
      <x:c r="T361" s="58" t="n">
        <x:f>T349*'Commercial Inputs'!$B$24*$B$405</x:f>
        <x:v>7262.728519583283</x:v>
      </x:c>
      <x:c r="U361" s="58" t="n">
        <x:f>U349*'Commercial Inputs'!$B$24*$B$405</x:f>
        <x:v>7951.2539871286235</x:v>
      </x:c>
      <x:c r="V361" s="58" t="n">
        <x:f>V349*'Commercial Inputs'!$B$24*$B$405</x:f>
        <x:v>8653.582904893072</x:v>
      </x:c>
      <x:c r="W361" s="58" t="n">
        <x:f>W349*'Commercial Inputs'!$B$24*$B$405</x:f>
        <x:v>9375.774517675402</x:v>
      </x:c>
      <x:c r="X361" s="58" t="n">
        <x:f>X349*'Commercial Inputs'!$B$24*$B$405</x:f>
        <x:v>10119.729704535494</x:v>
      </x:c>
      <x:c r="Y361" s="58" t="n">
        <x:f>Y349*'Commercial Inputs'!$B$24*$B$405</x:f>
        <x:v>10887.26577952149</x:v>
      </x:c>
      <x:c r="Z361" s="58" t="n">
        <x:f>Z349*'Commercial Inputs'!$B$24*$B$405</x:f>
        <x:v>11676.028010414288</x:v>
      </x:c>
      <x:c r="AA361" s="58" t="n">
        <x:f>AA349*'Commercial Inputs'!$B$24*$B$405</x:f>
        <x:v>12471.654265423344</x:v>
      </x:c>
      <x:c r="AB361" s="58" t="n">
        <x:f>AB349*'Commercial Inputs'!$B$24*$B$405</x:f>
        <x:v>13283.737242927187</x:v>
      </x:c>
      <x:c r="AC361" s="58" t="n">
        <x:f>AC349*'Commercial Inputs'!$B$24*$B$405</x:f>
        <x:v>14114.075650105522</x:v>
      </x:c>
      <x:c r="AD361" s="58" t="n">
        <x:f>AD349*'Commercial Inputs'!$B$24*$B$405</x:f>
        <x:v>14966.882432147453</x:v>
      </x:c>
      <x:c r="AE361" s="58" t="n">
        <x:f>AE349*'Commercial Inputs'!$B$24*$B$405</x:f>
        <x:v>15843.760077941683</x:v>
      </x:c>
      <x:c r="AF361" s="58" t="n">
        <x:f>AF349*'Commercial Inputs'!$B$24*$B$405</x:f>
        <x:v>16791.479510381967</x:v>
      </x:c>
      <x:c r="AG361" s="58" t="n">
        <x:f>AG349*'Commercial Inputs'!$B$24*$B$405</x:f>
        <x:v>17748.344336687816</x:v>
      </x:c>
      <x:c r="AH361" s="58" t="n">
        <x:f>AH349*'Commercial Inputs'!$B$24*$B$405</x:f>
        <x:v>18726.963603916323</x:v>
      </x:c>
      <x:c r="AI361" s="58" t="n">
        <x:f>AI349*'Commercial Inputs'!$B$24*$B$405</x:f>
        <x:v>19732.912572497182</x:v>
      </x:c>
      <x:c r="AJ361" s="58" t="n">
        <x:f>AJ349*'Commercial Inputs'!$B$24*$B$405</x:f>
        <x:v>20767.971490491163</x:v>
      </x:c>
      <x:c r="AK361" s="58" t="n">
        <x:f>AK349*'Commercial Inputs'!$B$24*$B$405</x:f>
        <x:v>21833.833075851697</x:v>
      </x:c>
    </x:row>
    <x:row r="362" ht="18" customHeight="1">
      <x:c r="A362" s="4" t="str">
        <x:v>Free users: AI cost (INR)</x:v>
      </x:c>
      <x:c r="B362" s="58" t="n">
        <x:f>B350*'Commercial Inputs'!$B$25*$B$405</x:f>
        <x:v>193.05</x:v>
      </x:c>
      <x:c r="C362" s="58" t="n">
        <x:f>C350*'Commercial Inputs'!$B$25*$B$405</x:f>
        <x:v>340.03521981</x:v>
      </x:c>
      <x:c r="D362" s="58" t="n">
        <x:f>D350*'Commercial Inputs'!$B$25*$B$405</x:f>
        <x:v>514.6536118902751</x:v>
      </x:c>
      <x:c r="E362" s="58" t="n">
        <x:f>E350*'Commercial Inputs'!$B$25*$B$405</x:f>
        <x:v>761.3250144145333</x:v>
      </x:c>
      <x:c r="F362" s="58" t="n">
        <x:f>F350*'Commercial Inputs'!$B$25*$B$405</x:f>
        <x:v>1015.8226976283997</x:v>
      </x:c>
      <x:c r="G362" s="58" t="n">
        <x:f>G350*'Commercial Inputs'!$B$25*$B$405</x:f>
        <x:v>1284.1520553129988</x:v>
      </x:c>
      <x:c r="H362" s="58" t="n">
        <x:f>H350*'Commercial Inputs'!$B$25*$B$405</x:f>
        <x:v>1699.9037903570613</x:v>
      </x:c>
      <x:c r="I362" s="58" t="n">
        <x:f>I350*'Commercial Inputs'!$B$25*$B$405</x:f>
        <x:v>2122.3483957006597</x:v>
      </x:c>
      <x:c r="J362" s="58" t="n">
        <x:f>J350*'Commercial Inputs'!$B$25*$B$405</x:f>
        <x:v>2562.814745857792</x:v>
      </x:c>
      <x:c r="K362" s="58" t="n">
        <x:f>K350*'Commercial Inputs'!$B$25*$B$405</x:f>
        <x:v>3027.6267787766337</x:v>
      </x:c>
      <x:c r="L362" s="58" t="n">
        <x:f>L350*'Commercial Inputs'!$B$25*$B$405</x:f>
        <x:v>3520.5901239438354</x:v>
      </x:c>
      <x:c r="M362" s="58" t="n">
        <x:f>M350*'Commercial Inputs'!$B$25*$B$405</x:f>
        <x:v>4045.8376471823603</x:v>
      </x:c>
      <x:c r="N362" s="58" t="n">
        <x:f>N350*'Commercial Inputs'!$B$25*$B$405</x:f>
        <x:v>4686.127807724227</x:v>
      </x:c>
      <x:c r="O362" s="58" t="n">
        <x:f>O350*'Commercial Inputs'!$B$25*$B$405</x:f>
        <x:v>5321.072239276947</x:v>
      </x:c>
      <x:c r="P362" s="58" t="n">
        <x:f>P350*'Commercial Inputs'!$B$25*$B$405</x:f>
        <x:v>5965.708310488788</x:v>
      </x:c>
      <x:c r="Q362" s="58" t="n">
        <x:f>Q350*'Commercial Inputs'!$B$25*$B$405</x:f>
        <x:v>6588.07673724381</x:v>
      </x:c>
      <x:c r="R362" s="58" t="n">
        <x:f>R350*'Commercial Inputs'!$B$25*$B$405</x:f>
        <x:v>7228.558785205362</x:v>
      </x:c>
      <x:c r="S362" s="58" t="n">
        <x:f>S350*'Commercial Inputs'!$B$25*$B$405</x:f>
        <x:v>7889.074866365425</x:v>
      </x:c>
      <x:c r="T362" s="58" t="n">
        <x:f>T350*'Commercial Inputs'!$B$25*$B$405</x:f>
        <x:v>8715.274223499939</x:v>
      </x:c>
      <x:c r="U362" s="58" t="n">
        <x:f>U350*'Commercial Inputs'!$B$25*$B$405</x:f>
        <x:v>9541.504784554349</x:v>
      </x:c>
      <x:c r="V362" s="58" t="n">
        <x:f>V350*'Commercial Inputs'!$B$25*$B$405</x:f>
        <x:v>10384.299485871687</x:v>
      </x:c>
      <x:c r="W362" s="58" t="n">
        <x:f>W350*'Commercial Inputs'!$B$25*$B$405</x:f>
        <x:v>11250.929421210481</x:v>
      </x:c>
      <x:c r="X362" s="58" t="n">
        <x:f>X350*'Commercial Inputs'!$B$25*$B$405</x:f>
        <x:v>12143.675645442592</x:v>
      </x:c>
      <x:c r="Y362" s="58" t="n">
        <x:f>Y350*'Commercial Inputs'!$B$25*$B$405</x:f>
        <x:v>13064.718935425788</x:v>
      </x:c>
      <x:c r="Z362" s="58" t="n">
        <x:f>Z350*'Commercial Inputs'!$B$25*$B$405</x:f>
        <x:v>14011.233612497143</x:v>
      </x:c>
      <x:c r="AA362" s="58" t="n">
        <x:f>AA350*'Commercial Inputs'!$B$25*$B$405</x:f>
        <x:v>14965.985118508013</x:v>
      </x:c>
      <x:c r="AB362" s="58" t="n">
        <x:f>AB350*'Commercial Inputs'!$B$25*$B$405</x:f>
        <x:v>15940.484691512624</x:v>
      </x:c>
      <x:c r="AC362" s="58" t="n">
        <x:f>AC350*'Commercial Inputs'!$B$25*$B$405</x:f>
        <x:v>16936.890780126625</x:v>
      </x:c>
      <x:c r="AD362" s="58" t="n">
        <x:f>AD350*'Commercial Inputs'!$B$25*$B$405</x:f>
        <x:v>17960.258918576943</x:v>
      </x:c>
      <x:c r="AE362" s="58" t="n">
        <x:f>AE350*'Commercial Inputs'!$B$25*$B$405</x:f>
        <x:v>19012.51209353002</x:v>
      </x:c>
      <x:c r="AF362" s="58" t="n">
        <x:f>AF350*'Commercial Inputs'!$B$25*$B$405</x:f>
        <x:v>20149.77541245836</x:v>
      </x:c>
      <x:c r="AG362" s="58" t="n">
        <x:f>AG350*'Commercial Inputs'!$B$25*$B$405</x:f>
        <x:v>21298.01320402538</x:v>
      </x:c>
      <x:c r="AH362" s="58" t="n">
        <x:f>AH350*'Commercial Inputs'!$B$25*$B$405</x:f>
        <x:v>22472.35632469959</x:v>
      </x:c>
      <x:c r="AI362" s="58" t="n">
        <x:f>AI350*'Commercial Inputs'!$B$25*$B$405</x:f>
        <x:v>23679.49508699662</x:v>
      </x:c>
      <x:c r="AJ362" s="58" t="n">
        <x:f>AJ350*'Commercial Inputs'!$B$25*$B$405</x:f>
        <x:v>24921.5657885894</x:v>
      </x:c>
      <x:c r="AK362" s="58" t="n">
        <x:f>AK350*'Commercial Inputs'!$B$25*$B$405</x:f>
        <x:v>26200.59969102204</x:v>
      </x:c>
    </x:row>
    <x:row r="363" ht="18" customHeight="1">
      <x:c r="A363" s="4" t="str">
        <x:v>Variable support/tools (INR)</x:v>
      </x:c>
      <x:c r="B363" s="58" t="n">
        <x:f>B349*'Commercial Inputs'!$B$28</x:f>
        <x:v>111.55</x:v>
      </x:c>
      <x:c r="C363" s="58" t="n">
        <x:f>C349*'Commercial Inputs'!$B$28</x:f>
        <x:v>220.173025</x:v>
      </x:c>
      <x:c r="D363" s="58" t="n">
        <x:f>D349*'Commercial Inputs'!$B$28</x:f>
        <x:v>333.2385469375</x:v>
      </x:c>
      <x:c r="E363" s="58" t="n">
        <x:f>E349*'Commercial Inputs'!$B$28</x:f>
        <x:v>492.95843979185</x:v>
      </x:c>
      <x:c r="F363" s="58" t="n">
        <x:f>F349*'Commercial Inputs'!$B$28</x:f>
        <x:v>657.7458544602432</x:v>
      </x:c>
      <x:c r="G363" s="58" t="n">
        <x:f>G349*'Commercial Inputs'!$B$28</x:f>
        <x:v>831.489287304454</x:v>
      </x:c>
      <x:c r="H363" s="58" t="n">
        <x:f>H349*'Commercial Inputs'!$B$28</x:f>
        <x:v>1100.688804945002</x:v>
      </x:c>
      <x:c r="I363" s="58" t="n">
        <x:f>I349*'Commercial Inputs'!$B$28</x:f>
        <x:v>1374.2219604381373</x:v>
      </x:c>
      <x:c r="J363" s="58" t="n">
        <x:f>J349*'Commercial Inputs'!$B$28</x:f>
        <x:v>1659.4242073671276</x:v>
      </x:c>
      <x:c r="K363" s="58" t="n">
        <x:f>K349*'Commercial Inputs'!$B$28</x:f>
        <x:v>1960.39029964817</x:v>
      </x:c>
      <x:c r="L363" s="58" t="n">
        <x:f>L349*'Commercial Inputs'!$B$28</x:f>
        <x:v>2279.584384838018</x:v>
      </x:c>
      <x:c r="M363" s="58" t="n">
        <x:f>M349*'Commercial Inputs'!$B$28</x:f>
        <x:v>2619.6824962330743</x:v>
      </x:c>
      <x:c r="N363" s="58" t="n">
        <x:f>N349*'Commercial Inputs'!$B$28</x:f>
        <x:v>3034.2707897722266</x:v>
      </x:c>
      <x:c r="O363" s="58" t="n">
        <x:f>O349*'Commercial Inputs'!$B$28</x:f>
        <x:v>3445.397720329543</x:v>
      </x:c>
      <x:c r="P363" s="58" t="n">
        <x:f>P349*'Commercial Inputs'!$B$28</x:f>
        <x:v>3862.7999938414837</x:v>
      </x:c>
      <x:c r="Q363" s="58" t="n">
        <x:f>Q349*'Commercial Inputs'!$B$28</x:f>
        <x:v>4265.78395314932</x:v>
      </x:c>
      <x:c r="R363" s="58" t="n">
        <x:f>R349*'Commercial Inputs'!$B$28</x:f>
        <x:v>4680.496493916966</x:v>
      </x:c>
      <x:c r="S363" s="58" t="n">
        <x:f>S349*'Commercial Inputs'!$B$28</x:f>
        <x:v>5108.181084152697</x:v>
      </x:c>
      <x:c r="T363" s="58" t="n">
        <x:f>T349*'Commercial Inputs'!$B$28</x:f>
        <x:v>5643.1457028619125</x:v>
      </x:c>
      <x:c r="U363" s="58" t="n">
        <x:f>U349*'Commercial Inputs'!$B$28</x:f>
        <x:v>6178.1305261294665</x:v>
      </x:c>
      <x:c r="V363" s="58" t="n">
        <x:f>V349*'Commercial Inputs'!$B$28</x:f>
        <x:v>6723.840640942558</x:v>
      </x:c>
      <x:c r="W363" s="58" t="n">
        <x:f>W349*'Commercial Inputs'!$B$28</x:f>
        <x:v>7284.984085217871</x:v>
      </x:c>
      <x:c r="X363" s="58" t="n">
        <x:f>X349*'Commercial Inputs'!$B$28</x:f>
        <x:v>7863.037843461921</x:v>
      </x:c>
      <x:c r="Y363" s="58" t="n">
        <x:f>Y349*'Commercial Inputs'!$B$28</x:f>
        <x:v>8459.413970102167</x:v>
      </x:c>
      <x:c r="Z363" s="58" t="n">
        <x:f>Z349*'Commercial Inputs'!$B$28</x:f>
        <x:v>9072.282836374736</x:v>
      </x:c>
      <x:c r="AA363" s="58" t="n">
        <x:f>AA349*'Commercial Inputs'!$B$28</x:f>
        <x:v>9690.485054718993</x:v>
      </x:c>
      <x:c r="AB363" s="58" t="n">
        <x:f>AB349*'Commercial Inputs'!$B$28</x:f>
        <x:v>10321.474159228583</x:v>
      </x:c>
      <x:c r="AC363" s="58" t="n">
        <x:f>AC349*'Commercial Inputs'!$B$28</x:f>
        <x:v>10966.647746779736</x:v>
      </x:c>
      <x:c r="AD363" s="58" t="n">
        <x:f>AD349*'Commercial Inputs'!$B$28</x:f>
        <x:v>11629.279279057848</x:v>
      </x:c>
      <x:c r="AE363" s="58" t="n">
        <x:f>AE349*'Commercial Inputs'!$B$28</x:f>
        <x:v>12310.613891174578</x:v>
      </x:c>
      <x:c r="AF363" s="58" t="n">
        <x:f>AF349*'Commercial Inputs'!$B$28</x:f>
        <x:v>13046.992626559413</x:v>
      </x:c>
      <x:c r="AG363" s="58" t="n">
        <x:f>AG349*'Commercial Inputs'!$B$28</x:f>
        <x:v>13790.477340083773</x:v>
      </x:c>
      <x:c r="AH363" s="58" t="n">
        <x:f>AH349*'Commercial Inputs'!$B$28</x:f>
        <x:v>14550.865271108254</x:v>
      </x:c>
      <x:c r="AI363" s="58" t="n">
        <x:f>AI349*'Commercial Inputs'!$B$28</x:f>
        <x:v>15332.488401318711</x:v>
      </x:c>
      <x:c r="AJ363" s="58" t="n">
        <x:f>AJ349*'Commercial Inputs'!$B$28</x:f>
        <x:v>16136.729984841619</x:v>
      </x:c>
      <x:c r="AK363" s="58" t="n">
        <x:f>AK349*'Commercial Inputs'!$B$28</x:f>
        <x:v>16964.905264842033</x:v>
      </x:c>
    </x:row>
    <x:row r="364" ht="18" customHeight="1">
      <x:c r="A364" s="4" t="str">
        <x:v>Total direct costs (INR)</x:v>
      </x:c>
      <x:c r="B364" s="58" t="n">
        <x:f>SUM(B359:B363)</x:f>
        <x:v>6287.083598474576</x:v>
      </x:c>
      <x:c r="C364" s="58" t="n">
        <x:f>SUM(C359:C363)</x:f>
        <x:v>7332.147998066016</x:v>
      </x:c>
      <x:c r="D364" s="58" t="n">
        <x:f>SUM(D359:D363)</x:f>
        <x:v>8432.410847318717</x:v>
      </x:c>
      <x:c r="E364" s="58" t="n">
        <x:f>SUM(E359:E363)</x:f>
        <x:v>11796.026136565795</x:v>
      </x:c>
      <x:c r="F364" s="58" t="n">
        <x:f>SUM(F359:F363)</x:f>
        <x:v>13279.129407890137</x:v>
      </x:c>
      <x:c r="G364" s="58" t="n">
        <x:f>SUM(G359:G363)</x:f>
        <x:v>14853.22981224661</x:v>
      </x:c>
      <x:c r="H364" s="58" t="n">
        <x:f>SUM(H359:H363)</x:f>
        <x:v>21273.02135008868</x:v>
      </x:c>
      <x:c r="I364" s="58" t="n">
        <x:f>SUM(I359:I363)</x:f>
        <x:v>23547.768387386746</x:v>
      </x:c>
      <x:c r="J364" s="58" t="n">
        <x:f>SUM(J359:J363)</x:f>
        <x:v>25936.014670969835</x:v>
      </x:c>
      <x:c r="K364" s="58" t="n">
        <x:f>SUM(K359:K363)</x:f>
        <x:v>28493.69411117224</x:v>
      </x:c>
      <x:c r="L364" s="58" t="n">
        <x:f>SUM(L359:L363)</x:f>
        <x:v>31250.129041601183</x:v>
      </x:c>
      <x:c r="M364" s="58" t="n">
        <x:f>SUM(M359:M363)</x:f>
        <x:v>34236.84428795217</x:v>
      </x:c>
      <x:c r="N364" s="58" t="n">
        <x:f>SUM(N359:N363)</x:f>
        <x:v>44877.28042200399</x:v>
      </x:c>
      <x:c r="O364" s="58" t="n">
        <x:f>SUM(O359:O363)</x:f>
        <x:v>48145.37655819135</x:v>
      </x:c>
      <x:c r="P364" s="58" t="n">
        <x:f>SUM(P359:P363)</x:f>
        <x:v>51470.039952929306</x:v>
      </x:c>
      <x:c r="Q364" s="58" t="n">
        <x:f>SUM(Q359:Q363)</x:f>
        <x:v>55100.18314168427</x:v>
      </x:c>
      <x:c r="R364" s="58" t="n">
        <x:f>SUM(R359:R363)</x:f>
        <x:v>58594.01152206051</x:v>
      </x:c>
      <x:c r="S364" s="58" t="n">
        <x:f>SUM(S359:S363)</x:f>
        <x:v>62250.566126891434</x:v>
      </x:c>
      <x:c r="T364" s="58" t="n">
        <x:f>SUM(T359:T363)</x:f>
        <x:v>74743.77730405319</x:v>
      </x:c>
      <x:c r="U364" s="58" t="n">
        <x:f>SUM(U359:U363)</x:f>
        <x:v>79339.00196603047</x:v>
      </x:c>
      <x:c r="V364" s="58" t="n">
        <x:f>SUM(V359:V363)</x:f>
        <x:v>84067.73838755395</x:v>
      </x:c>
      <x:c r="W364" s="58" t="n">
        <x:f>SUM(W359:W363)</x:f>
        <x:v>89007.59639915319</x:v>
      </x:c>
      <x:c r="X364" s="58" t="n">
        <x:f>SUM(X359:X363)</x:f>
        <x:v>94186.51531045117</x:v>
      </x:c>
      <x:c r="Y364" s="58" t="n">
        <x:f>SUM(Y359:Y363)</x:f>
        <x:v>99632.66364270562</x:v>
      </x:c>
      <x:c r="Z364" s="58" t="n">
        <x:f>SUM(Z359:Z363)</x:f>
        <x:v>110895.95930014922</x:v>
      </x:c>
      <x:c r="AA364" s="58" t="n">
        <x:f>SUM(AA359:AA363)</x:f>
        <x:v>116216.4358353682</x:v>
      </x:c>
      <x:c r="AB364" s="58" t="n">
        <x:f>SUM(AB359:AB363)</x:f>
        <x:v>121677.4052355651</x:v>
      </x:c>
      <x:c r="AC364" s="58" t="n">
        <x:f>SUM(AC359:AC363)</x:f>
        <x:v>127473.79737499087</x:v>
      </x:c>
      <x:c r="AD364" s="58" t="n">
        <x:f>SUM(AD359:AD363)</x:f>
        <x:v>133337.39867048865</x:v>
      </x:c>
      <x:c r="AE364" s="58" t="n">
        <x:f>SUM(AE359:AE363)</x:f>
        <x:v>139438.2096000651</x:v>
      </x:c>
      <x:c r="AF364" s="58" t="n">
        <x:f>SUM(AF359:AF363)</x:f>
        <x:v>154303.6219098503</x:v>
      </x:c>
      <x:c r="AG364" s="58" t="n">
        <x:f>SUM(AG359:AG363)</x:f>
        <x:v>161254.2940515185</x:v>
      </x:c>
      <x:c r="AH364" s="58" t="n">
        <x:f>SUM(AH359:AH363)</x:f>
        <x:v>168422.73619750564</x:v>
      </x:c>
      <x:c r="AI364" s="58" t="n">
        <x:f>SUM(AI359:AI363)</x:f>
        <x:v>175881.39395861758</x:v>
      </x:c>
      <x:c r="AJ364" s="58" t="n">
        <x:f>SUM(AJ359:AJ363)</x:f>
        <x:v>183657.3000626465</x:v>
      </x:c>
      <x:c r="AK364" s="58" t="n">
        <x:f>SUM(AK359:AK363)</x:f>
        <x:v>191777.42291317272</x:v>
      </x:c>
    </x:row>
    <x:row r="365" ht="18" customHeight="1">
      <x:c r="A365" s="74" t="str">
        <x:v>CONTRIBUTION BEFORE ACQUISITION / FIXED</x:v>
      </x:c>
      <x:c r="B365" s="75" t="n">
        <x:f>B353-B364</x:f>
        <x:v>-56.24328385593253</x:v>
      </x:c>
      <x:c r="C365" s="75" t="n">
        <x:f>C353-C364</x:f>
        <x:v>4666.265041547546</x:v>
      </x:c>
      <x:c r="D365" s="75" t="n">
        <x:f>D353-D364</x:f>
        <x:v>9444.519355118815</x:v>
      </x:c>
      <x:c r="E365" s="75" t="n">
        <x:f>E353-E364</x:f>
        <x:v>14485.759088593082</x:v>
      </x:c>
      <x:c r="F365" s="75" t="n">
        <x:f>F353-F364</x:f>
        <x:v>21505.47306025679</x:v>
      </x:c>
      <x:c r="G365" s="75" t="n">
        <x:f>G353-G364</x:f>
        <x:v>28811.500312071432</x:v>
      </x:c>
      <x:c r="H365" s="75" t="n">
        <x:f>H353-H364</x:f>
        <x:v>36500.961743069885</x:v>
      </x:c>
      <x:c r="I365" s="75" t="n">
        <x:f>I353-I364</x:f>
        <x:v>48245.84514813358</x:v>
      </x:c>
      <x:c r="J365" s="75" t="n">
        <x:f>J353-J364</x:f>
        <x:v>60332.808517364436</x:v>
      </x:c>
      <x:c r="K365" s="75" t="n">
        <x:f>K353-K364</x:f>
        <x:v>72980.38383045082</x:v>
      </x:c>
      <x:c r="L365" s="75" t="n">
        <x:f>L353-L364</x:f>
        <x:v>86293.55377942754</x:v>
      </x:c>
      <x:c r="M365" s="75" t="n">
        <x:f>M353-M364</x:f>
        <x:v>100384.37834388926</x:v>
      </x:c>
      <x:c r="N365" s="75" t="n">
        <x:f>N353-N364</x:f>
        <x:v>111426.95728843776</x:v>
      </x:c>
      <x:c r="O365" s="75" t="n">
        <x:f>O353-O364</x:f>
        <x:v>129189.07637851354</x:v>
      </x:c>
      <x:c r="P365" s="75" t="n">
        <x:f>P353-P364</x:f>
        <x:v>147014.12210898264</x:v>
      </x:c>
      <x:c r="Q365" s="75" t="n">
        <x:f>Q353-Q364</x:f>
        <x:v>163794.95060349331</x:v>
      </x:c>
      <x:c r="R365" s="75" t="n">
        <x:f>R353-R364</x:f>
        <x:v>181230.03791931336</x:v>
      </x:c>
      <x:c r="S365" s="75" t="n">
        <x:f>S353-S364</x:f>
        <x:v>199097.45402370254</x:v>
      </x:c>
      <x:c r="T365" s="75" t="n">
        <x:f>T353-T364</x:f>
        <x:v>214459.11503692152</x:v>
      </x:c>
      <x:c r="U365" s="75" t="n">
        <x:f>U353-U364</x:f>
        <x:v>237206.7930820232</x:v>
      </x:c>
      <x:c r="V365" s="75" t="n">
        <x:f>V353-V364</x:f>
        <x:v>260156.29659308156</x:v>
      </x:c>
      <x:c r="W365" s="75" t="n">
        <x:f>W353-W364</x:f>
        <x:v>283587.8651268568</x:v>
      </x:c>
      <x:c r="X365" s="75" t="n">
        <x:f>X353-X364</x:f>
        <x:v>307567.780461738</x:v>
      </x:c>
      <x:c r="Y365" s="75" t="n">
        <x:f>Y353-Y364</x:f>
        <x:v>332156.97761496226</x:v>
      </x:c>
      <x:c r="Z365" s="75" t="n">
        <x:f>Z353-Z364</x:f>
        <x:v>352432.200182959</x:v>
      </x:c>
      <x:c r="AA365" s="75" t="n">
        <x:f>AA353-AA364</x:f>
        <x:v>378538.7320772081</x:v>
      </x:c>
      <x:c r="AB365" s="75" t="n">
        <x:f>AB353-AB364</x:f>
        <x:v>404979.0006825822</x:v>
      </x:c>
      <x:c r="AC365" s="75" t="n">
        <x:f>AC353-AC364</x:f>
        <x:v>431717.0808679769</x:v>
      </x:c>
      <x:c r="AD365" s="75" t="n">
        <x:f>AD353-AD364</x:f>
        <x:v>459197.3485001152</x:v>
      </x:c>
      <x:c r="AE365" s="75" t="n">
        <x:f>AE353-AE364</x:f>
        <x:v>487327.880206443</x:v>
      </x:c>
      <x:c r="AF365" s="75" t="n">
        <x:f>AF353-AF364</x:f>
        <x:v>510462.3772722924</x:v>
      </x:c>
      <x:c r="AG365" s="75" t="n">
        <x:f>AG353-AG364</x:f>
        <x:v>541405.3059361358</x:v>
      </x:c>
      <x:c r="AH365" s="75" t="n">
        <x:f>AH353-AH364</x:f>
        <x:v>572799.2453306041</x:v>
      </x:c>
      <x:c r="AI365" s="75" t="n">
        <x:f>AI353-AI364</x:f>
        <x:v>604901.009954858</x:v>
      </x:c>
      <x:c r="AJ365" s="75" t="n">
        <x:f>AJ353-AJ364</x:f>
        <x:v>637772.4027963141</x:v>
      </x:c>
      <x:c r="AK365" s="75" t="n">
        <x:f>AK353-AK364</x:f>
        <x:v>671469.9977913133</x:v>
      </x:c>
    </x:row>
    <x:row r="366" ht="18" customHeight="1">
      <x:c r="A366" s="4" t="str">
        <x:v>Contribution margin (%)</x:v>
      </x:c>
      <x:c r="B366" s="62" t="n">
        <x:f>IFERROR(B365/B353,0)</x:f>
        <x:v>-0.009026596898010037</x:v>
      </x:c>
      <x:c r="C366" s="62" t="n">
        <x:f>IFERROR(C365/C353,0)</x:f>
        <x:v>0.3889068517762775</x:v>
      </x:c>
      <x:c r="D366" s="62" t="n">
        <x:f>IFERROR(D365/D353,0)</x:f>
        <x:v>0.5283076707337062</x:v>
      </x:c>
      <x:c r="E366" s="62" t="n">
        <x:f>IFERROR(E365/E353,0)</x:f>
        <x:v>0.5511710473429422</x:v>
      </x:c>
      <x:c r="F366" s="62" t="n">
        <x:f>IFERROR(F365/F353,0)</x:f>
        <x:v>0.6182469119763508</x:v>
      </x:c>
      <x:c r="G366" s="62" t="n">
        <x:f>IFERROR(G365/G353,0)</x:f>
        <x:v>0.659834613200221</x:v>
      </x:c>
      <x:c r="H366" s="62" t="n">
        <x:f>IFERROR(H365/H353,0)</x:f>
        <x:v>0.6317889089317823</x:v>
      </x:c>
      <x:c r="I366" s="62" t="n">
        <x:f>IFERROR(I365/I353,0)</x:f>
        <x:v>0.6720074777161572</x:v>
      </x:c>
      <x:c r="J366" s="62" t="n">
        <x:f>IFERROR(J365/J353,0)</x:f>
        <x:v>0.699358195551727</x:v>
      </x:c>
      <x:c r="K366" s="62" t="n">
        <x:f>IFERROR(K365/K353,0)</x:f>
        <x:v>0.7192022367765258</x:v>
      </x:c>
      <x:c r="L366" s="62" t="n">
        <x:f>IFERROR(L365/L353,0)</x:f>
        <x:v>0.7341402932798827</x:v>
      </x:c>
      <x:c r="M366" s="62" t="n">
        <x:f>IFERROR(M365/M353,0)</x:f>
        <x:v>0.74568018609085</x:v>
      </x:c>
      <x:c r="N366" s="62" t="n">
        <x:f>IFERROR(N365/N353,0)</x:f>
        <x:v>0.7128850690207101</x:v>
      </x:c>
      <x:c r="O366" s="62" t="n">
        <x:f>IFERROR(O365/O353,0)</x:f>
        <x:v>0.7285052297458766</x:v>
      </x:c>
      <x:c r="P366" s="62" t="n">
        <x:f>IFERROR(P365/P353,0)</x:f>
        <x:v>0.740684398098854</x:v>
      </x:c>
      <x:c r="Q366" s="62" t="n">
        <x:f>IFERROR(Q365/Q353,0)</x:f>
        <x:v>0.7482804564955379</x:v>
      </x:c>
      <x:c r="R366" s="62" t="n">
        <x:f>IFERROR(R365/R353,0)</x:f>
        <x:v>0.7556791670454046</x:v>
      </x:c>
      <x:c r="S366" s="62" t="n">
        <x:f>IFERROR(S365/S353,0)</x:f>
        <x:v>0.7618096892755437</x:v>
      </x:c>
      <x:c r="T366" s="62" t="n">
        <x:f>IFERROR(T365/T353,0)</x:f>
        <x:v>0.7415524557896568</x:v>
      </x:c>
      <x:c r="U366" s="62" t="n">
        <x:f>IFERROR(U365/U353,0)</x:f>
        <x:v>0.7493601140587374</x:v>
      </x:c>
      <x:c r="V366" s="62" t="n">
        <x:f>IFERROR(V365/V353,0)</x:f>
        <x:v>0.755776093925913</x:v>
      </x:c>
      <x:c r="W366" s="62" t="n">
        <x:f>IFERROR(W365/W353,0)</x:f>
        <x:v>0.7611146522434499</x:v>
      </x:c>
      <x:c r="X366" s="62" t="n">
        <x:f>IFERROR(X365/X353,0)</x:f>
        <x:v>0.765561896159889</x:v>
      </x:c>
      <x:c r="Y366" s="62" t="n">
        <x:f>IFERROR(Y365/Y353,0)</x:f>
        <x:v>0.7692564755548398</x:v>
      </x:c>
      <x:c r="Z366" s="62" t="n">
        <x:f>IFERROR(Z365/Z353,0)</x:f>
        <x:v>0.7606535302670456</x:v>
      </x:c>
      <x:c r="AA366" s="62" t="n">
        <x:f>IFERROR(AA365/AA353,0)</x:f>
        <x:v>0.7651031391431493</x:v>
      </x:c>
      <x:c r="AB366" s="62" t="n">
        <x:f>IFERROR(AB365/AB353,0)</x:f>
        <x:v>0.7689624509105921</x:v>
      </x:c>
      <x:c r="AC366" s="62" t="n">
        <x:f>IFERROR(AC365/AC353,0)</x:f>
        <x:v>0.7720388469577223</x:v>
      </x:c>
      <x:c r="AD366" s="62" t="n">
        <x:f>IFERROR(AD365/AD353,0)</x:f>
        <x:v>0.7749711737460389</x:v>
      </x:c>
      <x:c r="AE366" s="62" t="n">
        <x:f>IFERROR(AE365/AE353,0)</x:f>
        <x:v>0.7775275148610676</x:v>
      </x:c>
      <x:c r="AF366" s="62" t="n">
        <x:f>IFERROR(AF365/AF353,0)</x:f>
        <x:v>0.7678828007153058</x:v>
      </x:c>
      <x:c r="AG366" s="62" t="n">
        <x:f>IFERROR(AG365/AG353,0)</x:f>
        <x:v>0.7705086587383825</x:v>
      </x:c>
      <x:c r="AH366" s="62" t="n">
        <x:f>IFERROR(AH365/AH353,0)</x:f>
        <x:v>0.7727769272974288</x:v>
      </x:c>
      <x:c r="AI366" s="62" t="n">
        <x:f>IFERROR(AI365/AI353,0)</x:f>
        <x:v>0.7747369906429035</x:v>
      </x:c>
      <x:c r="AJ366" s="62" t="n">
        <x:f>IFERROR(AJ365/AJ353,0)</x:f>
        <x:v>0.7764175078848099</x:v>
      </x:c>
      <x:c r="AK366" s="62" t="n">
        <x:f>IFERROR(AK365/AK353,0)</x:f>
        <x:v>0.7778418813500011</x:v>
      </x:c>
    </x:row>
    <x:row r="367" ht="18" customHeight="1">
      <x:c r="A367" s="4" t="str">
        <x:v>Core operating overhead (INR)</x:v>
      </x:c>
      <x:c r="B367" s="60" t="n">
        <x:f>'Scenario Inputs'!$C$24</x:f>
        <x:v>10000</x:v>
      </x:c>
      <x:c r="C367" s="60" t="n">
        <x:f>'Scenario Inputs'!$C$24</x:f>
        <x:v>10000</x:v>
      </x:c>
      <x:c r="D367" s="60" t="n">
        <x:f>'Scenario Inputs'!$C$24</x:f>
        <x:v>10000</x:v>
      </x:c>
      <x:c r="E367" s="60" t="n">
        <x:f>'Scenario Inputs'!$C$24</x:f>
        <x:v>10000</x:v>
      </x:c>
      <x:c r="F367" s="60" t="n">
        <x:f>'Scenario Inputs'!$C$24</x:f>
        <x:v>10000</x:v>
      </x:c>
      <x:c r="G367" s="60" t="n">
        <x:f>'Scenario Inputs'!$C$24</x:f>
        <x:v>10000</x:v>
      </x:c>
      <x:c r="H367" s="60" t="n">
        <x:f>'Scenario Inputs'!$C$24</x:f>
        <x:v>10000</x:v>
      </x:c>
      <x:c r="I367" s="60" t="n">
        <x:f>'Scenario Inputs'!$C$24</x:f>
        <x:v>10000</x:v>
      </x:c>
      <x:c r="J367" s="60" t="n">
        <x:f>'Scenario Inputs'!$C$24</x:f>
        <x:v>10000</x:v>
      </x:c>
      <x:c r="K367" s="60" t="n">
        <x:f>'Scenario Inputs'!$C$24</x:f>
        <x:v>10000</x:v>
      </x:c>
      <x:c r="L367" s="60" t="n">
        <x:f>'Scenario Inputs'!$C$24</x:f>
        <x:v>10000</x:v>
      </x:c>
      <x:c r="M367" s="60" t="n">
        <x:f>'Scenario Inputs'!$C$24</x:f>
        <x:v>10000</x:v>
      </x:c>
      <x:c r="N367" s="60" t="n">
        <x:f>'Scenario Inputs'!$C$25</x:f>
        <x:v>15000</x:v>
      </x:c>
      <x:c r="O367" s="60" t="n">
        <x:f>'Scenario Inputs'!$C$25</x:f>
        <x:v>15000</x:v>
      </x:c>
      <x:c r="P367" s="60" t="n">
        <x:f>'Scenario Inputs'!$C$25</x:f>
        <x:v>15000</x:v>
      </x:c>
      <x:c r="Q367" s="60" t="n">
        <x:f>'Scenario Inputs'!$C$25</x:f>
        <x:v>15000</x:v>
      </x:c>
      <x:c r="R367" s="60" t="n">
        <x:f>'Scenario Inputs'!$C$25</x:f>
        <x:v>15000</x:v>
      </x:c>
      <x:c r="S367" s="60" t="n">
        <x:f>'Scenario Inputs'!$C$25</x:f>
        <x:v>15000</x:v>
      </x:c>
      <x:c r="T367" s="60" t="n">
        <x:f>'Scenario Inputs'!$C$25</x:f>
        <x:v>15000</x:v>
      </x:c>
      <x:c r="U367" s="60" t="n">
        <x:f>'Scenario Inputs'!$C$25</x:f>
        <x:v>15000</x:v>
      </x:c>
      <x:c r="V367" s="60" t="n">
        <x:f>'Scenario Inputs'!$C$25</x:f>
        <x:v>15000</x:v>
      </x:c>
      <x:c r="W367" s="60" t="n">
        <x:f>'Scenario Inputs'!$C$25</x:f>
        <x:v>15000</x:v>
      </x:c>
      <x:c r="X367" s="60" t="n">
        <x:f>'Scenario Inputs'!$C$25</x:f>
        <x:v>15000</x:v>
      </x:c>
      <x:c r="Y367" s="60" t="n">
        <x:f>'Scenario Inputs'!$C$25</x:f>
        <x:v>15000</x:v>
      </x:c>
      <x:c r="Z367" s="60" t="n">
        <x:f>'Scenario Inputs'!$C$26</x:f>
        <x:v>25000</x:v>
      </x:c>
      <x:c r="AA367" s="60" t="n">
        <x:f>'Scenario Inputs'!$C$26</x:f>
        <x:v>25000</x:v>
      </x:c>
      <x:c r="AB367" s="60" t="n">
        <x:f>'Scenario Inputs'!$C$26</x:f>
        <x:v>25000</x:v>
      </x:c>
      <x:c r="AC367" s="60" t="n">
        <x:f>'Scenario Inputs'!$C$26</x:f>
        <x:v>25000</x:v>
      </x:c>
      <x:c r="AD367" s="60" t="n">
        <x:f>'Scenario Inputs'!$C$26</x:f>
        <x:v>25000</x:v>
      </x:c>
      <x:c r="AE367" s="60" t="n">
        <x:f>'Scenario Inputs'!$C$26</x:f>
        <x:v>25000</x:v>
      </x:c>
      <x:c r="AF367" s="60" t="n">
        <x:f>'Scenario Inputs'!$C$26</x:f>
        <x:v>25000</x:v>
      </x:c>
      <x:c r="AG367" s="60" t="n">
        <x:f>'Scenario Inputs'!$C$26</x:f>
        <x:v>25000</x:v>
      </x:c>
      <x:c r="AH367" s="60" t="n">
        <x:f>'Scenario Inputs'!$C$26</x:f>
        <x:v>25000</x:v>
      </x:c>
      <x:c r="AI367" s="60" t="n">
        <x:f>'Scenario Inputs'!$C$26</x:f>
        <x:v>25000</x:v>
      </x:c>
      <x:c r="AJ367" s="60" t="n">
        <x:f>'Scenario Inputs'!$C$26</x:f>
        <x:v>25000</x:v>
      </x:c>
      <x:c r="AK367" s="60" t="n">
        <x:f>'Scenario Inputs'!$C$26</x:f>
        <x:v>25000</x:v>
      </x:c>
    </x:row>
    <x:row r="368" ht="18" customHeight="1">
      <x:c r="A368" s="4" t="str">
        <x:v>Scaled technical QA reserve (INR)</x:v>
      </x:c>
      <x:c r="B368" s="58" t="n">
        <x:f>IF(B349&gt;='Commercial Inputs'!$B$38,'Commercial Inputs'!$B$42,IF(B349&gt;='Commercial Inputs'!$B$37,'Commercial Inputs'!$B$41,IF(B349&gt;='Commercial Inputs'!$B$36,'Commercial Inputs'!$B$40,IF(B349&gt;='Commercial Inputs'!$B$35,'Commercial Inputs'!$B$39,0))))</x:f>
        <x:v>0</x:v>
      </x:c>
      <x:c r="C368" s="58" t="n">
        <x:f>IF(C349&gt;='Commercial Inputs'!$B$38,'Commercial Inputs'!$B$42,IF(C349&gt;='Commercial Inputs'!$B$37,'Commercial Inputs'!$B$41,IF(C349&gt;='Commercial Inputs'!$B$36,'Commercial Inputs'!$B$40,IF(C349&gt;='Commercial Inputs'!$B$35,'Commercial Inputs'!$B$39,0))))</x:f>
        <x:v>0</x:v>
      </x:c>
      <x:c r="D368" s="58" t="n">
        <x:f>IF(D349&gt;='Commercial Inputs'!$B$38,'Commercial Inputs'!$B$42,IF(D349&gt;='Commercial Inputs'!$B$37,'Commercial Inputs'!$B$41,IF(D349&gt;='Commercial Inputs'!$B$36,'Commercial Inputs'!$B$40,IF(D349&gt;='Commercial Inputs'!$B$35,'Commercial Inputs'!$B$39,0))))</x:f>
        <x:v>0</x:v>
      </x:c>
      <x:c r="E368" s="58" t="n">
        <x:f>IF(E349&gt;='Commercial Inputs'!$B$38,'Commercial Inputs'!$B$42,IF(E349&gt;='Commercial Inputs'!$B$37,'Commercial Inputs'!$B$41,IF(E349&gt;='Commercial Inputs'!$B$36,'Commercial Inputs'!$B$40,IF(E349&gt;='Commercial Inputs'!$B$35,'Commercial Inputs'!$B$39,0))))</x:f>
        <x:v>0</x:v>
      </x:c>
      <x:c r="F368" s="58" t="n">
        <x:f>IF(F349&gt;='Commercial Inputs'!$B$38,'Commercial Inputs'!$B$42,IF(F349&gt;='Commercial Inputs'!$B$37,'Commercial Inputs'!$B$41,IF(F349&gt;='Commercial Inputs'!$B$36,'Commercial Inputs'!$B$40,IF(F349&gt;='Commercial Inputs'!$B$35,'Commercial Inputs'!$B$39,0))))</x:f>
        <x:v>0</x:v>
      </x:c>
      <x:c r="G368" s="58" t="n">
        <x:f>IF(G349&gt;='Commercial Inputs'!$B$38,'Commercial Inputs'!$B$42,IF(G349&gt;='Commercial Inputs'!$B$37,'Commercial Inputs'!$B$41,IF(G349&gt;='Commercial Inputs'!$B$36,'Commercial Inputs'!$B$40,IF(G349&gt;='Commercial Inputs'!$B$35,'Commercial Inputs'!$B$39,0))))</x:f>
        <x:v>0</x:v>
      </x:c>
      <x:c r="H368" s="58" t="n">
        <x:f>IF(H349&gt;='Commercial Inputs'!$B$38,'Commercial Inputs'!$B$42,IF(H349&gt;='Commercial Inputs'!$B$37,'Commercial Inputs'!$B$41,IF(H349&gt;='Commercial Inputs'!$B$36,'Commercial Inputs'!$B$40,IF(H349&gt;='Commercial Inputs'!$B$35,'Commercial Inputs'!$B$39,0))))</x:f>
        <x:v>0</x:v>
      </x:c>
      <x:c r="I368" s="58" t="n">
        <x:f>IF(I349&gt;='Commercial Inputs'!$B$38,'Commercial Inputs'!$B$42,IF(I349&gt;='Commercial Inputs'!$B$37,'Commercial Inputs'!$B$41,IF(I349&gt;='Commercial Inputs'!$B$36,'Commercial Inputs'!$B$40,IF(I349&gt;='Commercial Inputs'!$B$35,'Commercial Inputs'!$B$39,0))))</x:f>
        <x:v>0</x:v>
      </x:c>
      <x:c r="J368" s="58" t="n">
        <x:f>IF(J349&gt;='Commercial Inputs'!$B$38,'Commercial Inputs'!$B$42,IF(J349&gt;='Commercial Inputs'!$B$37,'Commercial Inputs'!$B$41,IF(J349&gt;='Commercial Inputs'!$B$36,'Commercial Inputs'!$B$40,IF(J349&gt;='Commercial Inputs'!$B$35,'Commercial Inputs'!$B$39,0))))</x:f>
        <x:v>0</x:v>
      </x:c>
      <x:c r="K368" s="58" t="n">
        <x:f>IF(K349&gt;='Commercial Inputs'!$B$38,'Commercial Inputs'!$B$42,IF(K349&gt;='Commercial Inputs'!$B$37,'Commercial Inputs'!$B$41,IF(K349&gt;='Commercial Inputs'!$B$36,'Commercial Inputs'!$B$40,IF(K349&gt;='Commercial Inputs'!$B$35,'Commercial Inputs'!$B$39,0))))</x:f>
        <x:v>0</x:v>
      </x:c>
      <x:c r="L368" s="58" t="n">
        <x:f>IF(L349&gt;='Commercial Inputs'!$B$38,'Commercial Inputs'!$B$42,IF(L349&gt;='Commercial Inputs'!$B$37,'Commercial Inputs'!$B$41,IF(L349&gt;='Commercial Inputs'!$B$36,'Commercial Inputs'!$B$40,IF(L349&gt;='Commercial Inputs'!$B$35,'Commercial Inputs'!$B$39,0))))</x:f>
        <x:v>0</x:v>
      </x:c>
      <x:c r="M368" s="58" t="n">
        <x:f>IF(M349&gt;='Commercial Inputs'!$B$38,'Commercial Inputs'!$B$42,IF(M349&gt;='Commercial Inputs'!$B$37,'Commercial Inputs'!$B$41,IF(M349&gt;='Commercial Inputs'!$B$36,'Commercial Inputs'!$B$40,IF(M349&gt;='Commercial Inputs'!$B$35,'Commercial Inputs'!$B$39,0))))</x:f>
        <x:v>10000</x:v>
      </x:c>
      <x:c r="N368" s="58" t="n">
        <x:f>IF(N349&gt;='Commercial Inputs'!$B$38,'Commercial Inputs'!$B$42,IF(N349&gt;='Commercial Inputs'!$B$37,'Commercial Inputs'!$B$41,IF(N349&gt;='Commercial Inputs'!$B$36,'Commercial Inputs'!$B$40,IF(N349&gt;='Commercial Inputs'!$B$35,'Commercial Inputs'!$B$39,0))))</x:f>
        <x:v>10000</x:v>
      </x:c>
      <x:c r="O368" s="58" t="n">
        <x:f>IF(O349&gt;='Commercial Inputs'!$B$38,'Commercial Inputs'!$B$42,IF(O349&gt;='Commercial Inputs'!$B$37,'Commercial Inputs'!$B$41,IF(O349&gt;='Commercial Inputs'!$B$36,'Commercial Inputs'!$B$40,IF(O349&gt;='Commercial Inputs'!$B$35,'Commercial Inputs'!$B$39,0))))</x:f>
        <x:v>10000</x:v>
      </x:c>
      <x:c r="P368" s="58" t="n">
        <x:f>IF(P349&gt;='Commercial Inputs'!$B$38,'Commercial Inputs'!$B$42,IF(P349&gt;='Commercial Inputs'!$B$37,'Commercial Inputs'!$B$41,IF(P349&gt;='Commercial Inputs'!$B$36,'Commercial Inputs'!$B$40,IF(P349&gt;='Commercial Inputs'!$B$35,'Commercial Inputs'!$B$39,0))))</x:f>
        <x:v>10000</x:v>
      </x:c>
      <x:c r="Q368" s="58" t="n">
        <x:f>IF(Q349&gt;='Commercial Inputs'!$B$38,'Commercial Inputs'!$B$42,IF(Q349&gt;='Commercial Inputs'!$B$37,'Commercial Inputs'!$B$41,IF(Q349&gt;='Commercial Inputs'!$B$36,'Commercial Inputs'!$B$40,IF(Q349&gt;='Commercial Inputs'!$B$35,'Commercial Inputs'!$B$39,0))))</x:f>
        <x:v>10000</x:v>
      </x:c>
      <x:c r="R368" s="58" t="n">
        <x:f>IF(R349&gt;='Commercial Inputs'!$B$38,'Commercial Inputs'!$B$42,IF(R349&gt;='Commercial Inputs'!$B$37,'Commercial Inputs'!$B$41,IF(R349&gt;='Commercial Inputs'!$B$36,'Commercial Inputs'!$B$40,IF(R349&gt;='Commercial Inputs'!$B$35,'Commercial Inputs'!$B$39,0))))</x:f>
        <x:v>10000</x:v>
      </x:c>
      <x:c r="S368" s="58" t="n">
        <x:f>IF(S349&gt;='Commercial Inputs'!$B$38,'Commercial Inputs'!$B$42,IF(S349&gt;='Commercial Inputs'!$B$37,'Commercial Inputs'!$B$41,IF(S349&gt;='Commercial Inputs'!$B$36,'Commercial Inputs'!$B$40,IF(S349&gt;='Commercial Inputs'!$B$35,'Commercial Inputs'!$B$39,0))))</x:f>
        <x:v>10000</x:v>
      </x:c>
      <x:c r="T368" s="58" t="n">
        <x:f>IF(T349&gt;='Commercial Inputs'!$B$38,'Commercial Inputs'!$B$42,IF(T349&gt;='Commercial Inputs'!$B$37,'Commercial Inputs'!$B$41,IF(T349&gt;='Commercial Inputs'!$B$36,'Commercial Inputs'!$B$40,IF(T349&gt;='Commercial Inputs'!$B$35,'Commercial Inputs'!$B$39,0))))</x:f>
        <x:v>10000</x:v>
      </x:c>
      <x:c r="U368" s="58" t="n">
        <x:f>IF(U349&gt;='Commercial Inputs'!$B$38,'Commercial Inputs'!$B$42,IF(U349&gt;='Commercial Inputs'!$B$37,'Commercial Inputs'!$B$41,IF(U349&gt;='Commercial Inputs'!$B$36,'Commercial Inputs'!$B$40,IF(U349&gt;='Commercial Inputs'!$B$35,'Commercial Inputs'!$B$39,0))))</x:f>
        <x:v>10000</x:v>
      </x:c>
      <x:c r="V368" s="58" t="n">
        <x:f>IF(V349&gt;='Commercial Inputs'!$B$38,'Commercial Inputs'!$B$42,IF(V349&gt;='Commercial Inputs'!$B$37,'Commercial Inputs'!$B$41,IF(V349&gt;='Commercial Inputs'!$B$36,'Commercial Inputs'!$B$40,IF(V349&gt;='Commercial Inputs'!$B$35,'Commercial Inputs'!$B$39,0))))</x:f>
        <x:v>10000</x:v>
      </x:c>
      <x:c r="W368" s="58" t="n">
        <x:f>IF(W349&gt;='Commercial Inputs'!$B$38,'Commercial Inputs'!$B$42,IF(W349&gt;='Commercial Inputs'!$B$37,'Commercial Inputs'!$B$41,IF(W349&gt;='Commercial Inputs'!$B$36,'Commercial Inputs'!$B$40,IF(W349&gt;='Commercial Inputs'!$B$35,'Commercial Inputs'!$B$39,0))))</x:f>
        <x:v>10000</x:v>
      </x:c>
      <x:c r="X368" s="58" t="n">
        <x:f>IF(X349&gt;='Commercial Inputs'!$B$38,'Commercial Inputs'!$B$42,IF(X349&gt;='Commercial Inputs'!$B$37,'Commercial Inputs'!$B$41,IF(X349&gt;='Commercial Inputs'!$B$36,'Commercial Inputs'!$B$40,IF(X349&gt;='Commercial Inputs'!$B$35,'Commercial Inputs'!$B$39,0))))</x:f>
        <x:v>25000</x:v>
      </x:c>
      <x:c r="Y368" s="58" t="n">
        <x:f>IF(Y349&gt;='Commercial Inputs'!$B$38,'Commercial Inputs'!$B$42,IF(Y349&gt;='Commercial Inputs'!$B$37,'Commercial Inputs'!$B$41,IF(Y349&gt;='Commercial Inputs'!$B$36,'Commercial Inputs'!$B$40,IF(Y349&gt;='Commercial Inputs'!$B$35,'Commercial Inputs'!$B$39,0))))</x:f>
        <x:v>25000</x:v>
      </x:c>
      <x:c r="Z368" s="58" t="n">
        <x:f>IF(Z349&gt;='Commercial Inputs'!$B$38,'Commercial Inputs'!$B$42,IF(Z349&gt;='Commercial Inputs'!$B$37,'Commercial Inputs'!$B$41,IF(Z349&gt;='Commercial Inputs'!$B$36,'Commercial Inputs'!$B$40,IF(Z349&gt;='Commercial Inputs'!$B$35,'Commercial Inputs'!$B$39,0))))</x:f>
        <x:v>25000</x:v>
      </x:c>
      <x:c r="AA368" s="58" t="n">
        <x:f>IF(AA349&gt;='Commercial Inputs'!$B$38,'Commercial Inputs'!$B$42,IF(AA349&gt;='Commercial Inputs'!$B$37,'Commercial Inputs'!$B$41,IF(AA349&gt;='Commercial Inputs'!$B$36,'Commercial Inputs'!$B$40,IF(AA349&gt;='Commercial Inputs'!$B$35,'Commercial Inputs'!$B$39,0))))</x:f>
        <x:v>25000</x:v>
      </x:c>
      <x:c r="AB368" s="58" t="n">
        <x:f>IF(AB349&gt;='Commercial Inputs'!$B$38,'Commercial Inputs'!$B$42,IF(AB349&gt;='Commercial Inputs'!$B$37,'Commercial Inputs'!$B$41,IF(AB349&gt;='Commercial Inputs'!$B$36,'Commercial Inputs'!$B$40,IF(AB349&gt;='Commercial Inputs'!$B$35,'Commercial Inputs'!$B$39,0))))</x:f>
        <x:v>25000</x:v>
      </x:c>
      <x:c r="AC368" s="58" t="n">
        <x:f>IF(AC349&gt;='Commercial Inputs'!$B$38,'Commercial Inputs'!$B$42,IF(AC349&gt;='Commercial Inputs'!$B$37,'Commercial Inputs'!$B$41,IF(AC349&gt;='Commercial Inputs'!$B$36,'Commercial Inputs'!$B$40,IF(AC349&gt;='Commercial Inputs'!$B$35,'Commercial Inputs'!$B$39,0))))</x:f>
        <x:v>25000</x:v>
      </x:c>
      <x:c r="AD368" s="58" t="n">
        <x:f>IF(AD349&gt;='Commercial Inputs'!$B$38,'Commercial Inputs'!$B$42,IF(AD349&gt;='Commercial Inputs'!$B$37,'Commercial Inputs'!$B$41,IF(AD349&gt;='Commercial Inputs'!$B$36,'Commercial Inputs'!$B$40,IF(AD349&gt;='Commercial Inputs'!$B$35,'Commercial Inputs'!$B$39,0))))</x:f>
        <x:v>25000</x:v>
      </x:c>
      <x:c r="AE368" s="58" t="n">
        <x:f>IF(AE349&gt;='Commercial Inputs'!$B$38,'Commercial Inputs'!$B$42,IF(AE349&gt;='Commercial Inputs'!$B$37,'Commercial Inputs'!$B$41,IF(AE349&gt;='Commercial Inputs'!$B$36,'Commercial Inputs'!$B$40,IF(AE349&gt;='Commercial Inputs'!$B$35,'Commercial Inputs'!$B$39,0))))</x:f>
        <x:v>25000</x:v>
      </x:c>
      <x:c r="AF368" s="58" t="n">
        <x:f>IF(AF349&gt;='Commercial Inputs'!$B$38,'Commercial Inputs'!$B$42,IF(AF349&gt;='Commercial Inputs'!$B$37,'Commercial Inputs'!$B$41,IF(AF349&gt;='Commercial Inputs'!$B$36,'Commercial Inputs'!$B$40,IF(AF349&gt;='Commercial Inputs'!$B$35,'Commercial Inputs'!$B$39,0))))</x:f>
        <x:v>25000</x:v>
      </x:c>
      <x:c r="AG368" s="58" t="n">
        <x:f>IF(AG349&gt;='Commercial Inputs'!$B$38,'Commercial Inputs'!$B$42,IF(AG349&gt;='Commercial Inputs'!$B$37,'Commercial Inputs'!$B$41,IF(AG349&gt;='Commercial Inputs'!$B$36,'Commercial Inputs'!$B$40,IF(AG349&gt;='Commercial Inputs'!$B$35,'Commercial Inputs'!$B$39,0))))</x:f>
        <x:v>25000</x:v>
      </x:c>
      <x:c r="AH368" s="58" t="n">
        <x:f>IF(AH349&gt;='Commercial Inputs'!$B$38,'Commercial Inputs'!$B$42,IF(AH349&gt;='Commercial Inputs'!$B$37,'Commercial Inputs'!$B$41,IF(AH349&gt;='Commercial Inputs'!$B$36,'Commercial Inputs'!$B$40,IF(AH349&gt;='Commercial Inputs'!$B$35,'Commercial Inputs'!$B$39,0))))</x:f>
        <x:v>25000</x:v>
      </x:c>
      <x:c r="AI368" s="58" t="n">
        <x:f>IF(AI349&gt;='Commercial Inputs'!$B$38,'Commercial Inputs'!$B$42,IF(AI349&gt;='Commercial Inputs'!$B$37,'Commercial Inputs'!$B$41,IF(AI349&gt;='Commercial Inputs'!$B$36,'Commercial Inputs'!$B$40,IF(AI349&gt;='Commercial Inputs'!$B$35,'Commercial Inputs'!$B$39,0))))</x:f>
        <x:v>25000</x:v>
      </x:c>
      <x:c r="AJ368" s="58" t="n">
        <x:f>IF(AJ349&gt;='Commercial Inputs'!$B$38,'Commercial Inputs'!$B$42,IF(AJ349&gt;='Commercial Inputs'!$B$37,'Commercial Inputs'!$B$41,IF(AJ349&gt;='Commercial Inputs'!$B$36,'Commercial Inputs'!$B$40,IF(AJ349&gt;='Commercial Inputs'!$B$35,'Commercial Inputs'!$B$39,0))))</x:f>
        <x:v>25000</x:v>
      </x:c>
      <x:c r="AK368" s="58" t="n">
        <x:f>IF(AK349&gt;='Commercial Inputs'!$B$38,'Commercial Inputs'!$B$42,IF(AK349&gt;='Commercial Inputs'!$B$37,'Commercial Inputs'!$B$41,IF(AK349&gt;='Commercial Inputs'!$B$36,'Commercial Inputs'!$B$40,IF(AK349&gt;='Commercial Inputs'!$B$35,'Commercial Inputs'!$B$39,0))))</x:f>
        <x:v>25000</x:v>
      </x:c>
    </x:row>
    <x:row r="369" ht="18" customHeight="1">
      <x:c r="A369" s="4" t="str">
        <x:v>Founder cash pay (INR)</x:v>
      </x:c>
      <x:c r="B369" s="60" t="n">
        <x:f>'Commercial Inputs'!$B$32</x:f>
        <x:v>0</x:v>
      </x:c>
      <x:c r="C369" s="60" t="n">
        <x:f>'Commercial Inputs'!$B$32</x:f>
        <x:v>0</x:v>
      </x:c>
      <x:c r="D369" s="60" t="n">
        <x:f>'Commercial Inputs'!$B$32</x:f>
        <x:v>0</x:v>
      </x:c>
      <x:c r="E369" s="60" t="n">
        <x:f>'Commercial Inputs'!$B$32</x:f>
        <x:v>0</x:v>
      </x:c>
      <x:c r="F369" s="60" t="n">
        <x:f>'Commercial Inputs'!$B$32</x:f>
        <x:v>0</x:v>
      </x:c>
      <x:c r="G369" s="60" t="n">
        <x:f>'Commercial Inputs'!$B$32</x:f>
        <x:v>0</x:v>
      </x:c>
      <x:c r="H369" s="60" t="n">
        <x:f>'Commercial Inputs'!$B$32</x:f>
        <x:v>0</x:v>
      </x:c>
      <x:c r="I369" s="60" t="n">
        <x:f>'Commercial Inputs'!$B$32</x:f>
        <x:v>0</x:v>
      </x:c>
      <x:c r="J369" s="60" t="n">
        <x:f>'Commercial Inputs'!$B$32</x:f>
        <x:v>0</x:v>
      </x:c>
      <x:c r="K369" s="60" t="n">
        <x:f>'Commercial Inputs'!$B$32</x:f>
        <x:v>0</x:v>
      </x:c>
      <x:c r="L369" s="60" t="n">
        <x:f>'Commercial Inputs'!$B$32</x:f>
        <x:v>0</x:v>
      </x:c>
      <x:c r="M369" s="60" t="n">
        <x:f>'Commercial Inputs'!$B$32</x:f>
        <x:v>0</x:v>
      </x:c>
      <x:c r="N369" s="60" t="n">
        <x:f>'Commercial Inputs'!$B$32</x:f>
        <x:v>0</x:v>
      </x:c>
      <x:c r="O369" s="60" t="n">
        <x:f>'Commercial Inputs'!$B$32</x:f>
        <x:v>0</x:v>
      </x:c>
      <x:c r="P369" s="60" t="n">
        <x:f>'Commercial Inputs'!$B$32</x:f>
        <x:v>0</x:v>
      </x:c>
      <x:c r="Q369" s="60" t="n">
        <x:f>'Commercial Inputs'!$B$32</x:f>
        <x:v>0</x:v>
      </x:c>
      <x:c r="R369" s="60" t="n">
        <x:f>'Commercial Inputs'!$B$32</x:f>
        <x:v>0</x:v>
      </x:c>
      <x:c r="S369" s="60" t="n">
        <x:f>'Commercial Inputs'!$B$32</x:f>
        <x:v>0</x:v>
      </x:c>
      <x:c r="T369" s="60" t="n">
        <x:f>'Commercial Inputs'!$B$32</x:f>
        <x:v>0</x:v>
      </x:c>
      <x:c r="U369" s="60" t="n">
        <x:f>'Commercial Inputs'!$B$32</x:f>
        <x:v>0</x:v>
      </x:c>
      <x:c r="V369" s="60" t="n">
        <x:f>'Commercial Inputs'!$B$32</x:f>
        <x:v>0</x:v>
      </x:c>
      <x:c r="W369" s="60" t="n">
        <x:f>'Commercial Inputs'!$B$32</x:f>
        <x:v>0</x:v>
      </x:c>
      <x:c r="X369" s="60" t="n">
        <x:f>'Commercial Inputs'!$B$32</x:f>
        <x:v>0</x:v>
      </x:c>
      <x:c r="Y369" s="60" t="n">
        <x:f>'Commercial Inputs'!$B$32</x:f>
        <x:v>0</x:v>
      </x:c>
      <x:c r="Z369" s="60" t="n">
        <x:f>'Commercial Inputs'!$B$32</x:f>
        <x:v>0</x:v>
      </x:c>
      <x:c r="AA369" s="60" t="n">
        <x:f>'Commercial Inputs'!$B$32</x:f>
        <x:v>0</x:v>
      </x:c>
      <x:c r="AB369" s="60" t="n">
        <x:f>'Commercial Inputs'!$B$32</x:f>
        <x:v>0</x:v>
      </x:c>
      <x:c r="AC369" s="60" t="n">
        <x:f>'Commercial Inputs'!$B$32</x:f>
        <x:v>0</x:v>
      </x:c>
      <x:c r="AD369" s="60" t="n">
        <x:f>'Commercial Inputs'!$B$32</x:f>
        <x:v>0</x:v>
      </x:c>
      <x:c r="AE369" s="60" t="n">
        <x:f>'Commercial Inputs'!$B$32</x:f>
        <x:v>0</x:v>
      </x:c>
      <x:c r="AF369" s="60" t="n">
        <x:f>'Commercial Inputs'!$B$32</x:f>
        <x:v>0</x:v>
      </x:c>
      <x:c r="AG369" s="60" t="n">
        <x:f>'Commercial Inputs'!$B$32</x:f>
        <x:v>0</x:v>
      </x:c>
      <x:c r="AH369" s="60" t="n">
        <x:f>'Commercial Inputs'!$B$32</x:f>
        <x:v>0</x:v>
      </x:c>
      <x:c r="AI369" s="60" t="n">
        <x:f>'Commercial Inputs'!$B$32</x:f>
        <x:v>0</x:v>
      </x:c>
      <x:c r="AJ369" s="60" t="n">
        <x:f>'Commercial Inputs'!$B$32</x:f>
        <x:v>0</x:v>
      </x:c>
      <x:c r="AK369" s="60" t="n">
        <x:f>'Commercial Inputs'!$B$32</x:f>
        <x:v>0</x:v>
      </x:c>
    </x:row>
    <x:row r="370" ht="18" customHeight="1">
      <x:c r="A370" s="4" t="str">
        <x:v>One-time launch expense (INR)</x:v>
      </x:c>
      <x:c r="B370" s="60" t="n">
        <x:f>'Commercial Inputs'!$B$30</x:f>
        <x:v>20000</x:v>
      </x:c>
      <x:c r="C370" s="60" t="n">
        <x:f>0</x:f>
        <x:v>0</x:v>
      </x:c>
      <x:c r="D370" s="60" t="n">
        <x:f>0</x:f>
        <x:v>0</x:v>
      </x:c>
      <x:c r="E370" s="60" t="n">
        <x:f>0</x:f>
        <x:v>0</x:v>
      </x:c>
      <x:c r="F370" s="60" t="n">
        <x:f>0</x:f>
        <x:v>0</x:v>
      </x:c>
      <x:c r="G370" s="60" t="n">
        <x:f>0</x:f>
        <x:v>0</x:v>
      </x:c>
      <x:c r="H370" s="60" t="n">
        <x:f>0</x:f>
        <x:v>0</x:v>
      </x:c>
      <x:c r="I370" s="60" t="n">
        <x:f>0</x:f>
        <x:v>0</x:v>
      </x:c>
      <x:c r="J370" s="60" t="n">
        <x:f>0</x:f>
        <x:v>0</x:v>
      </x:c>
      <x:c r="K370" s="60" t="n">
        <x:f>0</x:f>
        <x:v>0</x:v>
      </x:c>
      <x:c r="L370" s="60" t="n">
        <x:f>0</x:f>
        <x:v>0</x:v>
      </x:c>
      <x:c r="M370" s="60" t="n">
        <x:f>0</x:f>
        <x:v>0</x:v>
      </x:c>
      <x:c r="N370" s="60" t="n">
        <x:f>0</x:f>
        <x:v>0</x:v>
      </x:c>
      <x:c r="O370" s="60" t="n">
        <x:f>0</x:f>
        <x:v>0</x:v>
      </x:c>
      <x:c r="P370" s="60" t="n">
        <x:f>0</x:f>
        <x:v>0</x:v>
      </x:c>
      <x:c r="Q370" s="60" t="n">
        <x:f>0</x:f>
        <x:v>0</x:v>
      </x:c>
      <x:c r="R370" s="60" t="n">
        <x:f>0</x:f>
        <x:v>0</x:v>
      </x:c>
      <x:c r="S370" s="60" t="n">
        <x:f>0</x:f>
        <x:v>0</x:v>
      </x:c>
      <x:c r="T370" s="60" t="n">
        <x:f>0</x:f>
        <x:v>0</x:v>
      </x:c>
      <x:c r="U370" s="60" t="n">
        <x:f>0</x:f>
        <x:v>0</x:v>
      </x:c>
      <x:c r="V370" s="60" t="n">
        <x:f>0</x:f>
        <x:v>0</x:v>
      </x:c>
      <x:c r="W370" s="60" t="n">
        <x:f>0</x:f>
        <x:v>0</x:v>
      </x:c>
      <x:c r="X370" s="60" t="n">
        <x:f>0</x:f>
        <x:v>0</x:v>
      </x:c>
      <x:c r="Y370" s="60" t="n">
        <x:f>0</x:f>
        <x:v>0</x:v>
      </x:c>
      <x:c r="Z370" s="60" t="n">
        <x:f>0</x:f>
        <x:v>0</x:v>
      </x:c>
      <x:c r="AA370" s="60" t="n">
        <x:f>0</x:f>
        <x:v>0</x:v>
      </x:c>
      <x:c r="AB370" s="60" t="n">
        <x:f>0</x:f>
        <x:v>0</x:v>
      </x:c>
      <x:c r="AC370" s="60" t="n">
        <x:f>0</x:f>
        <x:v>0</x:v>
      </x:c>
      <x:c r="AD370" s="60" t="n">
        <x:f>0</x:f>
        <x:v>0</x:v>
      </x:c>
      <x:c r="AE370" s="60" t="n">
        <x:f>0</x:f>
        <x:v>0</x:v>
      </x:c>
      <x:c r="AF370" s="60" t="n">
        <x:f>0</x:f>
        <x:v>0</x:v>
      </x:c>
      <x:c r="AG370" s="60" t="n">
        <x:f>0</x:f>
        <x:v>0</x:v>
      </x:c>
      <x:c r="AH370" s="60" t="n">
        <x:f>0</x:f>
        <x:v>0</x:v>
      </x:c>
      <x:c r="AI370" s="60" t="n">
        <x:f>0</x:f>
        <x:v>0</x:v>
      </x:c>
      <x:c r="AJ370" s="60" t="n">
        <x:f>0</x:f>
        <x:v>0</x:v>
      </x:c>
      <x:c r="AK370" s="60" t="n">
        <x:f>0</x:f>
        <x:v>0</x:v>
      </x:c>
    </x:row>
    <x:row r="371" ht="18" customHeight="1">
      <x:c r="A371" s="74" t="str">
        <x:v>OPERATING PROFIT BEFORE INCOME TAX</x:v>
      </x:c>
      <x:c r="B371" s="75" t="n">
        <x:f>B365-B331-SUM(B367:B370)</x:f>
        <x:v>-42556.24328385593</x:v>
      </x:c>
      <x:c r="C371" s="75" t="n">
        <x:f>C365-C331-SUM(C367:C370)</x:f>
        <x:v>-17833.734958452453</x:v>
      </x:c>
      <x:c r="D371" s="75" t="n">
        <x:f>D365-D331-SUM(D367:D370)</x:f>
        <x:v>-13055.480644881185</x:v>
      </x:c>
      <x:c r="E371" s="75" t="n">
        <x:f>E365-E331-SUM(E367:E370)</x:f>
        <x:v>-15514.240911406918</x:v>
      </x:c>
      <x:c r="F371" s="75" t="n">
        <x:f>F365-F331-SUM(F367:F370)</x:f>
        <x:v>-8494.52693974321</x:v>
      </x:c>
      <x:c r="G371" s="75" t="n">
        <x:f>G365-G331-SUM(G367:G370)</x:f>
        <x:v>-1188.4996879285682</x:v>
      </x:c>
      <x:c r="H371" s="75" t="n">
        <x:f>H365-H331-SUM(H367:H370)</x:f>
        <x:v>-9749.038256930115</x:v>
      </x:c>
      <x:c r="I371" s="75" t="n">
        <x:f>I365-I331-SUM(I367:I370)</x:f>
        <x:v>1995.8451481335796</x:v>
      </x:c>
      <x:c r="J371" s="75" t="n">
        <x:f>J365-J331-SUM(J367:J370)</x:f>
        <x:v>14082.808517364436</x:v>
      </x:c>
      <x:c r="K371" s="75" t="n">
        <x:f>K365-K331-SUM(K367:K370)</x:f>
        <x:v>26730.383830450824</x:v>
      </x:c>
      <x:c r="L371" s="75" t="n">
        <x:f>L365-L331-SUM(L367:L370)</x:f>
        <x:v>40043.553779427544</x:v>
      </x:c>
      <x:c r="M371" s="75" t="n">
        <x:f>M365-M331-SUM(M367:M370)</x:f>
        <x:v>44134.37834388926</x:v>
      </x:c>
      <x:c r="N371" s="75" t="n">
        <x:f>N365-N331-SUM(N367:N370)</x:f>
        <x:v>13926.957288437756</x:v>
      </x:c>
      <x:c r="O371" s="75" t="n">
        <x:f>O365-O331-SUM(O367:O370)</x:f>
        <x:v>31689.076378513535</x:v>
      </x:c>
      <x:c r="P371" s="75" t="n">
        <x:f>P365-P331-SUM(P367:P370)</x:f>
        <x:v>49514.12210898264</x:v>
      </x:c>
      <x:c r="Q371" s="75" t="n">
        <x:f>Q365-Q331-SUM(Q367:Q370)</x:f>
        <x:v>66294.95060349331</x:v>
      </x:c>
      <x:c r="R371" s="75" t="n">
        <x:f>R365-R331-SUM(R367:R370)</x:f>
        <x:v>83730.03791931336</x:v>
      </x:c>
      <x:c r="S371" s="75" t="n">
        <x:f>S365-S331-SUM(S367:S370)</x:f>
        <x:v>101597.45402370254</x:v>
      </x:c>
      <x:c r="T371" s="75" t="n">
        <x:f>T365-T331-SUM(T367:T370)</x:f>
        <x:v>85709.11503692152</x:v>
      </x:c>
      <x:c r="U371" s="75" t="n">
        <x:f>U365-U331-SUM(U367:U370)</x:f>
        <x:v>108456.79308202321</x:v>
      </x:c>
      <x:c r="V371" s="75" t="n">
        <x:f>V365-V331-SUM(V367:V370)</x:f>
        <x:v>131406.29659308156</x:v>
      </x:c>
      <x:c r="W371" s="75" t="n">
        <x:f>W365-W331-SUM(W367:W370)</x:f>
        <x:v>154837.86512685678</x:v>
      </x:c>
      <x:c r="X371" s="75" t="n">
        <x:f>X365-X331-SUM(X367:X370)</x:f>
        <x:v>163817.780461738</x:v>
      </x:c>
      <x:c r="Y371" s="75" t="n">
        <x:f>Y365-Y331-SUM(Y367:Y370)</x:f>
        <x:v>188406.97761496226</x:v>
      </x:c>
      <x:c r="Z371" s="75" t="n">
        <x:f>Z365-Z331-SUM(Z367:Z370)</x:f>
        <x:v>162432.20018295897</x:v>
      </x:c>
      <x:c r="AA371" s="75" t="n">
        <x:f>AA365-AA331-SUM(AA367:AA370)</x:f>
        <x:v>188538.73207720811</x:v>
      </x:c>
      <x:c r="AB371" s="75" t="n">
        <x:f>AB365-AB331-SUM(AB367:AB370)</x:f>
        <x:v>214979.0006825822</x:v>
      </x:c>
      <x:c r="AC371" s="75" t="n">
        <x:f>AC365-AC331-SUM(AC367:AC370)</x:f>
        <x:v>241717.08086797688</x:v>
      </x:c>
      <x:c r="AD371" s="75" t="n">
        <x:f>AD365-AD331-SUM(AD367:AD370)</x:f>
        <x:v>269197.3485001152</x:v>
      </x:c>
      <x:c r="AE371" s="75" t="n">
        <x:f>AE365-AE331-SUM(AE367:AE370)</x:f>
        <x:v>297327.880206443</x:v>
      </x:c>
      <x:c r="AF371" s="75" t="n">
        <x:f>AF365-AF331-SUM(AF367:AF370)</x:f>
        <x:v>289212.3772722924</x:v>
      </x:c>
      <x:c r="AG371" s="75" t="n">
        <x:f>AG365-AG331-SUM(AG367:AG370)</x:f>
        <x:v>320155.3059361358</x:v>
      </x:c>
      <x:c r="AH371" s="75" t="n">
        <x:f>AH365-AH331-SUM(AH367:AH370)</x:f>
        <x:v>351549.24533060414</x:v>
      </x:c>
      <x:c r="AI371" s="75" t="n">
        <x:f>AI365-AI331-SUM(AI367:AI370)</x:f>
        <x:v>383651.009954858</x:v>
      </x:c>
      <x:c r="AJ371" s="75" t="n">
        <x:f>AJ365-AJ331-SUM(AJ367:AJ370)</x:f>
        <x:v>416522.4027963141</x:v>
      </x:c>
      <x:c r="AK371" s="75" t="n">
        <x:f>AK365-AK331-SUM(AK367:AK370)</x:f>
        <x:v>450219.99779131333</x:v>
      </x:c>
    </x:row>
    <x:row r="372" ht="18" customHeight="1">
      <x:c r="A372" s="4" t="str">
        <x:v>Operating margin (%)</x:v>
      </x:c>
      <x:c r="B372" s="62" t="n">
        <x:f>IFERROR(B371/B353,0)</x:f>
        <x:v>-6.829936434739231</x:v>
      </x:c>
      <x:c r="C372" s="62" t="n">
        <x:f>IFERROR(C371/C353,0)</x:f>
        <x:v>-1.4863411435806706</x:v>
      </x:c>
      <x:c r="D372" s="62" t="n">
        <x:f>IFERROR(D371/D353,0)</x:f>
        <x:v>-0.7302976795815347</x:v>
      </x:c>
      <x:c r="E372" s="62" t="n">
        <x:f>IFERROR(E371/E353,0)</x:f>
        <x:v>-0.5903039226024697</x:v>
      </x:c>
      <x:c r="F372" s="62" t="n">
        <x:f>IFERROR(F371/F353,0)</x:f>
        <x:v>-0.2442036515300655</x:v>
      </x:c>
      <x:c r="G372" s="62" t="n">
        <x:f>IFERROR(G371/G353,0)</x:f>
        <x:v>-0.027218757210791995</x:v>
      </x:c>
      <x:c r="H372" s="62" t="n">
        <x:f>IFERROR(H371/H353,0)</x:f>
        <x:v>-0.1687444371147152</x:v>
      </x:c>
      <x:c r="I372" s="62" t="n">
        <x:f>IFERROR(I371/I353,0)</x:f>
        <x:v>0.027799758917917163</x:v>
      </x:c>
      <x:c r="J372" s="62" t="n">
        <x:f>IFERROR(J371/J353,0)</x:f>
        <x:v>0.16324331313318285</x:v>
      </x:c>
      <x:c r="K372" s="62" t="n">
        <x:f>IFERROR(K371/K353,0)</x:f>
        <x:v>0.2634208102470123</x:v>
      </x:c>
      <x:c r="L372" s="62" t="n">
        <x:f>IFERROR(L371/L353,0)</x:f>
        <x:v>0.34066955210513195</x:v>
      </x:c>
      <x:c r="M372" s="62" t="n">
        <x:f>IFERROR(M371/M353,0)</x:f>
        <x:v>0.32784116412749265</x:v>
      </x:c>
      <x:c r="N372" s="62" t="n">
        <x:f>IFERROR(N371/N353,0)</x:f>
        <x:v>0.0891015975794454</x:v>
      </x:c>
      <x:c r="O372" s="62" t="n">
        <x:f>IFERROR(O371/O353,0)</x:f>
        <x:v>0.1786966709160806</x:v>
      </x:c>
      <x:c r="P372" s="62" t="n">
        <x:f>IFERROR(P371/P353,0)</x:f>
        <x:v>0.2494613252494071</x:v>
      </x:c>
      <x:c r="Q372" s="62" t="n">
        <x:f>IFERROR(Q371/Q353,0)</x:f>
        <x:v>0.30286169212271874</x:v>
      </x:c>
      <x:c r="R372" s="62" t="n">
        <x:f>IFERROR(R371/R353,0)</x:f>
        <x:v>0.3491311155588738</x:v>
      </x:c>
      <x:c r="S372" s="62" t="n">
        <x:f>IFERROR(S371/S353,0)</x:f>
        <x:v>0.38874392071216013</x:v>
      </x:c>
      <x:c r="T372" s="62" t="n">
        <x:f>IFERROR(T371/T353,0)</x:f>
        <x:v>0.29636327058537554</x:v>
      </x:c>
      <x:c r="U372" s="62" t="n">
        <x:f>IFERROR(U371/U353,0)</x:f>
        <x:v>0.3426259163087565</x:v>
      </x:c>
      <x:c r="V372" s="62" t="n">
        <x:f>IFERROR(V371/V353,0)</x:f>
        <x:v>0.38174643034578887</x:v>
      </x:c>
      <x:c r="W372" s="62" t="n">
        <x:f>IFERROR(W371/W353,0)</x:f>
        <x:v>0.4155656230827383</x:v>
      </x:c>
      <x:c r="X372" s="62" t="n">
        <x:f>IFERROR(X371/X353,0)</x:f>
        <x:v>0.4077561389776135</x:v>
      </x:c>
      <x:c r="Y372" s="62" t="n">
        <x:f>IFERROR(Y371/Y353,0)</x:f>
        <x:v>0.43633973493711375</x:v>
      </x:c>
      <x:c r="Z372" s="62" t="n">
        <x:f>IFERROR(Z371/Z353,0)</x:f>
        <x:v>0.35057700866739755</x:v>
      </x:c>
      <x:c r="AA372" s="62" t="n">
        <x:f>IFERROR(AA371/AA353,0)</x:f>
        <x:v>0.38107481094674095</x:v>
      </x:c>
      <x:c r="AB372" s="62" t="n">
        <x:f>IFERROR(AB371/AB353,0)</x:f>
        <x:v>0.4081959286297832</x:v>
      </x:c>
      <x:c r="AC372" s="62" t="n">
        <x:f>IFERROR(AC371/AC353,0)</x:f>
        <x:v>0.43226220289478884</x:v>
      </x:c>
      <x:c r="AD372" s="62" t="n">
        <x:f>IFERROR(AD371/AD353,0)</x:f>
        <x:v>0.4543148731539407</x:v>
      </x:c>
      <x:c r="AE372" s="62" t="n">
        <x:f>IFERROR(AE371/AE353,0)</x:f>
        <x:v>0.4743841203952698</x:v>
      </x:c>
      <x:c r="AF372" s="62" t="n">
        <x:f>IFERROR(AF371/AF353,0)</x:f>
        <x:v>0.43505891942143327</x:v>
      </x:c>
      <x:c r="AG372" s="62" t="n">
        <x:f>IFERROR(AG371/AG353,0)</x:f>
        <x:v>0.45563357554890155</x:v>
      </x:c>
      <x:c r="AH372" s="62" t="n">
        <x:f>IFERROR(AH371/AH353,0)</x:f>
        <x:v>0.4742833511303147</x:v>
      </x:c>
      <x:c r="AI372" s="62" t="n">
        <x:f>IFERROR(AI371/AI353,0)</x:f>
        <x:v>0.4913673874204948</x:v>
      </x:c>
      <x:c r="AJ372" s="62" t="n">
        <x:f>IFERROR(AJ371/AJ353,0)</x:f>
        <x:v>0.5070700527952919</x:v>
      </x:c>
      <x:c r="AK372" s="62" t="n">
        <x:f>IFERROR(AK371/AK353,0)</x:f>
        <x:v>0.5215422450076874</x:v>
      </x:c>
    </x:row>
    <x:row r="373" ht="18" customHeight="1">
      <x:c r="A373" s="4" t="str">
        <x:v>After imputed founder time (INR)</x:v>
      </x:c>
      <x:c r="B373" s="58" t="n">
        <x:f>B371-'Commercial Inputs'!$B$33</x:f>
        <x:v>-142556.24328385593</x:v>
      </x:c>
      <x:c r="C373" s="58" t="n">
        <x:f>C371-'Commercial Inputs'!$B$33</x:f>
        <x:v>-117833.73495845245</x:v>
      </x:c>
      <x:c r="D373" s="58" t="n">
        <x:f>D371-'Commercial Inputs'!$B$33</x:f>
        <x:v>-113055.48064488119</x:v>
      </x:c>
      <x:c r="E373" s="58" t="n">
        <x:f>E371-'Commercial Inputs'!$B$33</x:f>
        <x:v>-115514.24091140692</x:v>
      </x:c>
      <x:c r="F373" s="58" t="n">
        <x:f>F371-'Commercial Inputs'!$B$33</x:f>
        <x:v>-108494.52693974321</x:v>
      </x:c>
      <x:c r="G373" s="58" t="n">
        <x:f>G371-'Commercial Inputs'!$B$33</x:f>
        <x:v>-101188.49968792856</x:v>
      </x:c>
      <x:c r="H373" s="58" t="n">
        <x:f>H371-'Commercial Inputs'!$B$33</x:f>
        <x:v>-109749.03825693011</x:v>
      </x:c>
      <x:c r="I373" s="58" t="n">
        <x:f>I371-'Commercial Inputs'!$B$33</x:f>
        <x:v>-98004.15485186642</x:v>
      </x:c>
      <x:c r="J373" s="58" t="n">
        <x:f>J371-'Commercial Inputs'!$B$33</x:f>
        <x:v>-85917.19148263556</x:v>
      </x:c>
      <x:c r="K373" s="58" t="n">
        <x:f>K371-'Commercial Inputs'!$B$33</x:f>
        <x:v>-73269.61616954918</x:v>
      </x:c>
      <x:c r="L373" s="58" t="n">
        <x:f>L371-'Commercial Inputs'!$B$33</x:f>
        <x:v>-59956.446220572456</x:v>
      </x:c>
      <x:c r="M373" s="58" t="n">
        <x:f>M371-'Commercial Inputs'!$B$33</x:f>
        <x:v>-55865.62165611074</x:v>
      </x:c>
      <x:c r="N373" s="58" t="n">
        <x:f>N371-'Commercial Inputs'!$B$33</x:f>
        <x:v>-86073.04271156224</x:v>
      </x:c>
      <x:c r="O373" s="58" t="n">
        <x:f>O371-'Commercial Inputs'!$B$33</x:f>
        <x:v>-68310.92362148646</x:v>
      </x:c>
      <x:c r="P373" s="58" t="n">
        <x:f>P371-'Commercial Inputs'!$B$33</x:f>
        <x:v>-50485.87789101736</x:v>
      </x:c>
      <x:c r="Q373" s="58" t="n">
        <x:f>Q371-'Commercial Inputs'!$B$33</x:f>
        <x:v>-33705.049396506685</x:v>
      </x:c>
      <x:c r="R373" s="58" t="n">
        <x:f>R371-'Commercial Inputs'!$B$33</x:f>
        <x:v>-16269.962080686644</x:v>
      </x:c>
      <x:c r="S373" s="58" t="n">
        <x:f>S371-'Commercial Inputs'!$B$33</x:f>
        <x:v>1597.4540237025358</x:v>
      </x:c>
      <x:c r="T373" s="58" t="n">
        <x:f>T371-'Commercial Inputs'!$B$33</x:f>
        <x:v>-14290.884963078483</x:v>
      </x:c>
      <x:c r="U373" s="58" t="n">
        <x:f>U371-'Commercial Inputs'!$B$33</x:f>
        <x:v>8456.793082023214</x:v>
      </x:c>
      <x:c r="V373" s="58" t="n">
        <x:f>V371-'Commercial Inputs'!$B$33</x:f>
        <x:v>31406.296593081555</x:v>
      </x:c>
      <x:c r="W373" s="58" t="n">
        <x:f>W371-'Commercial Inputs'!$B$33</x:f>
        <x:v>54837.86512685678</x:v>
      </x:c>
      <x:c r="X373" s="58" t="n">
        <x:f>X371-'Commercial Inputs'!$B$33</x:f>
        <x:v>63817.780461738</x:v>
      </x:c>
      <x:c r="Y373" s="58" t="n">
        <x:f>Y371-'Commercial Inputs'!$B$33</x:f>
        <x:v>88406.97761496226</x:v>
      </x:c>
      <x:c r="Z373" s="58" t="n">
        <x:f>Z371-'Commercial Inputs'!$B$33</x:f>
        <x:v>62432.20018295897</x:v>
      </x:c>
      <x:c r="AA373" s="58" t="n">
        <x:f>AA371-'Commercial Inputs'!$B$33</x:f>
        <x:v>88538.73207720811</x:v>
      </x:c>
      <x:c r="AB373" s="58" t="n">
        <x:f>AB371-'Commercial Inputs'!$B$33</x:f>
        <x:v>114979.0006825822</x:v>
      </x:c>
      <x:c r="AC373" s="58" t="n">
        <x:f>AC371-'Commercial Inputs'!$B$33</x:f>
        <x:v>141717.08086797688</x:v>
      </x:c>
      <x:c r="AD373" s="58" t="n">
        <x:f>AD371-'Commercial Inputs'!$B$33</x:f>
        <x:v>169197.34850011521</x:v>
      </x:c>
      <x:c r="AE373" s="58" t="n">
        <x:f>AE371-'Commercial Inputs'!$B$33</x:f>
        <x:v>197327.88020644302</x:v>
      </x:c>
      <x:c r="AF373" s="58" t="n">
        <x:f>AF371-'Commercial Inputs'!$B$33</x:f>
        <x:v>189212.3772722924</x:v>
      </x:c>
      <x:c r="AG373" s="58" t="n">
        <x:f>AG371-'Commercial Inputs'!$B$33</x:f>
        <x:v>220155.30593613582</x:v>
      </x:c>
      <x:c r="AH373" s="58" t="n">
        <x:f>AH371-'Commercial Inputs'!$B$33</x:f>
        <x:v>251549.24533060414</x:v>
      </x:c>
      <x:c r="AI373" s="58" t="n">
        <x:f>AI371-'Commercial Inputs'!$B$33</x:f>
        <x:v>283651.009954858</x:v>
      </x:c>
      <x:c r="AJ373" s="58" t="n">
        <x:f>AJ371-'Commercial Inputs'!$B$33</x:f>
        <x:v>316522.4027963141</x:v>
      </x:c>
      <x:c r="AK373" s="58" t="n">
        <x:f>AK371-'Commercial Inputs'!$B$33</x:f>
        <x:v>350219.99779131333</x:v>
      </x:c>
    </x:row>
    <x:row r="374" ht="18" customHeight="1">
      <x:c r="A374" s="4" t="str">
        <x:v>Net proceeds awaiting payout (INR)</x:v>
      </x:c>
      <x:c r="B374" s="58" t="n">
        <x:f>B358-B359</x:f>
        <x:v>44442.28222779662</x:v>
      </x:c>
      <x:c r="C374" s="58" t="n">
        <x:f>C358-C359</x:f>
        <x:v>49065.810513068136</x:v>
      </x:c>
      <x:c r="D374" s="58" t="n">
        <x:f>D358-D359</x:f>
        <x:v>53884.221181156594</x:v>
      </x:c>
      <x:c r="E374" s="58" t="n">
        <x:f>E358-E359</x:f>
        <x:v>74582.24894577061</x:v>
      </x:c>
      <x:c r="F374" s="58" t="n">
        <x:f>F358-F359</x:f>
        <x:v>80715.46033778992</x:v>
      </x:c>
      <x:c r="G374" s="58" t="n">
        <x:f>G358-G359</x:f>
        <x:v>87314.04698290525</x:v>
      </x:c>
      <x:c r="H374" s="58" t="n">
        <x:f>H358-H359</x:f>
        <x:v>128022.47429306142</x:v>
      </x:c>
      <x:c r="I374" s="58" t="n">
        <x:f>I358-I359</x:f>
        <x:v>136818.13337604018</x:v>
      </x:c>
      <x:c r="J374" s="58" t="n">
        <x:f>J358-J359</x:f>
        <x:v>146203.1449276755</x:v>
      </x:c>
      <x:c r="K374" s="58" t="n">
        <x:f>K358-K359</x:f>
        <x:v>156438.38754298803</x:v>
      </x:c>
      <x:c r="L374" s="58" t="n">
        <x:f>L358-L359</x:f>
        <x:v>167666.29100483574</x:v>
      </x:c>
      <x:c r="M374" s="58" t="n">
        <x:f>M358-M359</x:f>
        <x:v>180040.46180913594</x:v>
      </x:c>
      <x:c r="N374" s="58" t="n">
        <x:f>N358-N359</x:f>
        <x:v>248573.33635324534</x:v>
      </x:c>
      <x:c r="O374" s="58" t="n">
        <x:f>O358-O359</x:f>
        <x:v>260655.19017121705</x:v>
      </x:c>
      <x:c r="P374" s="58" t="n">
        <x:f>P358-P359</x:f>
        <x:v>273096.32193163806</x:v>
      </x:c>
      <x:c r="Q374" s="58" t="n">
        <x:f>Q358-Q359</x:f>
        <x:v>288354.0687737812</x:v>
      </x:c>
      <x:c r="R374" s="58" t="n">
        <x:f>R358-R359</x:f>
        <x:v>302236.4957048275</x:v>
      </x:c>
      <x:c r="S374" s="58" t="n">
        <x:f>S358-S359</x:f>
        <x:v>317001.74371851876</x:v>
      </x:c>
      <x:c r="T374" s="58" t="n">
        <x:f>T358-T359</x:f>
        <x:v>395972.1426689308</x:v>
      </x:c>
      <x:c r="U374" s="58" t="n">
        <x:f>U358-U359</x:f>
        <x:v>414349.63311680814</x:v>
      </x:c>
      <x:c r="V374" s="58" t="n">
        <x:f>V358-V359</x:f>
        <x:v>433544.9661586352</x:v>
      </x:c>
      <x:c r="W374" s="58" t="n">
        <x:f>W358-W359</x:f>
        <x:v>453934.7735309274</x:v>
      </x:c>
      <x:c r="X374" s="58" t="n">
        <x:f>X358-X359</x:f>
        <x:v>475675.9512701043</x:v>
      </x:c>
      <x:c r="Y374" s="58" t="n">
        <x:f>Y358-Y359</x:f>
        <x:v>498930.3344060904</x:v>
      </x:c>
      <x:c r="Z374" s="58" t="n">
        <x:f>Z358-Z359</x:f>
        <x:v>566114.3443742101</x:v>
      </x:c>
      <x:c r="AA374" s="58" t="n">
        <x:f>AA358-AA359</x:f>
        <x:v>587534.6301352121</x:v>
      </x:c>
      <x:c r="AB374" s="58" t="n">
        <x:f>AB358-AB359</x:f>
        <x:v>609740.3388366823</x:v>
      </x:c>
      <x:c r="AC374" s="58" t="n">
        <x:f>AC358-AC359</x:f>
        <x:v>634136.5343418518</x:v>
      </x:c>
      <x:c r="AD374" s="58" t="n">
        <x:f>AD358-AD359</x:f>
        <x:v>658545.0558345087</x:v>
      </x:c>
      <x:c r="AE374" s="58" t="n">
        <x:f>AE358-AE359</x:f>
        <x:v>684228.3411867014</x:v>
      </x:c>
      <x:c r="AF374" s="58" t="n">
        <x:f>AF358-AF359</x:f>
        <x:v>775161.0226160258</x:v>
      </x:c>
      <x:c r="AG374" s="58" t="n">
        <x:f>AG358-AG359</x:f>
        <x:v>805119.02583017</x:v>
      </x:c>
      <x:c r="AH374" s="58" t="n">
        <x:f>AH358-AH359</x:f>
        <x:v>836336.815415859</x:v>
      </x:c>
      <x:c r="AI374" s="58" t="n">
        <x:f>AI358-AI359</x:f>
        <x:v>869168.9238403128</x:v>
      </x:c>
      <x:c r="AJ374" s="58" t="n">
        <x:f>AJ358-AJ359</x:f>
        <x:v>903768.6087594785</x:v>
      </x:c>
      <x:c r="AK374" s="58" t="n">
        <x:f>AK358-AK359</x:f>
        <x:v>940291.9126661594</x:v>
      </x:c>
    </x:row>
    <x:row r="375" ht="18" customHeight="1">
      <x:c r="A375" s="4" t="str">
        <x:v>Payouts received this month (INR)</x:v>
      </x:c>
      <x:c r="B375" s="58" t="n">
        <x:f>B374*(1-'Commercial Inputs'!$B$31)+0*'Commercial Inputs'!$B$31</x:f>
        <x:v>22221.14111389831</x:v>
      </x:c>
      <x:c r="C375" s="58" t="n">
        <x:f>C374*(1-'Commercial Inputs'!$B$31)+B374*'Commercial Inputs'!$B$31</x:f>
        <x:v>46754.04637043238</x:v>
      </x:c>
      <x:c r="D375" s="58" t="n">
        <x:f>D374*(1-'Commercial Inputs'!$B$31)+C374*'Commercial Inputs'!$B$31</x:f>
        <x:v>51475.015847112365</x:v>
      </x:c>
      <x:c r="E375" s="58" t="n">
        <x:f>E374*(1-'Commercial Inputs'!$B$31)+D374*'Commercial Inputs'!$B$31</x:f>
        <x:v>64233.2350634636</x:v>
      </x:c>
      <x:c r="F375" s="58" t="n">
        <x:f>F374*(1-'Commercial Inputs'!$B$31)+E374*'Commercial Inputs'!$B$31</x:f>
        <x:v>77648.85464178026</x:v>
      </x:c>
      <x:c r="G375" s="58" t="n">
        <x:f>G374*(1-'Commercial Inputs'!$B$31)+F374*'Commercial Inputs'!$B$31</x:f>
        <x:v>84014.75366034757</x:v>
      </x:c>
      <x:c r="H375" s="58" t="n">
        <x:f>H374*(1-'Commercial Inputs'!$B$31)+G374*'Commercial Inputs'!$B$31</x:f>
        <x:v>107668.26063798333</x:v>
      </x:c>
      <x:c r="I375" s="58" t="n">
        <x:f>I374*(1-'Commercial Inputs'!$B$31)+H374*'Commercial Inputs'!$B$31</x:f>
        <x:v>132420.30383455078</x:v>
      </x:c>
      <x:c r="J375" s="58" t="n">
        <x:f>J374*(1-'Commercial Inputs'!$B$31)+I374*'Commercial Inputs'!$B$31</x:f>
        <x:v>141510.63915185782</x:v>
      </x:c>
      <x:c r="K375" s="58" t="n">
        <x:f>K374*(1-'Commercial Inputs'!$B$31)+J374*'Commercial Inputs'!$B$31</x:f>
        <x:v>151320.76623533177</x:v>
      </x:c>
      <x:c r="L375" s="58" t="n">
        <x:f>L374*(1-'Commercial Inputs'!$B$31)+K374*'Commercial Inputs'!$B$31</x:f>
        <x:v>162052.3392739119</x:v>
      </x:c>
      <x:c r="M375" s="58" t="n">
        <x:f>M374*(1-'Commercial Inputs'!$B$31)+L374*'Commercial Inputs'!$B$31</x:f>
        <x:v>173853.37640698586</x:v>
      </x:c>
      <x:c r="N375" s="58" t="n">
        <x:f>N374*(1-'Commercial Inputs'!$B$31)+M374*'Commercial Inputs'!$B$31</x:f>
        <x:v>214306.89908119064</x:v>
      </x:c>
      <x:c r="O375" s="58" t="n">
        <x:f>O374*(1-'Commercial Inputs'!$B$31)+N374*'Commercial Inputs'!$B$31</x:f>
        <x:v>254614.2632622312</x:v>
      </x:c>
      <x:c r="P375" s="58" t="n">
        <x:f>P374*(1-'Commercial Inputs'!$B$31)+O374*'Commercial Inputs'!$B$31</x:f>
        <x:v>266875.75605142757</x:v>
      </x:c>
      <x:c r="Q375" s="58" t="n">
        <x:f>Q374*(1-'Commercial Inputs'!$B$31)+P374*'Commercial Inputs'!$B$31</x:f>
        <x:v>280725.1953527096</x:v>
      </x:c>
      <x:c r="R375" s="58" t="n">
        <x:f>R374*(1-'Commercial Inputs'!$B$31)+Q374*'Commercial Inputs'!$B$31</x:f>
        <x:v>295295.28223930433</x:v>
      </x:c>
      <x:c r="S375" s="58" t="n">
        <x:f>S374*(1-'Commercial Inputs'!$B$31)+R374*'Commercial Inputs'!$B$31</x:f>
        <x:v>309619.1197116731</x:v>
      </x:c>
      <x:c r="T375" s="58" t="n">
        <x:f>T374*(1-'Commercial Inputs'!$B$31)+S374*'Commercial Inputs'!$B$31</x:f>
        <x:v>356486.9431937248</x:v>
      </x:c>
      <x:c r="U375" s="58" t="n">
        <x:f>U374*(1-'Commercial Inputs'!$B$31)+T374*'Commercial Inputs'!$B$31</x:f>
        <x:v>405160.8878928695</x:v>
      </x:c>
      <x:c r="V375" s="58" t="n">
        <x:f>V374*(1-'Commercial Inputs'!$B$31)+U374*'Commercial Inputs'!$B$31</x:f>
        <x:v>423947.2996377217</x:v>
      </x:c>
      <x:c r="W375" s="58" t="n">
        <x:f>W374*(1-'Commercial Inputs'!$B$31)+V374*'Commercial Inputs'!$B$31</x:f>
        <x:v>443739.86984478135</x:v>
      </x:c>
      <x:c r="X375" s="58" t="n">
        <x:f>X374*(1-'Commercial Inputs'!$B$31)+W374*'Commercial Inputs'!$B$31</x:f>
        <x:v>464805.3624005159</x:v>
      </x:c>
      <x:c r="Y375" s="58" t="n">
        <x:f>Y374*(1-'Commercial Inputs'!$B$31)+X374*'Commercial Inputs'!$B$31</x:f>
        <x:v>487303.14283809735</x:v>
      </x:c>
      <x:c r="Z375" s="58" t="n">
        <x:f>Z374*(1-'Commercial Inputs'!$B$31)+Y374*'Commercial Inputs'!$B$31</x:f>
        <x:v>532522.3393901503</x:v>
      </x:c>
      <x:c r="AA375" s="58" t="n">
        <x:f>AA374*(1-'Commercial Inputs'!$B$31)+Z374*'Commercial Inputs'!$B$31</x:f>
        <x:v>576824.4872547111</x:v>
      </x:c>
      <x:c r="AB375" s="58" t="n">
        <x:f>AB374*(1-'Commercial Inputs'!$B$31)+AA374*'Commercial Inputs'!$B$31</x:f>
        <x:v>598637.4844859472</x:v>
      </x:c>
      <x:c r="AC375" s="58" t="n">
        <x:f>AC374*(1-'Commercial Inputs'!$B$31)+AB374*'Commercial Inputs'!$B$31</x:f>
        <x:v>621938.4365892671</x:v>
      </x:c>
      <x:c r="AD375" s="58" t="n">
        <x:f>AD374*(1-'Commercial Inputs'!$B$31)+AC374*'Commercial Inputs'!$B$31</x:f>
        <x:v>646340.7950881803</x:v>
      </x:c>
      <x:c r="AE375" s="58" t="n">
        <x:f>AE374*(1-'Commercial Inputs'!$B$31)+AD374*'Commercial Inputs'!$B$31</x:f>
        <x:v>671386.6985106051</x:v>
      </x:c>
      <x:c r="AF375" s="58" t="n">
        <x:f>AF374*(1-'Commercial Inputs'!$B$31)+AE374*'Commercial Inputs'!$B$31</x:f>
        <x:v>729694.6819013637</x:v>
      </x:c>
      <x:c r="AG375" s="58" t="n">
        <x:f>AG374*(1-'Commercial Inputs'!$B$31)+AF374*'Commercial Inputs'!$B$31</x:f>
        <x:v>790140.0242230978</x:v>
      </x:c>
      <x:c r="AH375" s="58" t="n">
        <x:f>AH374*(1-'Commercial Inputs'!$B$31)+AG374*'Commercial Inputs'!$B$31</x:f>
        <x:v>820727.9206230144</x:v>
      </x:c>
      <x:c r="AI375" s="58" t="n">
        <x:f>AI374*(1-'Commercial Inputs'!$B$31)+AH374*'Commercial Inputs'!$B$31</x:f>
        <x:v>852752.8696280859</x:v>
      </x:c>
      <x:c r="AJ375" s="58" t="n">
        <x:f>AJ374*(1-'Commercial Inputs'!$B$31)+AI374*'Commercial Inputs'!$B$31</x:f>
        <x:v>886468.7662998957</x:v>
      </x:c>
      <x:c r="AK375" s="58" t="n">
        <x:f>AK374*(1-'Commercial Inputs'!$B$31)+AJ374*'Commercial Inputs'!$B$31</x:f>
        <x:v>922030.2607128189</x:v>
      </x:c>
    </x:row>
    <x:row r="376" ht="18" customHeight="1">
      <x:c r="A376" s="4" t="str">
        <x:v>Cash outgo other than withheld fees (INR)</x:v>
      </x:c>
      <x:c r="B376" s="58" t="n">
        <x:f>SUM(B360:B363)+B331+SUM(B367:B370)</x:f>
        <x:v>43482.92865</x:v>
      </x:c>
      <x:c r="C376" s="58" t="n">
        <x:f>SUM(C360:C363)+C331+SUM(C367:C370)</x:f>
        <x:v>23934.343510885003</x:v>
      </x:c>
      <x:c r="D376" s="58" t="n">
        <x:f>SUM(D360:D363)+D331+SUM(D367:D370)</x:f>
        <x:v>24425.823684236086</x:v>
      </x:c>
      <x:c r="E376" s="58" t="n">
        <x:f>SUM(E360:E363)+E331+SUM(E367:E370)</x:f>
        <x:v>32787.116144198575</x:v>
      </x:c>
      <x:c r="F376" s="58" t="n">
        <x:f>SUM(F360:F363)+F331+SUM(F367:F370)</x:f>
        <x:v>33492.69025839504</x:v>
      </x:c>
      <x:c r="G376" s="58" t="n">
        <x:f>SUM(G360:G363)+G331+SUM(G367:G370)</x:f>
        <x:v>34238.13860818728</x:v>
      </x:c>
      <x:c r="H376" s="58" t="n">
        <x:f>SUM(H360:H363)+H331+SUM(H367:H370)</x:f>
        <x:v>52009.740325745486</x:v>
      </x:c>
      <x:c r="I376" s="58" t="n">
        <x:f>SUM(I360:I363)+I331+SUM(I367:I370)</x:f>
        <x:v>53164.22331043181</x:v>
      </x:c>
      <x:c r="J376" s="58" t="n">
        <x:f>SUM(J360:J363)+J331+SUM(J367:J370)</x:f>
        <x:v>54370.43005014893</x:v>
      </x:c>
      <x:c r="K376" s="58" t="n">
        <x:f>SUM(K360:K363)+K331+SUM(K367:K370)</x:f>
        <x:v>55647.24131029399</x:v>
      </x:c>
      <x:c r="L376" s="58" t="n">
        <x:f>SUM(L360:L363)+L331+SUM(L367:L370)</x:f>
        <x:v>57005.82242976303</x:v>
      </x:c>
      <x:c r="M376" s="58" t="n">
        <x:f>SUM(M360:M363)+M331+SUM(M367:M370)</x:f>
        <x:v>68458.28436272014</x:v>
      </x:c>
      <x:c r="N376" s="58" t="n">
        <x:f>SUM(N360:N363)+N331+SUM(N367:N370)</x:f>
        <x:v>112121.80461727812</x:v>
      </x:c>
      <x:c r="O376" s="58" t="n">
        <x:f>SUM(O360:O363)+O331+SUM(O367:O370)</x:f>
        <x:v>113843.31220189093</x:v>
      </x:c>
      <x:c r="P376" s="58" t="n">
        <x:f>SUM(P360:P363)+P331+SUM(P367:P370)</x:f>
        <x:v>115593.05586077388</x:v>
      </x:c>
      <x:c r="Q376" s="58" t="n">
        <x:f>SUM(Q360:Q363)+Q331+SUM(Q367:Q370)</x:f>
        <x:v>117321.36599588825</x:v>
      </x:c>
      <x:c r="R376" s="58" t="n">
        <x:f>SUM(R360:R363)+R331+SUM(R367:R370)</x:f>
        <x:v>119078.0591403975</x:v>
      </x:c>
      <x:c r="S376" s="58" t="n">
        <x:f>SUM(S360:S363)+S331+SUM(S367:S370)</x:f>
        <x:v>120895.04987144971</x:v>
      </x:c>
      <x:c r="T376" s="58" t="n">
        <x:f>SUM(T360:T363)+T331+SUM(T367:T370)</x:f>
        <x:v>155145.55229228595</x:v>
      </x:c>
      <x:c r="U376" s="58" t="n">
        <x:f>SUM(U360:U363)+U331+SUM(U367:U370)</x:f>
        <x:v>157417.58898087603</x:v>
      </x:c>
      <x:c r="V376" s="58" t="n">
        <x:f>SUM(V360:V363)+V331+SUM(V367:V370)</x:f>
        <x:v>159740.42595172848</x:v>
      </x:c>
      <x:c r="W376" s="58" t="n">
        <x:f>SUM(W360:W363)+W331+SUM(W367:W370)</x:f>
        <x:v>162136.72311829394</x:v>
      </x:c>
      <x:c r="X376" s="58" t="n">
        <x:f>SUM(X360:X363)+X331+SUM(X367:X370)</x:f>
        <x:v>179614.04210075628</x:v>
      </x:c>
      <x:c r="Y376" s="58" t="n">
        <x:f>SUM(Y360:Y363)+Y331+SUM(Y367:Y370)</x:f>
        <x:v>182179.75365786307</x:v>
      </x:c>
      <x:c r="Z376" s="58" t="n">
        <x:f>SUM(Z360:Z363)+Z331+SUM(Z367:Z370)</x:f>
        <x:v>231587.09423008654</x:v>
      </x:c>
      <x:c r="AA376" s="58" t="n">
        <x:f>SUM(AA360:AA363)+AA331+SUM(AA367:AA370)</x:f>
        <x:v>234214.64232042604</x:v>
      </x:c>
      <x:c r="AB376" s="58" t="n">
        <x:f>SUM(AB360:AB363)+AB331+SUM(AB367:AB370)</x:f>
        <x:v>236900.5290707404</x:v>
      </x:c>
      <x:c r="AC376" s="58" t="n">
        <x:f>SUM(AC360:AC363)+AC331+SUM(AC367:AC370)</x:f>
        <x:v>239667.06023500024</x:v>
      </x:c>
      <x:c r="AD376" s="58" t="n">
        <x:f>SUM(AD360:AD363)+AD331+SUM(AD367:AD370)</x:f>
        <x:v>242500.616549439</x:v>
      </x:c>
      <x:c r="AE376" s="58" t="n">
        <x:f>SUM(AE360:AE363)+AE331+SUM(AE367:AE370)</x:f>
        <x:v>245421.15363822627</x:v>
      </x:c>
      <x:c r="AF376" s="58" t="n">
        <x:f>SUM(AF360:AF363)+AF331+SUM(AF367:AF370)</x:f>
        <x:v>280587.54998050065</x:v>
      </x:c>
      <x:c r="AG376" s="58" t="n">
        <x:f>SUM(AG360:AG363)+AG331+SUM(AG367:AG370)</x:f>
        <x:v>283798.09084125794</x:v>
      </x:c>
      <x:c r="AH376" s="58" t="n">
        <x:f>SUM(AH360:AH363)+AH331+SUM(AH367:AH370)</x:f>
        <x:v>287088.4423231956</x:v>
      </x:c>
      <x:c r="AI376" s="58" t="n">
        <x:f>SUM(AI360:AI363)+AI331+SUM(AI367:AI370)</x:f>
        <x:v>290479.5503192834</x:v>
      </x:c>
      <x:c r="AJ376" s="58" t="n">
        <x:f>SUM(AJ360:AJ363)+AJ331+SUM(AJ367:AJ370)</x:f>
        <x:v>293978.5729344817</x:v>
      </x:c>
      <x:c r="AK376" s="58" t="n">
        <x:f>SUM(AK360:AK363)+AK331+SUM(AK367:AK370)</x:f>
        <x:v>297592.4396991695</x:v>
      </x:c>
    </x:row>
    <x:row r="377" ht="18" customHeight="1">
      <x:c r="A377" s="74" t="str">
        <x:v>NET CASH MOVEMENT (INR)</x:v>
      </x:c>
      <x:c r="B377" s="75" t="n">
        <x:f>B375-B376</x:f>
        <x:v>-21261.787536101692</x:v>
      </x:c>
      <x:c r="C377" s="75" t="n">
        <x:f>C375-C376</x:f>
        <x:v>22819.702859547375</x:v>
      </x:c>
      <x:c r="D377" s="75" t="n">
        <x:f>D375-D376</x:f>
        <x:v>27049.19216287628</x:v>
      </x:c>
      <x:c r="E377" s="75" t="n">
        <x:f>E375-E376</x:f>
        <x:v>31446.118919265027</x:v>
      </x:c>
      <x:c r="F377" s="75" t="n">
        <x:f>F375-F376</x:f>
        <x:v>44156.164383385214</x:v>
      </x:c>
      <x:c r="G377" s="75" t="n">
        <x:f>G375-G376</x:f>
        <x:v>49776.6150521603</x:v>
      </x:c>
      <x:c r="H377" s="75" t="n">
        <x:f>H375-H376</x:f>
        <x:v>55658.520312237844</x:v>
      </x:c>
      <x:c r="I377" s="75" t="n">
        <x:f>I375-I376</x:f>
        <x:v>79256.08052411897</x:v>
      </x:c>
      <x:c r="J377" s="75" t="n">
        <x:f>J375-J376</x:f>
        <x:v>87140.2091017089</x:v>
      </x:c>
      <x:c r="K377" s="75" t="n">
        <x:f>K375-K376</x:f>
        <x:v>95673.52492503778</x:v>
      </x:c>
      <x:c r="L377" s="75" t="n">
        <x:f>L375-L376</x:f>
        <x:v>105046.51684414886</x:v>
      </x:c>
      <x:c r="M377" s="75" t="n">
        <x:f>M375-M376</x:f>
        <x:v>105395.09204426572</x:v>
      </x:c>
      <x:c r="N377" s="75" t="n">
        <x:f>N375-N376</x:f>
        <x:v>102185.09446391252</x:v>
      </x:c>
      <x:c r="O377" s="75" t="n">
        <x:f>O375-O376</x:f>
        <x:v>140770.95106034027</x:v>
      </x:c>
      <x:c r="P377" s="75" t="n">
        <x:f>P375-P376</x:f>
        <x:v>151282.70019065368</x:v>
      </x:c>
      <x:c r="Q377" s="75" t="n">
        <x:f>Q375-Q376</x:f>
        <x:v>163403.82935682137</x:v>
      </x:c>
      <x:c r="R377" s="75" t="n">
        <x:f>R375-R376</x:f>
        <x:v>176217.22309890683</x:v>
      </x:c>
      <x:c r="S377" s="75" t="n">
        <x:f>S375-S376</x:f>
        <x:v>188724.0698402234</x:v>
      </x:c>
      <x:c r="T377" s="75" t="n">
        <x:f>T375-T376</x:f>
        <x:v>201341.39090143883</x:v>
      </x:c>
      <x:c r="U377" s="75" t="n">
        <x:f>U375-U376</x:f>
        <x:v>247743.29891199345</x:v>
      </x:c>
      <x:c r="V377" s="75" t="n">
        <x:f>V375-V376</x:f>
        <x:v>264206.8736859932</x:v>
      </x:c>
      <x:c r="W377" s="75" t="n">
        <x:f>W375-W376</x:f>
        <x:v>281603.14672648744</x:v>
      </x:c>
      <x:c r="X377" s="75" t="n">
        <x:f>X375-X376</x:f>
        <x:v>285191.3202997596</x:v>
      </x:c>
      <x:c r="Y377" s="75" t="n">
        <x:f>Y375-Y376</x:f>
        <x:v>305123.3891802343</x:v>
      </x:c>
      <x:c r="Z377" s="75" t="n">
        <x:f>Z375-Z376</x:f>
        <x:v>300935.2451600637</x:v>
      </x:c>
      <x:c r="AA377" s="75" t="n">
        <x:f>AA375-AA376</x:f>
        <x:v>342609.84493428504</x:v>
      </x:c>
      <x:c r="AB377" s="75" t="n">
        <x:f>AB375-AB376</x:f>
        <x:v>361736.9554152068</x:v>
      </x:c>
      <x:c r="AC377" s="75" t="n">
        <x:f>AC375-AC376</x:f>
        <x:v>382271.3763542669</x:v>
      </x:c>
      <x:c r="AD377" s="75" t="n">
        <x:f>AD375-AD376</x:f>
        <x:v>403840.1785387413</x:v>
      </x:c>
      <x:c r="AE377" s="75" t="n">
        <x:f>AE375-AE376</x:f>
        <x:v>425965.5448723789</x:v>
      </x:c>
      <x:c r="AF377" s="75" t="n">
        <x:f>AF375-AF376</x:f>
        <x:v>449107.131920863</x:v>
      </x:c>
      <x:c r="AG377" s="75" t="n">
        <x:f>AG375-AG376</x:f>
        <x:v>506341.9333818399</x:v>
      </x:c>
      <x:c r="AH377" s="75" t="n">
        <x:f>AH375-AH376</x:f>
        <x:v>533639.4782998189</x:v>
      </x:c>
      <x:c r="AI377" s="75" t="n">
        <x:f>AI375-AI376</x:f>
        <x:v>562273.3193088025</x:v>
      </x:c>
      <x:c r="AJ377" s="75" t="n">
        <x:f>AJ375-AJ376</x:f>
        <x:v>592490.1933654139</x:v>
      </x:c>
      <x:c r="AK377" s="75" t="n">
        <x:f>AK375-AK376</x:f>
        <x:v>624437.8210136495</x:v>
      </x:c>
    </x:row>
    <x:row r="378" ht="18" customHeight="1">
      <x:c r="A378" s="4" t="str">
        <x:v>Cumulative cash movement (INR)</x:v>
      </x:c>
      <x:c r="B378" s="58" t="n">
        <x:f>0+B377</x:f>
        <x:v>-21261.787536101692</x:v>
      </x:c>
      <x:c r="C378" s="58" t="n">
        <x:f>B378+C377</x:f>
        <x:v>1557.9153234456826</x:v>
      </x:c>
      <x:c r="D378" s="58" t="n">
        <x:f>C378+D377</x:f>
        <x:v>28607.107486321962</x:v>
      </x:c>
      <x:c r="E378" s="58" t="n">
        <x:f>D378+E377</x:f>
        <x:v>60053.22640558699</x:v>
      </x:c>
      <x:c r="F378" s="58" t="n">
        <x:f>E378+F377</x:f>
        <x:v>104209.3907889722</x:v>
      </x:c>
      <x:c r="G378" s="58" t="n">
        <x:f>F378+G377</x:f>
        <x:v>153986.0058411325</x:v>
      </x:c>
      <x:c r="H378" s="58" t="n">
        <x:f>G378+H377</x:f>
        <x:v>209644.52615337033</x:v>
      </x:c>
      <x:c r="I378" s="58" t="n">
        <x:f>H378+I377</x:f>
        <x:v>288900.6066774893</x:v>
      </x:c>
      <x:c r="J378" s="58" t="n">
        <x:f>I378+J377</x:f>
        <x:v>376040.8157791982</x:v>
      </x:c>
      <x:c r="K378" s="58" t="n">
        <x:f>J378+K377</x:f>
        <x:v>471714.34070423595</x:v>
      </x:c>
      <x:c r="L378" s="58" t="n">
        <x:f>K378+L377</x:f>
        <x:v>576760.8575483848</x:v>
      </x:c>
      <x:c r="M378" s="58" t="n">
        <x:f>L378+M377</x:f>
        <x:v>682155.9495926505</x:v>
      </x:c>
      <x:c r="N378" s="58" t="n">
        <x:f>M378+N377</x:f>
        <x:v>784341.044056563</x:v>
      </x:c>
      <x:c r="O378" s="58" t="n">
        <x:f>N378+O377</x:f>
        <x:v>925111.9951169033</x:v>
      </x:c>
      <x:c r="P378" s="58" t="n">
        <x:f>O378+P377</x:f>
        <x:v>1076394.695307557</x:v>
      </x:c>
      <x:c r="Q378" s="58" t="n">
        <x:f>P378+Q377</x:f>
        <x:v>1239798.5246643783</x:v>
      </x:c>
      <x:c r="R378" s="58" t="n">
        <x:f>Q378+R377</x:f>
        <x:v>1416015.7477632852</x:v>
      </x:c>
      <x:c r="S378" s="58" t="n">
        <x:f>R378+S377</x:f>
        <x:v>1604739.8176035085</x:v>
      </x:c>
      <x:c r="T378" s="58" t="n">
        <x:f>S378+T377</x:f>
        <x:v>1806081.2085049474</x:v>
      </x:c>
      <x:c r="U378" s="58" t="n">
        <x:f>T378+U377</x:f>
        <x:v>2053824.5074169408</x:v>
      </x:c>
      <x:c r="V378" s="58" t="n">
        <x:f>U378+V377</x:f>
        <x:v>2318031.381102934</x:v>
      </x:c>
      <x:c r="W378" s="58" t="n">
        <x:f>V378+W377</x:f>
        <x:v>2599634.5278294217</x:v>
      </x:c>
      <x:c r="X378" s="58" t="n">
        <x:f>W378+X377</x:f>
        <x:v>2884825.848129181</x:v>
      </x:c>
      <x:c r="Y378" s="58" t="n">
        <x:f>X378+Y377</x:f>
        <x:v>3189949.2373094154</x:v>
      </x:c>
      <x:c r="Z378" s="58" t="n">
        <x:f>Y378+Z377</x:f>
        <x:v>3490884.482469479</x:v>
      </x:c>
      <x:c r="AA378" s="58" t="n">
        <x:f>Z378+AA377</x:f>
        <x:v>3833494.3274037642</x:v>
      </x:c>
      <x:c r="AB378" s="58" t="n">
        <x:f>AA378+AB377</x:f>
        <x:v>4195231.282818971</x:v>
      </x:c>
      <x:c r="AC378" s="58" t="n">
        <x:f>AB378+AC377</x:f>
        <x:v>4577502.659173238</x:v>
      </x:c>
      <x:c r="AD378" s="58" t="n">
        <x:f>AC378+AD377</x:f>
        <x:v>4981342.83771198</x:v>
      </x:c>
      <x:c r="AE378" s="58" t="n">
        <x:f>AD378+AE377</x:f>
        <x:v>5407308.382584359</x:v>
      </x:c>
      <x:c r="AF378" s="58" t="n">
        <x:f>AE378+AF377</x:f>
        <x:v>5856415.5145052215</x:v>
      </x:c>
      <x:c r="AG378" s="58" t="n">
        <x:f>AF378+AG377</x:f>
        <x:v>6362757.447887061</x:v>
      </x:c>
      <x:c r="AH378" s="58" t="n">
        <x:f>AG378+AH377</x:f>
        <x:v>6896396.92618688</x:v>
      </x:c>
      <x:c r="AI378" s="58" t="n">
        <x:f>AH378+AI377</x:f>
        <x:v>7458670.245495683</x:v>
      </x:c>
      <x:c r="AJ378" s="58" t="n">
        <x:f>AI378+AJ377</x:f>
        <x:v>8051160.438861096</x:v>
      </x:c>
      <x:c r="AK378" s="58" t="n">
        <x:f>AJ378+AK377</x:f>
        <x:v>8675598.259874746</x:v>
      </x:c>
    </x:row>
    <x:row r="379" ht="18" customHeight="1">
      <x:c r="A379" s="74" t="str">
        <x:v>CLOSING CASH, BEFORE TAX / OWNER DRAWS</x:v>
      </x:c>
      <x:c r="B379" s="75" t="n">
        <x:f>'Commercial Inputs'!$B$29+B378</x:f>
        <x:v>78738.21246389831</x:v>
      </x:c>
      <x:c r="C379" s="75" t="n">
        <x:f>'Commercial Inputs'!$B$29+C378</x:f>
        <x:v>101557.91532344569</x:v>
      </x:c>
      <x:c r="D379" s="75" t="n">
        <x:f>'Commercial Inputs'!$B$29+D378</x:f>
        <x:v>128607.10748632197</x:v>
      </x:c>
      <x:c r="E379" s="75" t="n">
        <x:f>'Commercial Inputs'!$B$29+E378</x:f>
        <x:v>160053.226405587</x:v>
      </x:c>
      <x:c r="F379" s="75" t="n">
        <x:f>'Commercial Inputs'!$B$29+F378</x:f>
        <x:v>204209.3907889722</x:v>
      </x:c>
      <x:c r="G379" s="75" t="n">
        <x:f>'Commercial Inputs'!$B$29+G378</x:f>
        <x:v>253986.0058411325</x:v>
      </x:c>
      <x:c r="H379" s="75" t="n">
        <x:f>'Commercial Inputs'!$B$29+H378</x:f>
        <x:v>309644.52615337033</x:v>
      </x:c>
      <x:c r="I379" s="75" t="n">
        <x:f>'Commercial Inputs'!$B$29+I378</x:f>
        <x:v>388900.6066774893</x:v>
      </x:c>
      <x:c r="J379" s="75" t="n">
        <x:f>'Commercial Inputs'!$B$29+J378</x:f>
        <x:v>476040.8157791982</x:v>
      </x:c>
      <x:c r="K379" s="75" t="n">
        <x:f>'Commercial Inputs'!$B$29+K378</x:f>
        <x:v>571714.340704236</x:v>
      </x:c>
      <x:c r="L379" s="75" t="n">
        <x:f>'Commercial Inputs'!$B$29+L378</x:f>
        <x:v>676760.8575483848</x:v>
      </x:c>
      <x:c r="M379" s="75" t="n">
        <x:f>'Commercial Inputs'!$B$29+M378</x:f>
        <x:v>782155.9495926505</x:v>
      </x:c>
      <x:c r="N379" s="75" t="n">
        <x:f>'Commercial Inputs'!$B$29+N378</x:f>
        <x:v>884341.044056563</x:v>
      </x:c>
      <x:c r="O379" s="75" t="n">
        <x:f>'Commercial Inputs'!$B$29+O378</x:f>
        <x:v>1025111.9951169033</x:v>
      </x:c>
      <x:c r="P379" s="75" t="n">
        <x:f>'Commercial Inputs'!$B$29+P378</x:f>
        <x:v>1176394.695307557</x:v>
      </x:c>
      <x:c r="Q379" s="75" t="n">
        <x:f>'Commercial Inputs'!$B$29+Q378</x:f>
        <x:v>1339798.5246643783</x:v>
      </x:c>
      <x:c r="R379" s="75" t="n">
        <x:f>'Commercial Inputs'!$B$29+R378</x:f>
        <x:v>1516015.7477632852</x:v>
      </x:c>
      <x:c r="S379" s="75" t="n">
        <x:f>'Commercial Inputs'!$B$29+S378</x:f>
        <x:v>1704739.8176035085</x:v>
      </x:c>
      <x:c r="T379" s="75" t="n">
        <x:f>'Commercial Inputs'!$B$29+T378</x:f>
        <x:v>1906081.2085049474</x:v>
      </x:c>
      <x:c r="U379" s="75" t="n">
        <x:f>'Commercial Inputs'!$B$29+U378</x:f>
        <x:v>2153824.5074169408</x:v>
      </x:c>
      <x:c r="V379" s="75" t="n">
        <x:f>'Commercial Inputs'!$B$29+V378</x:f>
        <x:v>2418031.381102934</x:v>
      </x:c>
      <x:c r="W379" s="75" t="n">
        <x:f>'Commercial Inputs'!$B$29+W378</x:f>
        <x:v>2699634.5278294217</x:v>
      </x:c>
      <x:c r="X379" s="75" t="n">
        <x:f>'Commercial Inputs'!$B$29+X378</x:f>
        <x:v>2984825.848129181</x:v>
      </x:c>
      <x:c r="Y379" s="75" t="n">
        <x:f>'Commercial Inputs'!$B$29+Y378</x:f>
        <x:v>3289949.2373094154</x:v>
      </x:c>
      <x:c r="Z379" s="75" t="n">
        <x:f>'Commercial Inputs'!$B$29+Z378</x:f>
        <x:v>3590884.482469479</x:v>
      </x:c>
      <x:c r="AA379" s="75" t="n">
        <x:f>'Commercial Inputs'!$B$29+AA378</x:f>
        <x:v>3933494.3274037642</x:v>
      </x:c>
      <x:c r="AB379" s="75" t="n">
        <x:f>'Commercial Inputs'!$B$29+AB378</x:f>
        <x:v>4295231.282818971</x:v>
      </x:c>
      <x:c r="AC379" s="75" t="n">
        <x:f>'Commercial Inputs'!$B$29+AC378</x:f>
        <x:v>4677502.659173238</x:v>
      </x:c>
      <x:c r="AD379" s="75" t="n">
        <x:f>'Commercial Inputs'!$B$29+AD378</x:f>
        <x:v>5081342.83771198</x:v>
      </x:c>
      <x:c r="AE379" s="75" t="n">
        <x:f>'Commercial Inputs'!$B$29+AE378</x:f>
        <x:v>5507308.382584359</x:v>
      </x:c>
      <x:c r="AF379" s="75" t="n">
        <x:f>'Commercial Inputs'!$B$29+AF378</x:f>
        <x:v>5956415.5145052215</x:v>
      </x:c>
      <x:c r="AG379" s="75" t="n">
        <x:f>'Commercial Inputs'!$B$29+AG378</x:f>
        <x:v>6462757.447887061</x:v>
      </x:c>
      <x:c r="AH379" s="75" t="n">
        <x:f>'Commercial Inputs'!$B$29+AH378</x:f>
        <x:v>6996396.92618688</x:v>
      </x:c>
      <x:c r="AI379" s="75" t="n">
        <x:f>'Commercial Inputs'!$B$29+AI378</x:f>
        <x:v>7558670.245495683</x:v>
      </x:c>
      <x:c r="AJ379" s="75" t="n">
        <x:f>'Commercial Inputs'!$B$29+AJ378</x:f>
        <x:v>8151160.438861096</x:v>
      </x:c>
      <x:c r="AK379" s="75" t="n">
        <x:f>'Commercial Inputs'!$B$29+AK378</x:f>
        <x:v>8775598.259874746</x:v>
      </x:c>
    </x:row>
    <x:row r="380" ht="18" customHeight="1">
      <x:c r="A380" s="74" t="str">
        <x:v>Unearned annual subscription revenue (INR)</x:v>
      </x:c>
      <x:c r="B380" s="75" t="n">
        <x:f>0+B358-B353</x:f>
        <x:v>43515.59686165255</x:v>
      </x:c>
      <x:c r="C380" s="75" t="n">
        <x:f>B380+C358-C353</x:f>
        <x:v>86480.79882228815</x:v>
      </x:c>
      <x:c r="D380" s="75" t="n">
        <x:f>C380+D358-D353</x:f>
        <x:v>128994.67696408983</x:v>
      </x:c>
      <x:c r="E380" s="75" t="n">
        <x:f>D380+E358-E353</x:f>
        <x:v>186304.0506770688</x:v>
      </x:c>
      <x:c r="F380" s="75" t="n">
        <x:f>E380+F358-F353</x:f>
        <x:v>242021.34769620688</x:v>
      </x:c>
      <x:c r="G380" s="75" t="n">
        <x:f>F380+G358-G353</x:f>
        <x:v>296285.7557588534</x:v>
      </x:c>
      <x:c r="H380" s="75" t="n">
        <x:f>G380+H358-H353</x:f>
        <x:v>382047.52798309946</x:v>
      </x:c>
      <x:c r="I380" s="75" t="n">
        <x:f>H380+I358-I353</x:f>
        <x:v>463705.59290057427</x:v>
      </x:c>
      <x:c r="J380" s="75" t="n">
        <x:f>I380+J358-J353</x:f>
        <x:v>541455.4992607364</x:v>
      </x:c>
      <x:c r="K380" s="75" t="n">
        <x:f>J380+K358-K353</x:f>
        <x:v>615516.2616629796</x:v>
      </x:c>
      <x:c r="L380" s="75" t="n">
        <x:f>K380+L358-L353</x:f>
        <x:v>686133.1764586248</x:v>
      </x:c>
      <x:c r="M380" s="75" t="n">
        <x:f>L380+M358-M353</x:f>
        <x:v>753580.9755611513</x:v>
      </x:c>
      <x:c r="N380" s="75" t="n">
        <x:f>M380+N358-N353</x:f>
        <x:v>876105.5500086807</x:v>
      </x:c>
      <x:c r="O380" s="75" t="n">
        <x:f>N380+O358-O353</x:f>
        <x:v>991228.3515994934</x:v>
      </x:c>
      <x:c r="P380" s="75" t="n">
        <x:f>O380+P358-P353</x:f>
        <x:v>1099217.4955613748</x:v>
      </x:c>
      <x:c r="Q380" s="75" t="n">
        <x:f>P380+Q358-Q353</x:f>
        <x:v>1203955.2477357744</x:v>
      </x:c>
      <x:c r="R380" s="75" t="n">
        <x:f>Q380+R358-R353</x:f>
        <x:v>1303383.646380891</x:v>
      </x:c>
      <x:c r="S380" s="75" t="n">
        <x:f>R380+S358-S353</x:f>
        <x:v>1397892.8862042576</x:v>
      </x:c>
      <x:c r="T380" s="75" t="n">
        <x:f>S380+T358-T353</x:f>
        <x:v>1553010.3615439811</x:v>
      </x:c>
      <x:c r="U380" s="75" t="n">
        <x:f>T380+U358-U353</x:f>
        <x:v>1701485.6125978902</x:v>
      </x:c>
      <x:c r="V380" s="75" t="n">
        <x:f>U380+V358-V353</x:f>
        <x:v>1843883.8562117154</x:v>
      </x:c>
      <x:c r="W380" s="75" t="n">
        <x:f>V380+W358-W353</x:f>
        <x:v>1980844.041497492</x:v>
      </x:c>
      <x:c r="X380" s="75" t="n">
        <x:f>W380+X358-X353</x:f>
        <x:v>2113088.170205102</x:v>
      </x:c>
      <x:c r="Y380" s="75" t="n">
        <x:f>X380+Y358-Y353</x:f>
        <x:v>2241431.7733383668</x:v>
      </x:c>
      <x:c r="Z380" s="75" t="n">
        <x:f>Y380+Z358-Z353</x:f>
        <x:v>2413526.8232995314</x:v>
      </x:c>
      <x:c r="AA380" s="75" t="n">
        <x:f>Z380+AA358-AA353</x:f>
        <x:v>2578308.0790371094</x:v>
      </x:c>
      <x:c r="AB380" s="75" t="n">
        <x:f>AA380+AB358-AB353</x:f>
        <x:v>2736168.8881204687</x:v>
      </x:c>
      <x:c r="AC380" s="75" t="n">
        <x:f>AB380+AC358-AC353</x:f>
        <x:v>2888921.281359344</x:v>
      </x:c>
      <x:c r="AD380" s="75" t="n">
        <x:f>AC380+AD358-AD353</x:f>
        <x:v>3035768.3721442986</x:v>
      </x:c>
      <x:c r="AE380" s="75" t="n">
        <x:f>AD380+AE358-AE353</x:f>
        <x:v>3177247.6794863306</x:v>
      </x:c>
      <x:c r="AF380" s="75" t="n">
        <x:f>AE380+AF358-AF353</x:f>
        <x:v>3382608.7748495634</x:v>
      </x:c>
      <x:c r="AG380" s="75" t="n">
        <x:f>AF380+AG358-AG353</x:f>
        <x:v>3583774.4039023397</x:v>
      </x:c>
      <x:c r="AH380" s="75" t="n">
        <x:f>AG380+AH358-AH353</x:f>
        <x:v>3781473.5316643985</x:v>
      </x:c>
      <x:c r="AI380" s="75" t="n">
        <x:f>AH380+AI358-AI353</x:f>
        <x:v>3976511.89523057</x:v>
      </x:c>
      <x:c r="AJ380" s="75" t="n">
        <x:f>AI380+AJ358-AJ353</x:f>
        <x:v>4169779.5282592527</x:v>
      </x:c>
      <x:c r="AK380" s="75" t="n">
        <x:f>AJ380+AK358-AK353</x:f>
        <x:v>4362259.00343493</x:v>
      </x:c>
    </x:row>
    <x:row r="381" ht="18" customHeight="1">
      <x:c r="A381" s="4" t="str">
        <x:v>Payout receivable (INR)</x:v>
      </x:c>
      <x:c r="B381" s="58" t="n">
        <x:f>'Commercial Inputs'!$B$31*B374</x:f>
        <x:v>22221.14111389831</x:v>
      </x:c>
      <x:c r="C381" s="58" t="n">
        <x:f>'Commercial Inputs'!$B$31*C374</x:f>
        <x:v>24532.905256534068</x:v>
      </x:c>
      <x:c r="D381" s="58" t="n">
        <x:f>'Commercial Inputs'!$B$31*D374</x:f>
        <x:v>26942.110590578297</x:v>
      </x:c>
      <x:c r="E381" s="58" t="n">
        <x:f>'Commercial Inputs'!$B$31*E374</x:f>
        <x:v>37291.124472885305</x:v>
      </x:c>
      <x:c r="F381" s="58" t="n">
        <x:f>'Commercial Inputs'!$B$31*F374</x:f>
        <x:v>40357.73016889496</x:v>
      </x:c>
      <x:c r="G381" s="58" t="n">
        <x:f>'Commercial Inputs'!$B$31*G374</x:f>
        <x:v>43657.02349145262</x:v>
      </x:c>
      <x:c r="H381" s="58" t="n">
        <x:f>'Commercial Inputs'!$B$31*H374</x:f>
        <x:v>64011.23714653071</x:v>
      </x:c>
      <x:c r="I381" s="58" t="n">
        <x:f>'Commercial Inputs'!$B$31*I374</x:f>
        <x:v>68409.06668802009</x:v>
      </x:c>
      <x:c r="J381" s="58" t="n">
        <x:f>'Commercial Inputs'!$B$31*J374</x:f>
        <x:v>73101.57246383774</x:v>
      </x:c>
      <x:c r="K381" s="58" t="n">
        <x:f>'Commercial Inputs'!$B$31*K374</x:f>
        <x:v>78219.19377149401</x:v>
      </x:c>
      <x:c r="L381" s="58" t="n">
        <x:f>'Commercial Inputs'!$B$31*L374</x:f>
        <x:v>83833.14550241787</x:v>
      </x:c>
      <x:c r="M381" s="58" t="n">
        <x:f>'Commercial Inputs'!$B$31*M374</x:f>
        <x:v>90020.23090456797</x:v>
      </x:c>
      <x:c r="N381" s="58" t="n">
        <x:f>'Commercial Inputs'!$B$31*N374</x:f>
        <x:v>124286.66817662267</x:v>
      </x:c>
      <x:c r="O381" s="58" t="n">
        <x:f>'Commercial Inputs'!$B$31*O374</x:f>
        <x:v>130327.59508560853</x:v>
      </x:c>
      <x:c r="P381" s="58" t="n">
        <x:f>'Commercial Inputs'!$B$31*P374</x:f>
        <x:v>136548.16096581903</x:v>
      </x:c>
      <x:c r="Q381" s="58" t="n">
        <x:f>'Commercial Inputs'!$B$31*Q374</x:f>
        <x:v>144177.0343868906</x:v>
      </x:c>
      <x:c r="R381" s="58" t="n">
        <x:f>'Commercial Inputs'!$B$31*R374</x:f>
        <x:v>151118.24785241374</x:v>
      </x:c>
      <x:c r="S381" s="58" t="n">
        <x:f>'Commercial Inputs'!$B$31*S374</x:f>
        <x:v>158500.87185925938</x:v>
      </x:c>
      <x:c r="T381" s="58" t="n">
        <x:f>'Commercial Inputs'!$B$31*T374</x:f>
        <x:v>197986.0713344654</x:v>
      </x:c>
      <x:c r="U381" s="58" t="n">
        <x:f>'Commercial Inputs'!$B$31*U374</x:f>
        <x:v>207174.81655840407</x:v>
      </x:c>
      <x:c r="V381" s="58" t="n">
        <x:f>'Commercial Inputs'!$B$31*V374</x:f>
        <x:v>216772.4830793176</x:v>
      </x:c>
      <x:c r="W381" s="58" t="n">
        <x:f>'Commercial Inputs'!$B$31*W374</x:f>
        <x:v>226967.3867654637</x:v>
      </x:c>
      <x:c r="X381" s="58" t="n">
        <x:f>'Commercial Inputs'!$B$31*X374</x:f>
        <x:v>237837.97563505216</x:v>
      </x:c>
      <x:c r="Y381" s="58" t="n">
        <x:f>'Commercial Inputs'!$B$31*Y374</x:f>
        <x:v>249465.1672030452</x:v>
      </x:c>
      <x:c r="Z381" s="58" t="n">
        <x:f>'Commercial Inputs'!$B$31*Z374</x:f>
        <x:v>283057.17218710505</x:v>
      </x:c>
      <x:c r="AA381" s="58" t="n">
        <x:f>'Commercial Inputs'!$B$31*AA374</x:f>
        <x:v>293767.31506760605</x:v>
      </x:c>
      <x:c r="AB381" s="58" t="n">
        <x:f>'Commercial Inputs'!$B$31*AB374</x:f>
        <x:v>304870.16941834113</x:v>
      </x:c>
      <x:c r="AC381" s="58" t="n">
        <x:f>'Commercial Inputs'!$B$31*AC374</x:f>
        <x:v>317068.2671709259</x:v>
      </x:c>
      <x:c r="AD381" s="58" t="n">
        <x:f>'Commercial Inputs'!$B$31*AD374</x:f>
        <x:v>329272.52791725437</x:v>
      </x:c>
      <x:c r="AE381" s="58" t="n">
        <x:f>'Commercial Inputs'!$B$31*AE374</x:f>
        <x:v>342114.1705933507</x:v>
      </x:c>
      <x:c r="AF381" s="58" t="n">
        <x:f>'Commercial Inputs'!$B$31*AF374</x:f>
        <x:v>387580.5113080129</x:v>
      </x:c>
      <x:c r="AG381" s="58" t="n">
        <x:f>'Commercial Inputs'!$B$31*AG374</x:f>
        <x:v>402559.512915085</x:v>
      </x:c>
      <x:c r="AH381" s="58" t="n">
        <x:f>'Commercial Inputs'!$B$31*AH374</x:f>
        <x:v>418168.4077079295</x:v>
      </x:c>
      <x:c r="AI381" s="58" t="n">
        <x:f>'Commercial Inputs'!$B$31*AI374</x:f>
        <x:v>434584.4619201564</x:v>
      </x:c>
      <x:c r="AJ381" s="58" t="n">
        <x:f>'Commercial Inputs'!$B$31*AJ374</x:f>
        <x:v>451884.3043797393</x:v>
      </x:c>
      <x:c r="AK381" s="58" t="n">
        <x:f>'Commercial Inputs'!$B$31*AK374</x:f>
        <x:v>470145.9563330797</x:v>
      </x:c>
    </x:row>
    <x:row r="382" ht="18" customHeight="1">
      <x:c r="A382" s="4" t="str">
        <x:v>Cash-profit bridge check: must be zero</x:v>
      </x:c>
      <x:c r="B382" s="58" t="n">
        <x:f>ROUND(B377-(B371+(B380-0)-(B381-0)),6)</x:f>
        <x:v>0</x:v>
      </x:c>
      <x:c r="C382" s="58" t="n">
        <x:f>ROUND(C377-(C371+(C380-B380)-(C381-B381)),6)</x:f>
        <x:v>0</x:v>
      </x:c>
      <x:c r="D382" s="58" t="n">
        <x:f>ROUND(D377-(D371+(D380-C380)-(D381-C381)),6)</x:f>
        <x:v>0</x:v>
      </x:c>
      <x:c r="E382" s="58" t="n">
        <x:f>ROUND(E377-(E371+(E380-D380)-(E381-D381)),6)</x:f>
        <x:v>0</x:v>
      </x:c>
      <x:c r="F382" s="58" t="n">
        <x:f>ROUND(F377-(F371+(F380-E380)-(F381-E381)),6)</x:f>
        <x:v>0</x:v>
      </x:c>
      <x:c r="G382" s="58" t="n">
        <x:f>ROUND(G377-(G371+(G380-F380)-(G381-F381)),6)</x:f>
        <x:v>0</x:v>
      </x:c>
      <x:c r="H382" s="58" t="n">
        <x:f>ROUND(H377-(H371+(H380-G380)-(H381-G381)),6)</x:f>
        <x:v>0</x:v>
      </x:c>
      <x:c r="I382" s="58" t="n">
        <x:f>ROUND(I377-(I371+(I380-H380)-(I381-H381)),6)</x:f>
        <x:v>0</x:v>
      </x:c>
      <x:c r="J382" s="58" t="n">
        <x:f>ROUND(J377-(J371+(J380-I380)-(J381-I381)),6)</x:f>
        <x:v>0</x:v>
      </x:c>
      <x:c r="K382" s="58" t="n">
        <x:f>ROUND(K377-(K371+(K380-J380)-(K381-J381)),6)</x:f>
        <x:v>0</x:v>
      </x:c>
      <x:c r="L382" s="58" t="n">
        <x:f>ROUND(L377-(L371+(L380-K380)-(L381-K381)),6)</x:f>
        <x:v>0</x:v>
      </x:c>
      <x:c r="M382" s="58" t="n">
        <x:f>ROUND(M377-(M371+(M380-L380)-(M381-L381)),6)</x:f>
        <x:v>0</x:v>
      </x:c>
      <x:c r="N382" s="58" t="n">
        <x:f>ROUND(N377-(N371+(N380-M380)-(N381-M381)),6)</x:f>
        <x:v>0</x:v>
      </x:c>
      <x:c r="O382" s="58" t="n">
        <x:f>ROUND(O377-(O371+(O380-N380)-(O381-N381)),6)</x:f>
        <x:v>0</x:v>
      </x:c>
      <x:c r="P382" s="58" t="n">
        <x:f>ROUND(P377-(P371+(P380-O380)-(P381-O381)),6)</x:f>
        <x:v>0</x:v>
      </x:c>
      <x:c r="Q382" s="58" t="n">
        <x:f>ROUND(Q377-(Q371+(Q380-P380)-(Q381-P381)),6)</x:f>
        <x:v>0</x:v>
      </x:c>
      <x:c r="R382" s="58" t="n">
        <x:f>ROUND(R377-(R371+(R380-Q380)-(R381-Q381)),6)</x:f>
        <x:v>0</x:v>
      </x:c>
      <x:c r="S382" s="58" t="n">
        <x:f>ROUND(S377-(S371+(S380-R380)-(S381-R381)),6)</x:f>
        <x:v>0</x:v>
      </x:c>
      <x:c r="T382" s="58" t="n">
        <x:f>ROUND(T377-(T371+(T380-S380)-(T381-S381)),6)</x:f>
        <x:v>0</x:v>
      </x:c>
      <x:c r="U382" s="58" t="n">
        <x:f>ROUND(U377-(U371+(U380-T380)-(U381-T381)),6)</x:f>
        <x:v>0</x:v>
      </x:c>
      <x:c r="V382" s="58" t="n">
        <x:f>ROUND(V377-(V371+(V380-U380)-(V381-U381)),6)</x:f>
        <x:v>0</x:v>
      </x:c>
      <x:c r="W382" s="58" t="n">
        <x:f>ROUND(W377-(W371+(W380-V380)-(W381-V381)),6)</x:f>
        <x:v>0</x:v>
      </x:c>
      <x:c r="X382" s="58" t="n">
        <x:f>ROUND(X377-(X371+(X380-W380)-(X381-W381)),6)</x:f>
        <x:v>0</x:v>
      </x:c>
      <x:c r="Y382" s="58" t="n">
        <x:f>ROUND(Y377-(Y371+(Y380-X380)-(Y381-X381)),6)</x:f>
        <x:v>0</x:v>
      </x:c>
      <x:c r="Z382" s="58" t="n">
        <x:f>ROUND(Z377-(Z371+(Z380-Y380)-(Z381-Y381)),6)</x:f>
        <x:v>0</x:v>
      </x:c>
      <x:c r="AA382" s="58" t="n">
        <x:f>ROUND(AA377-(AA371+(AA380-Z380)-(AA381-Z381)),6)</x:f>
        <x:v>0</x:v>
      </x:c>
      <x:c r="AB382" s="58" t="n">
        <x:f>ROUND(AB377-(AB371+(AB380-AA380)-(AB381-AA381)),6)</x:f>
        <x:v>0</x:v>
      </x:c>
      <x:c r="AC382" s="58" t="n">
        <x:f>ROUND(AC377-(AC371+(AC380-AB380)-(AC381-AB381)),6)</x:f>
        <x:v>0</x:v>
      </x:c>
      <x:c r="AD382" s="58" t="n">
        <x:f>ROUND(AD377-(AD371+(AD380-AC380)-(AD381-AC381)),6)</x:f>
        <x:v>0</x:v>
      </x:c>
      <x:c r="AE382" s="58" t="n">
        <x:f>ROUND(AE377-(AE371+(AE380-AD380)-(AE381-AD381)),6)</x:f>
        <x:v>0</x:v>
      </x:c>
      <x:c r="AF382" s="58" t="n">
        <x:f>ROUND(AF377-(AF371+(AF380-AE380)-(AF381-AE381)),6)</x:f>
        <x:v>0</x:v>
      </x:c>
      <x:c r="AG382" s="58" t="n">
        <x:f>ROUND(AG377-(AG371+(AG380-AF380)-(AG381-AF381)),6)</x:f>
        <x:v>0</x:v>
      </x:c>
      <x:c r="AH382" s="58" t="n">
        <x:f>ROUND(AH377-(AH371+(AH380-AG380)-(AH381-AG381)),6)</x:f>
        <x:v>0</x:v>
      </x:c>
      <x:c r="AI382" s="58" t="n">
        <x:f>ROUND(AI377-(AI371+(AI380-AH380)-(AI381-AH381)),6)</x:f>
        <x:v>0</x:v>
      </x:c>
      <x:c r="AJ382" s="58" t="n">
        <x:f>ROUND(AJ377-(AJ371+(AJ380-AI380)-(AJ381-AI381)),6)</x:f>
        <x:v>0</x:v>
      </x:c>
      <x:c r="AK382" s="58" t="n">
        <x:f>ROUND(AK377-(AK371+(AK380-AJ380)-(AK381-AJ381)),6)</x:f>
        <x:v>0</x:v>
      </x:c>
    </x:row>
    <x:row r="383" ht="18" customHeight="1">
      <x:c r="A383" s="4" t="str">
        <x:v>Remaining paid-service cost reserve (INR)</x:v>
      </x:c>
      <x:c r="B383" s="58" t="n">
        <x:f>B380/$B$399*'Commercial Inputs'!$B$46*('Commercial Inputs'!$B$24*$B$405+'Commercial Inputs'!$B$28)</x:f>
        <x:v>2104.6975125000004</x:v>
      </x:c>
      <x:c r="C383" s="58" t="n">
        <x:f>C380/$B$399*'Commercial Inputs'!$B$46*('Commercial Inputs'!$B$24*$B$405+'Commercial Inputs'!$B$28)</x:f>
        <x:v>4182.774345000001</x:v>
      </x:c>
      <x:c r="D383" s="58" t="n">
        <x:f>D380/$B$399*'Commercial Inputs'!$B$46*('Commercial Inputs'!$B$24*$B$405+'Commercial Inputs'!$B$28)</x:f>
        <x:v>6239.0222199</x:v>
      </x:c>
      <x:c r="E383" s="58" t="n">
        <x:f>E380/$B$399*'Commercial Inputs'!$B$46*('Commercial Inputs'!$B$24*$B$405+'Commercial Inputs'!$B$28)</x:f>
        <x:v>9010.876566288001</x:v>
      </x:c>
      <x:c r="F383" s="58" t="n">
        <x:f>F380/$B$399*'Commercial Inputs'!$B$46*('Commercial Inputs'!$B$24*$B$405+'Commercial Inputs'!$B$28)</x:f>
        <x:v>11705.727720742561</x:v>
      </x:c>
      <x:c r="G383" s="58" t="n">
        <x:f>G380/$B$399*'Commercial Inputs'!$B$46*('Commercial Inputs'!$B$24*$B$405+'Commercial Inputs'!$B$28)</x:f>
        <x:v>14330.307708231667</x:v>
      </x:c>
      <x:c r="H383" s="58" t="n">
        <x:f>H380/$B$399*'Commercial Inputs'!$B$46*('Commercial Inputs'!$B$24*$B$405+'Commercial Inputs'!$B$28)</x:f>
        <x:v>18478.30524671947</x:v>
      </x:c>
      <x:c r="I383" s="58" t="n">
        <x:f>I380/$B$399*'Commercial Inputs'!$B$46*('Commercial Inputs'!$B$24*$B$405+'Commercial Inputs'!$B$28)</x:f>
        <x:v>22427.82078832581</x:v>
      </x:c>
      <x:c r="J383" s="58" t="n">
        <x:f>J380/$B$399*'Commercial Inputs'!$B$46*('Commercial Inputs'!$B$24*$B$405+'Commercial Inputs'!$B$28)</x:f>
        <x:v>26188.312343424906</x:v>
      </x:c>
      <x:c r="K383" s="58" t="n">
        <x:f>K380/$B$399*'Commercial Inputs'!$B$46*('Commercial Inputs'!$B$24*$B$405+'Commercial Inputs'!$B$28)</x:f>
        <x:v>29770.372883635897</x:v>
      </x:c>
      <x:c r="L383" s="58" t="n">
        <x:f>L380/$B$399*'Commercial Inputs'!$B$46*('Commercial Inputs'!$B$24*$B$405+'Commercial Inputs'!$B$28)</x:f>
        <x:v>33185.8665371722</x:v>
      </x:c>
      <x:c r="M383" s="58" t="n">
        <x:f>M380/$B$399*'Commercial Inputs'!$B$46*('Commercial Inputs'!$B$24*$B$405+'Commercial Inputs'!$B$28)</x:f>
        <x:v>36448.081127632875</x:v>
      </x:c>
      <x:c r="N383" s="58" t="n">
        <x:f>N380/$B$399*'Commercial Inputs'!$B$46*('Commercial Inputs'!$B$24*$B$405+'Commercial Inputs'!$B$28)</x:f>
        <x:v>42374.16707515406</x:v>
      </x:c>
      <x:c r="O383" s="58" t="n">
        <x:f>O380/$B$399*'Commercial Inputs'!$B$46*('Commercial Inputs'!$B$24*$B$405+'Commercial Inputs'!$B$28)</x:f>
        <x:v>47942.25510829182</x:v>
      </x:c>
      <x:c r="P383" s="58" t="n">
        <x:f>P380/$B$399*'Commercial Inputs'!$B$46*('Commercial Inputs'!$B$24*$B$405+'Commercial Inputs'!$B$28)</x:f>
        <x:v>53165.31302465621</x:v>
      </x:c>
      <x:c r="Q383" s="58" t="n">
        <x:f>Q380/$B$399*'Commercial Inputs'!$B$46*('Commercial Inputs'!$B$24*$B$405+'Commercial Inputs'!$B$28)</x:f>
        <x:v>58231.11247047655</x:v>
      </x:c>
      <x:c r="R383" s="58" t="n">
        <x:f>R380/$B$399*'Commercial Inputs'!$B$46*('Commercial Inputs'!$B$24*$B$405+'Commercial Inputs'!$B$28)</x:f>
        <x:v>63040.117020398015</x:v>
      </x:c>
      <x:c r="S383" s="58" t="n">
        <x:f>S380/$B$399*'Commercial Inputs'!$B$46*('Commercial Inputs'!$B$24*$B$405+'Commercial Inputs'!$B$28)</x:f>
        <x:v>67611.19903030134</x:v>
      </x:c>
      <x:c r="T383" s="58" t="n">
        <x:f>T380/$B$399*'Commercial Inputs'!$B$46*('Commercial Inputs'!$B$24*$B$405+'Commercial Inputs'!$B$28)</x:f>
        <x:v>75113.68981609354</x:v>
      </x:c>
      <x:c r="U383" s="58" t="n">
        <x:f>U380/$B$399*'Commercial Inputs'!$B$46*('Commercial Inputs'!$B$24*$B$405+'Commercial Inputs'!$B$28)</x:f>
        <x:v>82294.91940038443</x:v>
      </x:c>
      <x:c r="V383" s="58" t="n">
        <x:f>V380/$B$399*'Commercial Inputs'!$B$46*('Commercial Inputs'!$B$24*$B$405+'Commercial Inputs'!$B$28)</x:f>
        <x:v>89182.22534889821</x:v>
      </x:c>
      <x:c r="W383" s="58" t="n">
        <x:f>W380/$B$399*'Commercial Inputs'!$B$46*('Commercial Inputs'!$B$24*$B$405+'Commercial Inputs'!$B$28)</x:f>
        <x:v>95806.51139968976</x:v>
      </x:c>
      <x:c r="X383" s="58" t="n">
        <x:f>X380/$B$399*'Commercial Inputs'!$B$46*('Commercial Inputs'!$B$24*$B$405+'Commercial Inputs'!$B$28)</x:f>
        <x:v>102202.69825697986</x:v>
      </x:c>
      <x:c r="Y383" s="58" t="n">
        <x:f>Y380/$B$399*'Commercial Inputs'!$B$46*('Commercial Inputs'!$B$24*$B$405+'Commercial Inputs'!$B$28)</x:f>
        <x:v>108410.23030850304</x:v>
      </x:c>
      <x:c r="Z383" s="58" t="n">
        <x:f>Z380/$B$399*'Commercial Inputs'!$B$46*('Commercial Inputs'!$B$24*$B$405+'Commercial Inputs'!$B$28)</x:f>
        <x:v>116733.86711206981</x:v>
      </x:c>
      <x:c r="AA383" s="58" t="n">
        <x:f>AA380/$B$399*'Commercial Inputs'!$B$46*('Commercial Inputs'!$B$24*$B$405+'Commercial Inputs'!$B$28)</x:f>
        <x:v>124703.76122061488</x:v>
      </x:c>
      <x:c r="AB383" s="58" t="n">
        <x:f>AB380/$B$399*'Commercial Inputs'!$B$46*('Commercial Inputs'!$B$24*$B$405+'Commercial Inputs'!$B$28)</x:f>
        <x:v>132338.93748293965</x:v>
      </x:c>
      <x:c r="AC383" s="58" t="n">
        <x:f>AC380/$B$399*'Commercial Inputs'!$B$46*('Commercial Inputs'!$B$24*$B$405+'Commercial Inputs'!$B$28)</x:f>
        <x:v>139727.03750373007</x:v>
      </x:c>
      <x:c r="AD383" s="58" t="n">
        <x:f>AD380/$B$399*'Commercial Inputs'!$B$46*('Commercial Inputs'!$B$24*$B$405+'Commercial Inputs'!$B$28)</x:f>
        <x:v>146829.51865952267</x:v>
      </x:c>
      <x:c r="AE383" s="58" t="n">
        <x:f>AE380/$B$399*'Commercial Inputs'!$B$46*('Commercial Inputs'!$B$24*$B$405+'Commercial Inputs'!$B$28)</x:f>
        <x:v>153672.37886846546</x:v>
      </x:c>
      <x:c r="AF383" s="58" t="n">
        <x:f>AF380/$B$399*'Commercial Inputs'!$B$46*('Commercial Inputs'!$B$24*$B$405+'Commercial Inputs'!$B$28)</x:f>
        <x:v>163604.9781603796</x:v>
      </x:c>
      <x:c r="AG383" s="58" t="n">
        <x:f>AG380/$B$399*'Commercial Inputs'!$B$46*('Commercial Inputs'!$B$24*$B$405+'Commercial Inputs'!$B$28)</x:f>
        <x:v>173334.65739272363</x:v>
      </x:c>
      <x:c r="AH383" s="58" t="n">
        <x:f>AH380/$B$399*'Commercial Inputs'!$B$46*('Commercial Inputs'!$B$24*$B$405+'Commercial Inputs'!$B$28)</x:f>
        <x:v>182896.6740587734</x:v>
      </x:c>
      <x:c r="AI383" s="58" t="n">
        <x:f>AI380/$B$399*'Commercial Inputs'!$B$46*('Commercial Inputs'!$B$24*$B$405+'Commercial Inputs'!$B$28)</x:f>
        <x:v>192329.9988490749</x:v>
      </x:c>
      <x:c r="AJ383" s="58" t="n">
        <x:f>AJ380/$B$399*'Commercial Inputs'!$B$46*('Commercial Inputs'!$B$24*$B$405+'Commercial Inputs'!$B$28)</x:f>
        <x:v>201677.67958468467</x:v>
      </x:c>
      <x:c r="AK383" s="58" t="n">
        <x:f>AK380/$B$399*'Commercial Inputs'!$B$46*('Commercial Inputs'!$B$24*$B$405+'Commercial Inputs'!$B$28)</x:f>
        <x:v>210987.23987630857</x:v>
      </x:c>
    </x:row>
    <x:row r="384" ht="18" customHeight="1">
      <x:c r="A384" s="4" t="str">
        <x:v>Forward liquidity buffer (INR)</x:v>
      </x:c>
      <x:c r="B384" s="58" t="n">
        <x:f>'Commercial Inputs'!$B$34*(SUM(B367:B369)+B362+B331)</x:f>
        <x:v>68079.15</x:v>
      </x:c>
      <x:c r="C384" s="58" t="n">
        <x:f>'Commercial Inputs'!$B$34*(SUM(C367:C369)+C362+C331)</x:f>
        <x:v>68520.10565943</x:v>
      </x:c>
      <x:c r="D384" s="58" t="n">
        <x:f>'Commercial Inputs'!$B$34*(SUM(D367:D369)+D362+D331)</x:f>
        <x:v>69043.96083567082</x:v>
      </x:c>
      <x:c r="E384" s="58" t="n">
        <x:f>'Commercial Inputs'!$B$34*(SUM(E367:E369)+E362+E331)</x:f>
        <x:v>92283.97504324361</x:v>
      </x:c>
      <x:c r="F384" s="58" t="n">
        <x:f>'Commercial Inputs'!$B$34*(SUM(F367:F369)+F362+F331)</x:f>
        <x:v>93047.46809288519</x:v>
      </x:c>
      <x:c r="G384" s="58" t="n">
        <x:f>'Commercial Inputs'!$B$34*(SUM(G367:G369)+G362+G331)</x:f>
        <x:v>93852.456165939</x:v>
      </x:c>
      <x:c r="H384" s="58" t="n">
        <x:f>'Commercial Inputs'!$B$34*(SUM(H367:H369)+H362+H331)</x:f>
        <x:v>143849.71137107117</x:v>
      </x:c>
      <x:c r="I384" s="58" t="n">
        <x:f>'Commercial Inputs'!$B$34*(SUM(I367:I369)+I362+I331)</x:f>
        <x:v>145117.045187102</x:v>
      </x:c>
      <x:c r="J384" s="58" t="n">
        <x:f>'Commercial Inputs'!$B$34*(SUM(J367:J369)+J362+J331)</x:f>
        <x:v>146438.44423757336</x:v>
      </x:c>
      <x:c r="K384" s="58" t="n">
        <x:f>'Commercial Inputs'!$B$34*(SUM(K367:K369)+K362+K331)</x:f>
        <x:v>147832.8803363299</x:v>
      </x:c>
      <x:c r="L384" s="58" t="n">
        <x:f>'Commercial Inputs'!$B$34*(SUM(L367:L369)+L362+L331)</x:f>
        <x:v>149311.77037183152</x:v>
      </x:c>
      <x:c r="M384" s="58" t="n">
        <x:f>'Commercial Inputs'!$B$34*(SUM(M367:M369)+M362+M331)</x:f>
        <x:v>180887.5129415471</x:v>
      </x:c>
      <x:c r="N384" s="58" t="n">
        <x:f>'Commercial Inputs'!$B$34*(SUM(N367:N369)+N362+N331)</x:f>
        <x:v>306558.3834231727</x:v>
      </x:c>
      <x:c r="O384" s="58" t="n">
        <x:f>'Commercial Inputs'!$B$34*(SUM(O367:O369)+O362+O331)</x:f>
        <x:v>308463.21671783086</x:v>
      </x:c>
      <x:c r="P384" s="58" t="n">
        <x:f>'Commercial Inputs'!$B$34*(SUM(P367:P369)+P362+P331)</x:f>
        <x:v>310397.12493146636</x:v>
      </x:c>
      <x:c r="Q384" s="58" t="n">
        <x:f>'Commercial Inputs'!$B$34*(SUM(Q367:Q369)+Q362+Q331)</x:f>
        <x:v>312264.23021173145</x:v>
      </x:c>
      <x:c r="R384" s="58" t="n">
        <x:f>'Commercial Inputs'!$B$34*(SUM(R367:R369)+R362+R331)</x:f>
        <x:v>314185.6763556161</x:v>
      </x:c>
      <x:c r="S384" s="58" t="n">
        <x:f>'Commercial Inputs'!$B$34*(SUM(S367:S369)+S362+S331)</x:f>
        <x:v>316167.2245990963</x:v>
      </x:c>
      <x:c r="T384" s="58" t="n">
        <x:f>'Commercial Inputs'!$B$34*(SUM(T367:T369)+T362+T331)</x:f>
        <x:v>412395.8226704998</x:v>
      </x:c>
      <x:c r="U384" s="58" t="n">
        <x:f>'Commercial Inputs'!$B$34*(SUM(U367:U369)+U362+U331)</x:f>
        <x:v>414874.5143536631</x:v>
      </x:c>
      <x:c r="V384" s="58" t="n">
        <x:f>'Commercial Inputs'!$B$34*(SUM(V367:V369)+V362+V331)</x:f>
        <x:v>417402.89845761505</x:v>
      </x:c>
      <x:c r="W384" s="58" t="n">
        <x:f>'Commercial Inputs'!$B$34*(SUM(W367:W369)+W362+W331)</x:f>
        <x:v>420002.78826363146</x:v>
      </x:c>
      <x:c r="X384" s="58" t="n">
        <x:f>'Commercial Inputs'!$B$34*(SUM(X367:X369)+X362+X331)</x:f>
        <x:v>467681.0269363278</x:v>
      </x:c>
      <x:c r="Y384" s="58" t="n">
        <x:f>'Commercial Inputs'!$B$34*(SUM(Y367:Y369)+Y362+Y331)</x:f>
        <x:v>470444.1568062774</x:v>
      </x:c>
      <x:c r="Z384" s="58" t="n">
        <x:f>'Commercial Inputs'!$B$34*(SUM(Z367:Z369)+Z362+Z331)</x:f>
        <x:v>612033.7008374914</x:v>
      </x:c>
      <x:c r="AA384" s="58" t="n">
        <x:f>'Commercial Inputs'!$B$34*(SUM(AA367:AA369)+AA362+AA331)</x:f>
        <x:v>614897.9553555241</x:v>
      </x:c>
      <x:c r="AB384" s="58" t="n">
        <x:f>'Commercial Inputs'!$B$34*(SUM(AB367:AB369)+AB362+AB331)</x:f>
        <x:v>617821.4540745378</x:v>
      </x:c>
      <x:c r="AC384" s="58" t="n">
        <x:f>'Commercial Inputs'!$B$34*(SUM(AC367:AC369)+AC362+AC331)</x:f>
        <x:v>620810.6723403798</x:v>
      </x:c>
      <x:c r="AD384" s="58" t="n">
        <x:f>'Commercial Inputs'!$B$34*(SUM(AD367:AD369)+AD362+AD331)</x:f>
        <x:v>623880.7767557309</x:v>
      </x:c>
      <x:c r="AE384" s="58" t="n">
        <x:f>'Commercial Inputs'!$B$34*(SUM(AE367:AE369)+AE362+AE331)</x:f>
        <x:v>627037.5362805901</x:v>
      </x:c>
      <x:c r="AF384" s="58" t="n">
        <x:f>'Commercial Inputs'!$B$34*(SUM(AF367:AF369)+AF362+AF331)</x:f>
        <x:v>724199.326237375</x:v>
      </x:c>
      <x:c r="AG384" s="58" t="n">
        <x:f>'Commercial Inputs'!$B$34*(SUM(AG367:AG369)+AG362+AG331)</x:f>
        <x:v>727644.0396120762</x:v>
      </x:c>
      <x:c r="AH384" s="58" t="n">
        <x:f>'Commercial Inputs'!$B$34*(SUM(AH367:AH369)+AH362+AH331)</x:f>
        <x:v>731167.0689740988</x:v>
      </x:c>
      <x:c r="AI384" s="58" t="n">
        <x:f>'Commercial Inputs'!$B$34*(SUM(AI367:AI369)+AI362+AI331)</x:f>
        <x:v>734788.4852609899</x:v>
      </x:c>
      <x:c r="AJ384" s="58" t="n">
        <x:f>'Commercial Inputs'!$B$34*(SUM(AJ367:AJ369)+AJ362+AJ331)</x:f>
        <x:v>738514.6973657683</x:v>
      </x:c>
      <x:c r="AK384" s="58" t="n">
        <x:f>'Commercial Inputs'!$B$34*(SUM(AK367:AK369)+AK362+AK331)</x:f>
        <x:v>742351.7990730661</x:v>
      </x:c>
    </x:row>
    <x:row r="385" ht="18" customHeight="1">
      <x:c r="A385" s="4" t="str">
        <x:v>Cash after service / liquidity reserves</x:v>
      </x:c>
      <x:c r="B385" s="58" t="n">
        <x:f>B379-B383-B384</x:f>
        <x:v>8554.364951398311</x:v>
      </x:c>
      <x:c r="C385" s="58" t="n">
        <x:f>C379-C383-C384</x:f>
        <x:v>28855.03531901569</x:v>
      </x:c>
      <x:c r="D385" s="58" t="n">
        <x:f>D379-D383-D384</x:f>
        <x:v>53324.12443075115</x:v>
      </x:c>
      <x:c r="E385" s="58" t="n">
        <x:f>E379-E383-E384</x:f>
        <x:v>58758.374796055374</x:v>
      </x:c>
      <x:c r="F385" s="58" t="n">
        <x:f>F379-F383-F384</x:f>
        <x:v>99456.19497534446</x:v>
      </x:c>
      <x:c r="G385" s="58" t="n">
        <x:f>G379-G383-G384</x:f>
        <x:v>145803.24196696182</x:v>
      </x:c>
      <x:c r="H385" s="58" t="n">
        <x:f>H379-H383-H384</x:f>
        <x:v>147316.5095355797</x:v>
      </x:c>
      <x:c r="I385" s="58" t="n">
        <x:f>I379-I383-I384</x:f>
        <x:v>221355.7407020615</x:v>
      </x:c>
      <x:c r="J385" s="58" t="n">
        <x:f>J379-J383-J384</x:f>
        <x:v>303414.05919819995</x:v>
      </x:c>
      <x:c r="K385" s="58" t="n">
        <x:f>K379-K383-K384</x:f>
        <x:v>394111.0874842701</x:v>
      </x:c>
      <x:c r="L385" s="58" t="n">
        <x:f>L379-L383-L384</x:f>
        <x:v>494263.2206393811</x:v>
      </x:c>
      <x:c r="M385" s="58" t="n">
        <x:f>M379-M383-M384</x:f>
        <x:v>564820.3555234706</x:v>
      </x:c>
      <x:c r="N385" s="58" t="n">
        <x:f>N379-N383-N384</x:f>
        <x:v>535408.4935582364</x:v>
      </x:c>
      <x:c r="O385" s="58" t="n">
        <x:f>O379-O383-O384</x:f>
        <x:v>668706.5232907806</x:v>
      </x:c>
      <x:c r="P385" s="58" t="n">
        <x:f>P379-P383-P384</x:f>
        <x:v>812832.2573514346</x:v>
      </x:c>
      <x:c r="Q385" s="58" t="n">
        <x:f>Q379-Q383-Q384</x:f>
        <x:v>969303.1819821701</x:v>
      </x:c>
      <x:c r="R385" s="58" t="n">
        <x:f>R379-R383-R384</x:f>
        <x:v>1138789.9543872713</x:v>
      </x:c>
      <x:c r="S385" s="58" t="n">
        <x:f>S379-S383-S384</x:f>
        <x:v>1320961.393974111</x:v>
      </x:c>
      <x:c r="T385" s="58" t="n">
        <x:f>T379-T383-T384</x:f>
        <x:v>1418571.696018354</x:v>
      </x:c>
      <x:c r="U385" s="58" t="n">
        <x:f>U379-U383-U384</x:f>
        <x:v>1656655.0736628934</x:v>
      </x:c>
      <x:c r="V385" s="58" t="n">
        <x:f>V379-V383-V384</x:f>
        <x:v>1911446.2572964206</x:v>
      </x:c>
      <x:c r="W385" s="58" t="n">
        <x:f>W379-W383-W384</x:f>
        <x:v>2183825.2281661006</x:v>
      </x:c>
      <x:c r="X385" s="58" t="n">
        <x:f>X379-X383-X384</x:f>
        <x:v>2414942.1229358735</x:v>
      </x:c>
      <x:c r="Y385" s="58" t="n">
        <x:f>Y379-Y383-Y384</x:f>
        <x:v>2711094.850194635</x:v>
      </x:c>
      <x:c r="Z385" s="58" t="n">
        <x:f>Z379-Z383-Z384</x:f>
        <x:v>2862116.9145199177</x:v>
      </x:c>
      <x:c r="AA385" s="58" t="n">
        <x:f>AA379-AA383-AA384</x:f>
        <x:v>3193892.6108276253</x:v>
      </x:c>
      <x:c r="AB385" s="58" t="n">
        <x:f>AB379-AB383-AB384</x:f>
        <x:v>3545070.891261494</x:v>
      </x:c>
      <x:c r="AC385" s="58" t="n">
        <x:f>AC379-AC383-AC384</x:f>
        <x:v>3916964.9493291276</x:v>
      </x:c>
      <x:c r="AD385" s="58" t="n">
        <x:f>AD379-AD383-AD384</x:f>
        <x:v>4310632.542296726</x:v>
      </x:c>
      <x:c r="AE385" s="58" t="n">
        <x:f>AE379-AE383-AE384</x:f>
        <x:v>4726598.467435303</x:v>
      </x:c>
      <x:c r="AF385" s="58" t="n">
        <x:f>AF379-AF383-AF384</x:f>
        <x:v>5068611.210107467</x:v>
      </x:c>
      <x:c r="AG385" s="58" t="n">
        <x:f>AG379-AG383-AG384</x:f>
        <x:v>5561778.750882261</x:v>
      </x:c>
      <x:c r="AH385" s="58" t="n">
        <x:f>AH379-AH383-AH384</x:f>
        <x:v>6082333.183154007</x:v>
      </x:c>
      <x:c r="AI385" s="58" t="n">
        <x:f>AI379-AI383-AI384</x:f>
        <x:v>6631551.761385618</x:v>
      </x:c>
      <x:c r="AJ385" s="58" t="n">
        <x:f>AJ379-AJ383-AJ384</x:f>
        <x:v>7210968.061910643</x:v>
      </x:c>
      <x:c r="AK385" s="58" t="n">
        <x:f>AK379-AK383-AK384</x:f>
        <x:v>7822259.22092537</x:v>
      </x:c>
    </x:row>
    <x:row r="386" ht="18" customHeight="1">
      <x:c r="A386" s="4" t="str">
        <x:v>Cumulative earned operating profit (INR)</x:v>
      </x:c>
      <x:c r="B386" s="58" t="n">
        <x:f>0+B371</x:f>
        <x:v>-42556.24328385593</x:v>
      </x:c>
      <x:c r="C386" s="58" t="n">
        <x:f>B386+C371</x:f>
        <x:v>-60389.97824230838</x:v>
      </x:c>
      <x:c r="D386" s="58" t="n">
        <x:f>C386+D371</x:f>
        <x:v>-73445.45888718957</x:v>
      </x:c>
      <x:c r="E386" s="58" t="n">
        <x:f>D386+E371</x:f>
        <x:v>-88959.69979859648</x:v>
      </x:c>
      <x:c r="F386" s="58" t="n">
        <x:f>E386+F371</x:f>
        <x:v>-97454.2267383397</x:v>
      </x:c>
      <x:c r="G386" s="58" t="n">
        <x:f>F386+G371</x:f>
        <x:v>-98642.72642626826</x:v>
      </x:c>
      <x:c r="H386" s="58" t="n">
        <x:f>G386+H371</x:f>
        <x:v>-108391.76468319837</x:v>
      </x:c>
      <x:c r="I386" s="58" t="n">
        <x:f>H386+I371</x:f>
        <x:v>-106395.9195350648</x:v>
      </x:c>
      <x:c r="J386" s="58" t="n">
        <x:f>I386+J371</x:f>
        <x:v>-92313.11101770036</x:v>
      </x:c>
      <x:c r="K386" s="58" t="n">
        <x:f>J386+K371</x:f>
        <x:v>-65582.72718724953</x:v>
      </x:c>
      <x:c r="L386" s="58" t="n">
        <x:f>K386+L371</x:f>
        <x:v>-25539.17340782199</x:v>
      </x:c>
      <x:c r="M386" s="58" t="n">
        <x:f>L386+M371</x:f>
        <x:v>18595.204936067268</x:v>
      </x:c>
      <x:c r="N386" s="58" t="n">
        <x:f>M386+N371</x:f>
        <x:v>32522.162224505024</x:v>
      </x:c>
      <x:c r="O386" s="58" t="n">
        <x:f>N386+O371</x:f>
        <x:v>64211.23860301856</x:v>
      </x:c>
      <x:c r="P386" s="58" t="n">
        <x:f>O386+P371</x:f>
        <x:v>113725.3607120012</x:v>
      </x:c>
      <x:c r="Q386" s="58" t="n">
        <x:f>P386+Q371</x:f>
        <x:v>180020.31131549453</x:v>
      </x:c>
      <x:c r="R386" s="58" t="n">
        <x:f>Q386+R371</x:f>
        <x:v>263750.3492348079</x:v>
      </x:c>
      <x:c r="S386" s="58" t="n">
        <x:f>R386+S371</x:f>
        <x:v>365347.8032585104</x:v>
      </x:c>
      <x:c r="T386" s="58" t="n">
        <x:f>S386+T371</x:f>
        <x:v>451056.91829543194</x:v>
      </x:c>
      <x:c r="U386" s="58" t="n">
        <x:f>T386+U371</x:f>
        <x:v>559513.7113774552</x:v>
      </x:c>
      <x:c r="V386" s="58" t="n">
        <x:f>U386+V371</x:f>
        <x:v>690920.0079705367</x:v>
      </x:c>
      <x:c r="W386" s="58" t="n">
        <x:f>V386+W371</x:f>
        <x:v>845757.8730973934</x:v>
      </x:c>
      <x:c r="X386" s="58" t="n">
        <x:f>W386+X371</x:f>
        <x:v>1009575.6535591314</x:v>
      </x:c>
      <x:c r="Y386" s="58" t="n">
        <x:f>X386+Y371</x:f>
        <x:v>1197982.6311740936</x:v>
      </x:c>
      <x:c r="Z386" s="58" t="n">
        <x:f>Y386+Z371</x:f>
        <x:v>1360414.8313570525</x:v>
      </x:c>
      <x:c r="AA386" s="58" t="n">
        <x:f>Z386+AA371</x:f>
        <x:v>1548953.5634342607</x:v>
      </x:c>
      <x:c r="AB386" s="58" t="n">
        <x:f>AA386+AB371</x:f>
        <x:v>1763932.5641168428</x:v>
      </x:c>
      <x:c r="AC386" s="58" t="n">
        <x:f>AB386+AC371</x:f>
        <x:v>2005649.6449848197</x:v>
      </x:c>
      <x:c r="AD386" s="58" t="n">
        <x:f>AC386+AD371</x:f>
        <x:v>2274846.993484935</x:v>
      </x:c>
      <x:c r="AE386" s="58" t="n">
        <x:f>AD386+AE371</x:f>
        <x:v>2572174.8736913777</x:v>
      </x:c>
      <x:c r="AF386" s="58" t="n">
        <x:f>AE386+AF371</x:f>
        <x:v>2861387.25096367</x:v>
      </x:c>
      <x:c r="AG386" s="58" t="n">
        <x:f>AF386+AG371</x:f>
        <x:v>3181542.556899806</x:v>
      </x:c>
      <x:c r="AH386" s="58" t="n">
        <x:f>AG386+AH371</x:f>
        <x:v>3533091.8022304103</x:v>
      </x:c>
      <x:c r="AI386" s="58" t="n">
        <x:f>AH386+AI371</x:f>
        <x:v>3916742.8121852684</x:v>
      </x:c>
      <x:c r="AJ386" s="58" t="n">
        <x:f>AI386+AJ371</x:f>
        <x:v>4333265.214981582</x:v>
      </x:c>
      <x:c r="AK386" s="58" t="n">
        <x:f>AJ386+AK371</x:f>
        <x:v>4783485.212772896</x:v>
      </x:c>
    </x:row>
    <x:row r="387" ht="18" customHeight="1">
      <x:c r="A387" s="4" t="str">
        <x:v>Pre-tax retained-profit / liquidity cap</x:v>
      </x:c>
      <x:c r="B387" s="58" t="n">
        <x:f>MAX(0,MIN(B386,B385))</x:f>
        <x:v>0</x:v>
      </x:c>
      <x:c r="C387" s="58" t="n">
        <x:f>MAX(0,MIN(C386,C385))</x:f>
        <x:v>0</x:v>
      </x:c>
      <x:c r="D387" s="58" t="n">
        <x:f>MAX(0,MIN(D386,D385))</x:f>
        <x:v>0</x:v>
      </x:c>
      <x:c r="E387" s="58" t="n">
        <x:f>MAX(0,MIN(E386,E385))</x:f>
        <x:v>0</x:v>
      </x:c>
      <x:c r="F387" s="58" t="n">
        <x:f>MAX(0,MIN(F386,F385))</x:f>
        <x:v>0</x:v>
      </x:c>
      <x:c r="G387" s="58" t="n">
        <x:f>MAX(0,MIN(G386,G385))</x:f>
        <x:v>0</x:v>
      </x:c>
      <x:c r="H387" s="58" t="n">
        <x:f>MAX(0,MIN(H386,H385))</x:f>
        <x:v>0</x:v>
      </x:c>
      <x:c r="I387" s="58" t="n">
        <x:f>MAX(0,MIN(I386,I385))</x:f>
        <x:v>0</x:v>
      </x:c>
      <x:c r="J387" s="58" t="n">
        <x:f>MAX(0,MIN(J386,J385))</x:f>
        <x:v>0</x:v>
      </x:c>
      <x:c r="K387" s="58" t="n">
        <x:f>MAX(0,MIN(K386,K385))</x:f>
        <x:v>0</x:v>
      </x:c>
      <x:c r="L387" s="58" t="n">
        <x:f>MAX(0,MIN(L386,L385))</x:f>
        <x:v>0</x:v>
      </x:c>
      <x:c r="M387" s="58" t="n">
        <x:f>MAX(0,MIN(M386,M385))</x:f>
        <x:v>18595.204936067268</x:v>
      </x:c>
      <x:c r="N387" s="58" t="n">
        <x:f>MAX(0,MIN(N386,N385))</x:f>
        <x:v>32522.162224505024</x:v>
      </x:c>
      <x:c r="O387" s="58" t="n">
        <x:f>MAX(0,MIN(O386,O385))</x:f>
        <x:v>64211.23860301856</x:v>
      </x:c>
      <x:c r="P387" s="58" t="n">
        <x:f>MAX(0,MIN(P386,P385))</x:f>
        <x:v>113725.3607120012</x:v>
      </x:c>
      <x:c r="Q387" s="58" t="n">
        <x:f>MAX(0,MIN(Q386,Q385))</x:f>
        <x:v>180020.31131549453</x:v>
      </x:c>
      <x:c r="R387" s="58" t="n">
        <x:f>MAX(0,MIN(R386,R385))</x:f>
        <x:v>263750.3492348079</x:v>
      </x:c>
      <x:c r="S387" s="58" t="n">
        <x:f>MAX(0,MIN(S386,S385))</x:f>
        <x:v>365347.8032585104</x:v>
      </x:c>
      <x:c r="T387" s="58" t="n">
        <x:f>MAX(0,MIN(T386,T385))</x:f>
        <x:v>451056.91829543194</x:v>
      </x:c>
      <x:c r="U387" s="58" t="n">
        <x:f>MAX(0,MIN(U386,U385))</x:f>
        <x:v>559513.7113774552</x:v>
      </x:c>
      <x:c r="V387" s="58" t="n">
        <x:f>MAX(0,MIN(V386,V385))</x:f>
        <x:v>690920.0079705367</x:v>
      </x:c>
      <x:c r="W387" s="58" t="n">
        <x:f>MAX(0,MIN(W386,W385))</x:f>
        <x:v>845757.8730973934</x:v>
      </x:c>
      <x:c r="X387" s="58" t="n">
        <x:f>MAX(0,MIN(X386,X385))</x:f>
        <x:v>1009575.6535591314</x:v>
      </x:c>
      <x:c r="Y387" s="58" t="n">
        <x:f>MAX(0,MIN(Y386,Y385))</x:f>
        <x:v>1197982.6311740936</x:v>
      </x:c>
      <x:c r="Z387" s="58" t="n">
        <x:f>MAX(0,MIN(Z386,Z385))</x:f>
        <x:v>1360414.8313570525</x:v>
      </x:c>
      <x:c r="AA387" s="58" t="n">
        <x:f>MAX(0,MIN(AA386,AA385))</x:f>
        <x:v>1548953.5634342607</x:v>
      </x:c>
      <x:c r="AB387" s="58" t="n">
        <x:f>MAX(0,MIN(AB386,AB385))</x:f>
        <x:v>1763932.5641168428</x:v>
      </x:c>
      <x:c r="AC387" s="58" t="n">
        <x:f>MAX(0,MIN(AC386,AC385))</x:f>
        <x:v>2005649.6449848197</x:v>
      </x:c>
      <x:c r="AD387" s="58" t="n">
        <x:f>MAX(0,MIN(AD386,AD385))</x:f>
        <x:v>2274846.993484935</x:v>
      </x:c>
      <x:c r="AE387" s="58" t="n">
        <x:f>MAX(0,MIN(AE386,AE385))</x:f>
        <x:v>2572174.8736913777</x:v>
      </x:c>
      <x:c r="AF387" s="58" t="n">
        <x:f>MAX(0,MIN(AF386,AF385))</x:f>
        <x:v>2861387.25096367</x:v>
      </x:c>
      <x:c r="AG387" s="58" t="n">
        <x:f>MAX(0,MIN(AG386,AG385))</x:f>
        <x:v>3181542.556899806</x:v>
      </x:c>
      <x:c r="AH387" s="58" t="n">
        <x:f>MAX(0,MIN(AH386,AH385))</x:f>
        <x:v>3533091.8022304103</x:v>
      </x:c>
      <x:c r="AI387" s="58" t="n">
        <x:f>MAX(0,MIN(AI386,AI385))</x:f>
        <x:v>3916742.8121852684</x:v>
      </x:c>
      <x:c r="AJ387" s="58" t="n">
        <x:f>MAX(0,MIN(AJ386,AJ385))</x:f>
        <x:v>4333265.214981582</x:v>
      </x:c>
      <x:c r="AK387" s="58" t="n">
        <x:f>MAX(0,MIN(AK386,AK385))</x:f>
        <x:v>4783485.212772896</x:v>
      </x:c>
    </x:row>
    <x:row r="388" ht="18" customHeight="1">
      <x:c r="A388" s="74" t="str">
        <x:v>Revenue run rate: current month x 12</x:v>
      </x:c>
      <x:c r="B388" s="75" t="n">
        <x:f>B353*'Commercial Inputs'!$B$46</x:f>
        <x:v>74770.08377542373</x:v>
      </x:c>
      <x:c r="C388" s="75" t="n">
        <x:f>C353*'Commercial Inputs'!$B$46</x:f>
        <x:v>143980.95647536276</x:v>
      </x:c>
      <x:c r="D388" s="75" t="n">
        <x:f>D353*'Commercial Inputs'!$B$46</x:f>
        <x:v>214523.16242925037</x:v>
      </x:c>
      <x:c r="E388" s="75" t="n">
        <x:f>E353*'Commercial Inputs'!$B$46</x:f>
        <x:v>315381.42270190653</x:v>
      </x:c>
      <x:c r="F388" s="75" t="n">
        <x:f>F353*'Commercial Inputs'!$B$46</x:f>
        <x:v>417415.22961776314</x:v>
      </x:c>
      <x:c r="G388" s="75" t="n">
        <x:f>G353*'Commercial Inputs'!$B$46</x:f>
        <x:v>523976.7614918165</x:v>
      </x:c>
      <x:c r="H388" s="75" t="n">
        <x:f>H353*'Commercial Inputs'!$B$46</x:f>
        <x:v>693287.7971179027</x:v>
      </x:c>
      <x:c r="I388" s="75" t="n">
        <x:f>I353*'Commercial Inputs'!$B$46</x:f>
        <x:v>861523.362426244</x:v>
      </x:c>
      <x:c r="J388" s="75" t="n">
        <x:f>J353*'Commercial Inputs'!$B$46</x:f>
        <x:v>1035225.8782600112</x:v>
      </x:c>
      <x:c r="K388" s="75" t="n">
        <x:f>K353*'Commercial Inputs'!$B$46</x:f>
        <x:v>1217688.9352994768</x:v>
      </x:c>
      <x:c r="L388" s="75" t="n">
        <x:f>L353*'Commercial Inputs'!$B$46</x:f>
        <x:v>1410524.1938523445</x:v>
      </x:c>
      <x:c r="M388" s="75" t="n">
        <x:f>M353*'Commercial Inputs'!$B$46</x:f>
        <x:v>1615454.6715820972</x:v>
      </x:c>
      <x:c r="N388" s="75" t="n">
        <x:f>N353*'Commercial Inputs'!$B$46</x:f>
        <x:v>1875650.852525301</x:v>
      </x:c>
      <x:c r="O388" s="75" t="n">
        <x:f>O353*'Commercial Inputs'!$B$46</x:f>
        <x:v>2128013.4352404587</x:v>
      </x:c>
      <x:c r="P388" s="75" t="n">
        <x:f>P353*'Commercial Inputs'!$B$46</x:f>
        <x:v>2381809.944742943</x:v>
      </x:c>
      <x:c r="Q388" s="75" t="n">
        <x:f>Q353*'Commercial Inputs'!$B$46</x:f>
        <x:v>2626741.604942131</x:v>
      </x:c>
      <x:c r="R388" s="75" t="n">
        <x:f>R353*'Commercial Inputs'!$B$46</x:f>
        <x:v>2877888.5932964864</x:v>
      </x:c>
      <x:c r="S388" s="75" t="n">
        <x:f>S353*'Commercial Inputs'!$B$46</x:f>
        <x:v>3136176.241807128</x:v>
      </x:c>
      <x:c r="T388" s="75" t="n">
        <x:f>T353*'Commercial Inputs'!$B$46</x:f>
        <x:v>3470434.7080916967</x:v>
      </x:c>
      <x:c r="U388" s="75" t="n">
        <x:f>U353*'Commercial Inputs'!$B$46</x:f>
        <x:v>3798549.5405766442</x:v>
      </x:c>
      <x:c r="V388" s="75" t="n">
        <x:f>V353*'Commercial Inputs'!$B$46</x:f>
        <x:v>4130688.419767626</x:v>
      </x:c>
      <x:c r="W388" s="75" t="n">
        <x:f>W353*'Commercial Inputs'!$B$46</x:f>
        <x:v>4471145.538312119</x:v>
      </x:c>
      <x:c r="X388" s="75" t="n">
        <x:f>X353*'Commercial Inputs'!$B$46</x:f>
        <x:v>4821051.549266269</x:v>
      </x:c>
      <x:c r="Y388" s="75" t="n">
        <x:f>Y353*'Commercial Inputs'!$B$46</x:f>
        <x:v>5181475.695092015</x:v>
      </x:c>
      <x:c r="Z388" s="75" t="n">
        <x:f>Z353*'Commercial Inputs'!$B$46</x:f>
        <x:v>5559937.913797298</x:v>
      </x:c>
      <x:c r="AA388" s="75" t="n">
        <x:f>AA353*'Commercial Inputs'!$B$46</x:f>
        <x:v>5937062.014950916</x:v>
      </x:c>
      <x:c r="AB388" s="75" t="n">
        <x:f>AB353*'Commercial Inputs'!$B$46</x:f>
        <x:v>6319876.871017767</x:v>
      </x:c>
      <x:c r="AC388" s="75" t="n">
        <x:f>AC353*'Commercial Inputs'!$B$46</x:f>
        <x:v>6710290.538915614</x:v>
      </x:c>
      <x:c r="AD388" s="75" t="n">
        <x:f>AD353*'Commercial Inputs'!$B$46</x:f>
        <x:v>7110416.966047246</x:v>
      </x:c>
      <x:c r="AE388" s="75" t="n">
        <x:f>AE353*'Commercial Inputs'!$B$46</x:f>
        <x:v>7521193.077678097</x:v>
      </x:c>
      <x:c r="AF388" s="75" t="n">
        <x:f>AF353*'Commercial Inputs'!$B$46</x:f>
        <x:v>7977191.9901857115</x:v>
      </x:c>
      <x:c r="AG388" s="75" t="n">
        <x:f>AG353*'Commercial Inputs'!$B$46</x:f>
        <x:v>8431915.199851852</x:v>
      </x:c>
      <x:c r="AH388" s="75" t="n">
        <x:f>AH353*'Commercial Inputs'!$B$46</x:f>
        <x:v>8894663.778337317</x:v>
      </x:c>
      <x:c r="AI388" s="75" t="n">
        <x:f>AI353*'Commercial Inputs'!$B$46</x:f>
        <x:v>9369388.846961707</x:v>
      </x:c>
      <x:c r="AJ388" s="75" t="n">
        <x:f>AJ353*'Commercial Inputs'!$B$46</x:f>
        <x:v>9857156.434307527</x:v>
      </x:c>
      <x:c r="AK388" s="75" t="n">
        <x:f>AK353*'Commercial Inputs'!$B$46</x:f>
        <x:v>10358969.048453834</x:v>
      </x:c>
    </x:row>
    <x:row r="389" ht="18" customHeight="1">
      <x:c r="A389" s="4" t="str"/>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c r="AA389" s="58"/>
      <x:c r="AB389" s="58"/>
      <x:c r="AC389" s="58"/>
      <x:c r="AD389" s="58"/>
      <x:c r="AE389" s="58"/>
      <x:c r="AF389" s="58"/>
      <x:c r="AG389" s="58"/>
      <x:c r="AH389" s="58"/>
      <x:c r="AI389" s="58"/>
      <x:c r="AJ389" s="58"/>
      <x:c r="AK389" s="58"/>
    </x:row>
    <x:row r="390" ht="18" customHeight="1">
      <x:c r="A390" s="4" t="str">
        <x:v>Annual entitlement balance check</x:v>
      </x:c>
      <x:c r="B390" s="58" t="n">
        <x:f>ROUND(B339-(0+SUM(B335:B337)-B338),6)</x:f>
        <x:v>0</x:v>
      </x:c>
      <x:c r="C390" s="58" t="n">
        <x:f>ROUND(C339-(B339+SUM(C335:C337)-C338),6)</x:f>
        <x:v>0</x:v>
      </x:c>
      <x:c r="D390" s="58" t="n">
        <x:f>ROUND(D339-(C339+SUM(D335:D337)-D338),6)</x:f>
        <x:v>0</x:v>
      </x:c>
      <x:c r="E390" s="58" t="n">
        <x:f>ROUND(E339-(D339+SUM(E335:E337)-E338),6)</x:f>
        <x:v>0</x:v>
      </x:c>
      <x:c r="F390" s="58" t="n">
        <x:f>ROUND(F339-(E339+SUM(F335:F337)-F338),6)</x:f>
        <x:v>0</x:v>
      </x:c>
      <x:c r="G390" s="58" t="n">
        <x:f>ROUND(G339-(F339+SUM(G335:G337)-G338),6)</x:f>
        <x:v>0</x:v>
      </x:c>
      <x:c r="H390" s="58" t="n">
        <x:f>ROUND(H339-(G339+SUM(H335:H337)-H338),6)</x:f>
        <x:v>0</x:v>
      </x:c>
      <x:c r="I390" s="58" t="n">
        <x:f>ROUND(I339-(H339+SUM(I335:I337)-I338),6)</x:f>
        <x:v>0</x:v>
      </x:c>
      <x:c r="J390" s="58" t="n">
        <x:f>ROUND(J339-(I339+SUM(J335:J337)-J338),6)</x:f>
        <x:v>0</x:v>
      </x:c>
      <x:c r="K390" s="58" t="n">
        <x:f>ROUND(K339-(J339+SUM(K335:K337)-K338),6)</x:f>
        <x:v>0</x:v>
      </x:c>
      <x:c r="L390" s="58" t="n">
        <x:f>ROUND(L339-(K339+SUM(L335:L337)-L338),6)</x:f>
        <x:v>0</x:v>
      </x:c>
      <x:c r="M390" s="58" t="n">
        <x:f>ROUND(M339-(L339+SUM(M335:M337)-M338),6)</x:f>
        <x:v>0</x:v>
      </x:c>
      <x:c r="N390" s="58" t="n">
        <x:f>ROUND(N339-(M339+SUM(N335:N337)-N338),6)</x:f>
        <x:v>0</x:v>
      </x:c>
      <x:c r="O390" s="58" t="n">
        <x:f>ROUND(O339-(N339+SUM(O335:O337)-O338),6)</x:f>
        <x:v>0</x:v>
      </x:c>
      <x:c r="P390" s="58" t="n">
        <x:f>ROUND(P339-(O339+SUM(P335:P337)-P338),6)</x:f>
        <x:v>0</x:v>
      </x:c>
      <x:c r="Q390" s="58" t="n">
        <x:f>ROUND(Q339-(P339+SUM(Q335:Q337)-Q338),6)</x:f>
        <x:v>0</x:v>
      </x:c>
      <x:c r="R390" s="58" t="n">
        <x:f>ROUND(R339-(Q339+SUM(R335:R337)-R338),6)</x:f>
        <x:v>0</x:v>
      </x:c>
      <x:c r="S390" s="58" t="n">
        <x:f>ROUND(S339-(R339+SUM(S335:S337)-S338),6)</x:f>
        <x:v>0</x:v>
      </x:c>
      <x:c r="T390" s="58" t="n">
        <x:f>ROUND(T339-(S339+SUM(T335:T337)-T338),6)</x:f>
        <x:v>0</x:v>
      </x:c>
      <x:c r="U390" s="58" t="n">
        <x:f>ROUND(U339-(T339+SUM(U335:U337)-U338),6)</x:f>
        <x:v>0</x:v>
      </x:c>
      <x:c r="V390" s="58" t="n">
        <x:f>ROUND(V339-(U339+SUM(V335:V337)-V338),6)</x:f>
        <x:v>0</x:v>
      </x:c>
      <x:c r="W390" s="58" t="n">
        <x:f>ROUND(W339-(V339+SUM(W335:W337)-W338),6)</x:f>
        <x:v>0</x:v>
      </x:c>
      <x:c r="X390" s="58" t="n">
        <x:f>ROUND(X339-(W339+SUM(X335:X337)-X338),6)</x:f>
        <x:v>0</x:v>
      </x:c>
      <x:c r="Y390" s="58" t="n">
        <x:f>ROUND(Y339-(X339+SUM(Y335:Y337)-Y338),6)</x:f>
        <x:v>0</x:v>
      </x:c>
      <x:c r="Z390" s="58" t="n">
        <x:f>ROUND(Z339-(Y339+SUM(Z335:Z337)-Z338),6)</x:f>
        <x:v>0</x:v>
      </x:c>
      <x:c r="AA390" s="58" t="n">
        <x:f>ROUND(AA339-(Z339+SUM(AA335:AA337)-AA338),6)</x:f>
        <x:v>0</x:v>
      </x:c>
      <x:c r="AB390" s="58" t="n">
        <x:f>ROUND(AB339-(AA339+SUM(AB335:AB337)-AB338),6)</x:f>
        <x:v>0</x:v>
      </x:c>
      <x:c r="AC390" s="58" t="n">
        <x:f>ROUND(AC339-(AB339+SUM(AC335:AC337)-AC338),6)</x:f>
        <x:v>0</x:v>
      </x:c>
      <x:c r="AD390" s="58" t="n">
        <x:f>ROUND(AD339-(AC339+SUM(AD335:AD337)-AD338),6)</x:f>
        <x:v>0</x:v>
      </x:c>
      <x:c r="AE390" s="58" t="n">
        <x:f>ROUND(AE339-(AD339+SUM(AE335:AE337)-AE338),6)</x:f>
        <x:v>0</x:v>
      </x:c>
      <x:c r="AF390" s="58" t="n">
        <x:f>ROUND(AF339-(AE339+SUM(AF335:AF337)-AF338),6)</x:f>
        <x:v>0</x:v>
      </x:c>
      <x:c r="AG390" s="58" t="n">
        <x:f>ROUND(AG339-(AF339+SUM(AG335:AG337)-AG338),6)</x:f>
        <x:v>0</x:v>
      </x:c>
      <x:c r="AH390" s="58" t="n">
        <x:f>ROUND(AH339-(AG339+SUM(AH335:AH337)-AH338),6)</x:f>
        <x:v>0</x:v>
      </x:c>
      <x:c r="AI390" s="58" t="n">
        <x:f>ROUND(AI339-(AH339+SUM(AI335:AI337)-AI338),6)</x:f>
        <x:v>0</x:v>
      </x:c>
      <x:c r="AJ390" s="58" t="n">
        <x:f>ROUND(AJ339-(AI339+SUM(AJ335:AJ337)-AJ338),6)</x:f>
        <x:v>0</x:v>
      </x:c>
      <x:c r="AK390" s="58" t="n">
        <x:f>ROUND(AK339-(AJ339+SUM(AK335:AK337)-AK338),6)</x:f>
        <x:v>0</x:v>
      </x:c>
    </x:row>
    <x:row r="391" ht="18" customHeight="1">
      <x:c r="A391" s="4" t="str">
        <x:v>Monthly charge / refund check</x:v>
      </x:c>
      <x:c r="B391" s="58" t="n">
        <x:f>ROUND(B346-B347*(1-'Scenario Inputs'!$C$29),6)</x:f>
        <x:v>0</x:v>
      </x:c>
      <x:c r="C391" s="58" t="n">
        <x:f>ROUND(C346-C347*(1-'Scenario Inputs'!$C$29),6)</x:f>
        <x:v>0</x:v>
      </x:c>
      <x:c r="D391" s="58" t="n">
        <x:f>ROUND(D346-D347*(1-'Scenario Inputs'!$C$29),6)</x:f>
        <x:v>0</x:v>
      </x:c>
      <x:c r="E391" s="58" t="n">
        <x:f>ROUND(E346-E347*(1-'Scenario Inputs'!$C$29),6)</x:f>
        <x:v>0</x:v>
      </x:c>
      <x:c r="F391" s="58" t="n">
        <x:f>ROUND(F346-F347*(1-'Scenario Inputs'!$C$29),6)</x:f>
        <x:v>0</x:v>
      </x:c>
      <x:c r="G391" s="58" t="n">
        <x:f>ROUND(G346-G347*(1-'Scenario Inputs'!$C$29),6)</x:f>
        <x:v>0</x:v>
      </x:c>
      <x:c r="H391" s="58" t="n">
        <x:f>ROUND(H346-H347*(1-'Scenario Inputs'!$C$29),6)</x:f>
        <x:v>0</x:v>
      </x:c>
      <x:c r="I391" s="58" t="n">
        <x:f>ROUND(I346-I347*(1-'Scenario Inputs'!$C$29),6)</x:f>
        <x:v>0</x:v>
      </x:c>
      <x:c r="J391" s="58" t="n">
        <x:f>ROUND(J346-J347*(1-'Scenario Inputs'!$C$29),6)</x:f>
        <x:v>0</x:v>
      </x:c>
      <x:c r="K391" s="58" t="n">
        <x:f>ROUND(K346-K347*(1-'Scenario Inputs'!$C$29),6)</x:f>
        <x:v>0</x:v>
      </x:c>
      <x:c r="L391" s="58" t="n">
        <x:f>ROUND(L346-L347*(1-'Scenario Inputs'!$C$29),6)</x:f>
        <x:v>0</x:v>
      </x:c>
      <x:c r="M391" s="58" t="n">
        <x:f>ROUND(M346-M347*(1-'Scenario Inputs'!$C$29),6)</x:f>
        <x:v>0</x:v>
      </x:c>
      <x:c r="N391" s="58" t="n">
        <x:f>ROUND(N346-N347*(1-'Scenario Inputs'!$C$29),6)</x:f>
        <x:v>0</x:v>
      </x:c>
      <x:c r="O391" s="58" t="n">
        <x:f>ROUND(O346-O347*(1-'Scenario Inputs'!$C$29),6)</x:f>
        <x:v>0</x:v>
      </x:c>
      <x:c r="P391" s="58" t="n">
        <x:f>ROUND(P346-P347*(1-'Scenario Inputs'!$C$29),6)</x:f>
        <x:v>0</x:v>
      </x:c>
      <x:c r="Q391" s="58" t="n">
        <x:f>ROUND(Q346-Q347*(1-'Scenario Inputs'!$C$29),6)</x:f>
        <x:v>0</x:v>
      </x:c>
      <x:c r="R391" s="58" t="n">
        <x:f>ROUND(R346-R347*(1-'Scenario Inputs'!$C$29),6)</x:f>
        <x:v>0</x:v>
      </x:c>
      <x:c r="S391" s="58" t="n">
        <x:f>ROUND(S346-S347*(1-'Scenario Inputs'!$C$29),6)</x:f>
        <x:v>0</x:v>
      </x:c>
      <x:c r="T391" s="58" t="n">
        <x:f>ROUND(T346-T347*(1-'Scenario Inputs'!$C$29),6)</x:f>
        <x:v>0</x:v>
      </x:c>
      <x:c r="U391" s="58" t="n">
        <x:f>ROUND(U346-U347*(1-'Scenario Inputs'!$C$29),6)</x:f>
        <x:v>0</x:v>
      </x:c>
      <x:c r="V391" s="58" t="n">
        <x:f>ROUND(V346-V347*(1-'Scenario Inputs'!$C$29),6)</x:f>
        <x:v>0</x:v>
      </x:c>
      <x:c r="W391" s="58" t="n">
        <x:f>ROUND(W346-W347*(1-'Scenario Inputs'!$C$29),6)</x:f>
        <x:v>0</x:v>
      </x:c>
      <x:c r="X391" s="58" t="n">
        <x:f>ROUND(X346-X347*(1-'Scenario Inputs'!$C$29),6)</x:f>
        <x:v>0</x:v>
      </x:c>
      <x:c r="Y391" s="58" t="n">
        <x:f>ROUND(Y346-Y347*(1-'Scenario Inputs'!$C$29),6)</x:f>
        <x:v>0</x:v>
      </x:c>
      <x:c r="Z391" s="58" t="n">
        <x:f>ROUND(Z346-Z347*(1-'Scenario Inputs'!$C$29),6)</x:f>
        <x:v>0</x:v>
      </x:c>
      <x:c r="AA391" s="58" t="n">
        <x:f>ROUND(AA346-AA347*(1-'Scenario Inputs'!$C$29),6)</x:f>
        <x:v>0</x:v>
      </x:c>
      <x:c r="AB391" s="58" t="n">
        <x:f>ROUND(AB346-AB347*(1-'Scenario Inputs'!$C$29),6)</x:f>
        <x:v>0</x:v>
      </x:c>
      <x:c r="AC391" s="58" t="n">
        <x:f>ROUND(AC346-AC347*(1-'Scenario Inputs'!$C$29),6)</x:f>
        <x:v>0</x:v>
      </x:c>
      <x:c r="AD391" s="58" t="n">
        <x:f>ROUND(AD346-AD347*(1-'Scenario Inputs'!$C$29),6)</x:f>
        <x:v>0</x:v>
      </x:c>
      <x:c r="AE391" s="58" t="n">
        <x:f>ROUND(AE346-AE347*(1-'Scenario Inputs'!$C$29),6)</x:f>
        <x:v>0</x:v>
      </x:c>
      <x:c r="AF391" s="58" t="n">
        <x:f>ROUND(AF346-AF347*(1-'Scenario Inputs'!$C$29),6)</x:f>
        <x:v>0</x:v>
      </x:c>
      <x:c r="AG391" s="58" t="n">
        <x:f>ROUND(AG346-AG347*(1-'Scenario Inputs'!$C$29),6)</x:f>
        <x:v>0</x:v>
      </x:c>
      <x:c r="AH391" s="58" t="n">
        <x:f>ROUND(AH346-AH347*(1-'Scenario Inputs'!$C$29),6)</x:f>
        <x:v>0</x:v>
      </x:c>
      <x:c r="AI391" s="58" t="n">
        <x:f>ROUND(AI346-AI347*(1-'Scenario Inputs'!$C$29),6)</x:f>
        <x:v>0</x:v>
      </x:c>
      <x:c r="AJ391" s="58" t="n">
        <x:f>ROUND(AJ346-AJ347*(1-'Scenario Inputs'!$C$29),6)</x:f>
        <x:v>0</x:v>
      </x:c>
      <x:c r="AK391" s="58" t="n">
        <x:f>ROUND(AK346-AK347*(1-'Scenario Inputs'!$C$29),6)</x:f>
        <x:v>0</x:v>
      </x:c>
    </x:row>
    <x:row r="392" ht="18" customHeight="1">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row>
    <x:row r="393" ht="18" customHeight="1">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row>
    <x:row r="394" ht="18" customHeight="1">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row>
    <x:row r="395" ht="18" customHeight="1">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row>
    <x:row r="396" ht="18" customHeight="1">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row>
    <x:row r="397" ht="18" customHeight="1">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row>
    <x:row r="398" ht="18" customHeight="1">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row>
    <x:row r="399" ht="18" customHeight="1">
      <x:c r="A399" s="4" t="str">
        <x:v>Blended annual price, ex-tax (INR)</x:v>
      </x:c>
      <x:c r="B399" s="56" t="n">
        <x:f>'Scenario Inputs'!$C$28*'Commercial Inputs'!$B$6/(1+'Commercial Inputs'!$B$10)+(1-'Scenario Inputs'!$C$28)*('Commercial Inputs'!$B$8*'Commercial Inputs'!$B$5)/(1+'Commercial Inputs'!$B$11)</x:f>
        <x:v>2837.087118644068</x:v>
      </x:c>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row>
    <x:row r="400" ht="18" customHeight="1">
      <x:c r="A400" s="4" t="str">
        <x:v>Blended monthly price, ex-tax (INR)</x:v>
      </x:c>
      <x:c r="B400" s="56" t="n">
        <x:f>'Scenario Inputs'!$C$28*'Commercial Inputs'!$B$7/(1+'Commercial Inputs'!$B$10)+(1-'Scenario Inputs'!$C$28)*('Commercial Inputs'!$B$9*'Commercial Inputs'!$B$5)/(1+'Commercial Inputs'!$B$11)</x:f>
        <x:v>407.86677966101695</x:v>
      </x:c>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row>
    <x:row r="401" ht="18" customHeight="1">
      <x:c r="A401" s="4" t="str">
        <x:v>Fee per annual charge (INR)</x:v>
      </x:c>
      <x:c r="B401" s="56" t="n">
        <x:f>'Scenario Inputs'!$C$28*('Commercial Inputs'!$B$12*'Commercial Inputs'!$B$6*'Commercial Inputs'!$B$14+(1-'Commercial Inputs'!$B$12)*'Commercial Inputs'!$B$6/(1+'Commercial Inputs'!$B$10)*'Commercial Inputs'!$B$13)+(1-'Scenario Inputs'!$C$28)*('Commercial Inputs'!$B$12*(('Commercial Inputs'!$B$8*'Commercial Inputs'!$B$5)*'Commercial Inputs'!$B$15+'Commercial Inputs'!$B$16*'Commercial Inputs'!$B$5)+(1-'Commercial Inputs'!$B$12)*('Commercial Inputs'!$B$8*'Commercial Inputs'!$B$5)/(1+'Commercial Inputs'!$B$11)*'Commercial Inputs'!$B$13)</x:f>
        <x:v>289.70331389830505</x:v>
      </x:c>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row>
    <x:row r="402" ht="18" customHeight="1">
      <x:c r="A402" s="4" t="str">
        <x:v>Fee per monthly charge (INR)</x:v>
      </x:c>
      <x:c r="B402" s="56" t="n">
        <x:f>'Scenario Inputs'!$C$28*('Commercial Inputs'!$B$12*'Commercial Inputs'!$B$7*'Commercial Inputs'!$B$14+(1-'Commercial Inputs'!$B$12)*'Commercial Inputs'!$B$7/(1+'Commercial Inputs'!$B$10)*'Commercial Inputs'!$B$13)+(1-'Scenario Inputs'!$C$28)*('Commercial Inputs'!$B$12*(('Commercial Inputs'!$B$9*'Commercial Inputs'!$B$5)*'Commercial Inputs'!$B$15+'Commercial Inputs'!$B$16*'Commercial Inputs'!$B$5)+(1-'Commercial Inputs'!$B$12)*('Commercial Inputs'!$B$9*'Commercial Inputs'!$B$5)/(1+'Commercial Inputs'!$B$11)*'Commercial Inputs'!$B$13)</x:f>
        <x:v>53.35178847457627</x:v>
      </x:c>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row>
    <x:row r="403" ht="18" customHeight="1">
      <x:c r="A403" s="4" t="str">
        <x:v>Billing reserve per annual charge (INR)</x:v>
      </x:c>
      <x:c r="B403" s="56" t="n">
        <x:f>('Scenario Inputs'!$C$28*'Commercial Inputs'!$B$6+(1-'Scenario Inputs'!$C$28)*('Commercial Inputs'!$B$8*'Commercial Inputs'!$B$5))*'Commercial Inputs'!$B$17</x:f>
        <x:v>29.5906</x:v>
      </x:c>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row>
    <x:row r="404" ht="18" customHeight="1">
      <x:c r="A404" s="4" t="str">
        <x:v>Billing reserve per monthly charge (INR)</x:v>
      </x:c>
      <x:c r="B404" s="56" t="n">
        <x:f>('Scenario Inputs'!$C$28*'Commercial Inputs'!$B$7+(1-'Scenario Inputs'!$C$28)*('Commercial Inputs'!$B$9*'Commercial Inputs'!$B$5))*'Commercial Inputs'!$B$17</x:f>
        <x:v>4.2306</x:v>
      </x:c>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row>
    <x:row r="405" ht="18" customHeight="1">
      <x:c r="A405" s="4" t="str">
        <x:v>Budgeted AI cost per job (INR)</x:v>
      </x:c>
      <x:c r="B405" s="56" t="n">
        <x:f>('Commercial Inputs'!$B$20*'Commercial Inputs'!$B$18+'Commercial Inputs'!$B$21*'Commercial Inputs'!$B$19)/'Commercial Inputs'!$B$47*'Commercial Inputs'!$B$22*'Commercial Inputs'!$B$5*(1+'Commercial Inputs'!$B$23)</x:f>
        <x:v>0.1287</x:v>
      </x:c>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row>
    <x:row r="406" ht="18" customHeight="1">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row>
    <x:row r="407" ht="18" customHeight="1">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row>
    <x:row r="408" ht="18" customHeight="1">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row>
    <x:row r="409" ht="18" customHeight="1">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row>
    <x:row r="410" ht="18" customHeight="1">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row>
    <x:row r="411" ht="18" customHeight="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row>
    <x:row r="412" ht="18" customHeight="1">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row>
    <x:row r="413" ht="18" customHeight="1">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row>
    <x:row r="414" ht="18" customHeight="1">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row>
    <x:row r="415" ht="18" customHeight="1">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row>
    <x:row r="416" ht="18" customHeight="1">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row>
    <x:row r="417" ht="18" customHeight="1">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row>
    <x:row r="418" ht="18" customHeight="1">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row>
    <x:row r="419" ht="18" customHeight="1">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row>
    <x:row r="420" ht="18" customHeight="1">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row>
    <x:row r="421" ht="29" customHeight="1">
      <x:c r="A421" s="50" t="str">
        <x:v>LARGE FREE TIER | MONTHLY COHORT MODEL</x:v>
      </x:c>
      <x:c r="B421" s="50"/>
      <x:c r="C421" s="50"/>
      <x:c r="D421" s="50"/>
      <x:c r="E421" s="50"/>
      <x:c r="F421" s="50"/>
      <x:c r="G421" s="50"/>
      <x:c r="H421" s="50"/>
      <x:c r="I421" s="50"/>
      <x:c r="J421" s="50"/>
      <x:c r="K421" s="50"/>
      <x:c r="L421" s="50"/>
      <x:c r="M421" s="50"/>
      <x:c r="N421" s="50"/>
      <x:c r="O421" s="50"/>
      <x:c r="P421" s="50"/>
      <x:c r="Q421" s="50"/>
      <x:c r="R421" s="50"/>
      <x:c r="S421" s="50"/>
      <x:c r="T421" s="50"/>
      <x:c r="U421" s="50"/>
      <x:c r="V421" s="50"/>
      <x:c r="W421" s="50"/>
      <x:c r="X421" s="50"/>
      <x:c r="Y421" s="50"/>
      <x:c r="Z421" s="50"/>
      <x:c r="AA421" s="50"/>
      <x:c r="AB421" s="50"/>
      <x:c r="AC421" s="50"/>
      <x:c r="AD421" s="50"/>
      <x:c r="AE421" s="50"/>
      <x:c r="AF421" s="50"/>
      <x:c r="AG421" s="50"/>
      <x:c r="AH421" s="50"/>
      <x:c r="AI421" s="50"/>
      <x:c r="AJ421" s="50"/>
      <x:c r="AK421" s="50"/>
    </x:row>
    <x:row r="422" ht="24" customHeight="1">
      <x:c r="A422" s="11" t="str">
        <x:v>INR unless stated. Purchases occur at month start; annual revenue is earned over 12 months. No founder salary or income tax in the base case.</x:v>
      </x:c>
      <x:c r="B422" s="11"/>
      <x:c r="C422" s="11"/>
      <x:c r="D422" s="11"/>
      <x:c r="E422" s="11"/>
      <x:c r="F422" s="11"/>
      <x:c r="G422" s="11"/>
      <x:c r="H422" s="11"/>
      <x:c r="I422" s="11"/>
      <x:c r="J422" s="11"/>
      <x:c r="K422" s="11"/>
      <x:c r="L422" s="11"/>
      <x:c r="M422" s="11"/>
      <x:c r="N422" s="11"/>
      <x:c r="O422" s="11"/>
      <x:c r="P422" s="11"/>
      <x:c r="Q422" s="11"/>
      <x:c r="R422" s="11"/>
      <x:c r="S422" s="11"/>
      <x:c r="T422" s="11"/>
      <x:c r="U422" s="11"/>
      <x:c r="V422" s="11"/>
      <x:c r="W422" s="11"/>
      <x:c r="X422" s="11"/>
      <x:c r="Y422" s="11"/>
      <x:c r="Z422" s="11"/>
      <x:c r="AA422" s="11"/>
      <x:c r="AB422" s="11"/>
      <x:c r="AC422" s="11"/>
      <x:c r="AD422" s="11"/>
      <x:c r="AE422" s="11"/>
      <x:c r="AF422" s="11"/>
      <x:c r="AG422" s="11"/>
      <x:c r="AH422" s="11"/>
      <x:c r="AI422" s="11"/>
      <x:c r="AJ422" s="11"/>
      <x:c r="AK422" s="11"/>
    </x:row>
    <x:row r="423" ht="18" customHeight="1">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row>
    <x:row r="424" ht="18" customHeight="1">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row>
    <x:row r="425" ht="30" customHeight="1">
      <x:c r="A425" s="16" t="str">
        <x:v>Month after paid launch</x:v>
      </x:c>
      <x:c r="B425" s="16" t="n">
        <x:v>1</x:v>
      </x:c>
      <x:c r="C425" s="16" t="n">
        <x:v>2</x:v>
      </x:c>
      <x:c r="D425" s="16" t="n">
        <x:v>3</x:v>
      </x:c>
      <x:c r="E425" s="16" t="n">
        <x:v>4</x:v>
      </x:c>
      <x:c r="F425" s="16" t="n">
        <x:v>5</x:v>
      </x:c>
      <x:c r="G425" s="16" t="n">
        <x:v>6</x:v>
      </x:c>
      <x:c r="H425" s="16" t="n">
        <x:v>7</x:v>
      </x:c>
      <x:c r="I425" s="16" t="n">
        <x:v>8</x:v>
      </x:c>
      <x:c r="J425" s="16" t="n">
        <x:v>9</x:v>
      </x:c>
      <x:c r="K425" s="16" t="n">
        <x:v>10</x:v>
      </x:c>
      <x:c r="L425" s="16" t="n">
        <x:v>11</x:v>
      </x:c>
      <x:c r="M425" s="16" t="n">
        <x:v>12</x:v>
      </x:c>
      <x:c r="N425" s="16" t="n">
        <x:v>13</x:v>
      </x:c>
      <x:c r="O425" s="16" t="n">
        <x:v>14</x:v>
      </x:c>
      <x:c r="P425" s="16" t="n">
        <x:v>15</x:v>
      </x:c>
      <x:c r="Q425" s="16" t="n">
        <x:v>16</x:v>
      </x:c>
      <x:c r="R425" s="16" t="n">
        <x:v>17</x:v>
      </x:c>
      <x:c r="S425" s="16" t="n">
        <x:v>18</x:v>
      </x:c>
      <x:c r="T425" s="16" t="n">
        <x:v>19</x:v>
      </x:c>
      <x:c r="U425" s="16" t="n">
        <x:v>20</x:v>
      </x:c>
      <x:c r="V425" s="16" t="n">
        <x:v>21</x:v>
      </x:c>
      <x:c r="W425" s="16" t="n">
        <x:v>22</x:v>
      </x:c>
      <x:c r="X425" s="16" t="n">
        <x:v>23</x:v>
      </x:c>
      <x:c r="Y425" s="16" t="n">
        <x:v>24</x:v>
      </x:c>
      <x:c r="Z425" s="16" t="n">
        <x:v>25</x:v>
      </x:c>
      <x:c r="AA425" s="16" t="n">
        <x:v>26</x:v>
      </x:c>
      <x:c r="AB425" s="16" t="n">
        <x:v>27</x:v>
      </x:c>
      <x:c r="AC425" s="16" t="n">
        <x:v>28</x:v>
      </x:c>
      <x:c r="AD425" s="16" t="n">
        <x:v>29</x:v>
      </x:c>
      <x:c r="AE425" s="16" t="n">
        <x:v>30</x:v>
      </x:c>
      <x:c r="AF425" s="16" t="n">
        <x:v>31</x:v>
      </x:c>
      <x:c r="AG425" s="16" t="n">
        <x:v>32</x:v>
      </x:c>
      <x:c r="AH425" s="16" t="n">
        <x:v>33</x:v>
      </x:c>
      <x:c r="AI425" s="16" t="n">
        <x:v>34</x:v>
      </x:c>
      <x:c r="AJ425" s="16" t="n">
        <x:v>35</x:v>
      </x:c>
      <x:c r="AK425" s="16" t="n">
        <x:v>36</x:v>
      </x:c>
    </x:row>
    <x:row r="426" ht="18" customHeight="1">
      <x:c r="A426" s="4" t="str">
        <x:v>Qualified organic prospects</x:v>
      </x:c>
      <x:c r="B426" s="58" t="n">
        <x:f>'Scenario Inputs'!$C$5</x:f>
        <x:v>1000</x:v>
      </x:c>
      <x:c r="C426" s="58" t="n">
        <x:f>B426*(1+'Scenario Inputs'!$C$6)</x:f>
        <x:v>1120</x:v>
      </x:c>
      <x:c r="D426" s="58" t="n">
        <x:f>C426*(1+'Scenario Inputs'!$C$6)</x:f>
        <x:v>1254.4</x:v>
      </x:c>
      <x:c r="E426" s="58" t="n">
        <x:f>D426*(1+'Scenario Inputs'!$C$6)</x:f>
        <x:v>1404.9280000000003</x:v>
      </x:c>
      <x:c r="F426" s="58" t="n">
        <x:f>E426*(1+'Scenario Inputs'!$C$6)</x:f>
        <x:v>1573.5193600000005</x:v>
      </x:c>
      <x:c r="G426" s="58" t="n">
        <x:f>F426*(1+'Scenario Inputs'!$C$6)</x:f>
        <x:v>1762.3416832000007</x:v>
      </x:c>
      <x:c r="H426" s="58" t="n">
        <x:f>G426*(1+'Scenario Inputs'!$C$6)</x:f>
        <x:v>1973.822685184001</x:v>
      </x:c>
      <x:c r="I426" s="58" t="n">
        <x:f>H426*(1+'Scenario Inputs'!$C$6)</x:f>
        <x:v>2210.6814074060812</x:v>
      </x:c>
      <x:c r="J426" s="58" t="n">
        <x:f>I426*(1+'Scenario Inputs'!$C$6)</x:f>
        <x:v>2475.963176294811</x:v>
      </x:c>
      <x:c r="K426" s="58" t="n">
        <x:f>J426*(1+'Scenario Inputs'!$C$6)</x:f>
        <x:v>2773.0787574501887</x:v>
      </x:c>
      <x:c r="L426" s="58" t="n">
        <x:f>K426*(1+'Scenario Inputs'!$C$6)</x:f>
        <x:v>3105.848208344212</x:v>
      </x:c>
      <x:c r="M426" s="58" t="n">
        <x:f>L426*(1+'Scenario Inputs'!$C$6)</x:f>
        <x:v>3478.5499933455176</x:v>
      </x:c>
      <x:c r="N426" s="58" t="n">
        <x:f>M426*(1+'Scenario Inputs'!$C$7)</x:f>
        <x:v>3756.833992813159</x:v>
      </x:c>
      <x:c r="O426" s="58" t="n">
        <x:f>N426*(1+'Scenario Inputs'!$C$7)</x:f>
        <x:v>4057.3807122382123</x:v>
      </x:c>
      <x:c r="P426" s="58" t="n">
        <x:f>O426*(1+'Scenario Inputs'!$C$7)</x:f>
        <x:v>4381.97116921727</x:v>
      </x:c>
      <x:c r="Q426" s="58" t="n">
        <x:f>P426*(1+'Scenario Inputs'!$C$7)</x:f>
        <x:v>4732.5288627546515</x:v>
      </x:c>
      <x:c r="R426" s="58" t="n">
        <x:f>Q426*(1+'Scenario Inputs'!$C$7)</x:f>
        <x:v>5111.131171775024</x:v>
      </x:c>
      <x:c r="S426" s="58" t="n">
        <x:f>R426*(1+'Scenario Inputs'!$C$7)</x:f>
        <x:v>5520.021665517026</x:v>
      </x:c>
      <x:c r="T426" s="58" t="n">
        <x:f>S426*(1+'Scenario Inputs'!$C$7)</x:f>
        <x:v>5961.623398758388</x:v>
      </x:c>
      <x:c r="U426" s="58" t="n">
        <x:f>T426*(1+'Scenario Inputs'!$C$7)</x:f>
        <x:v>6438.553270659059</x:v>
      </x:c>
      <x:c r="V426" s="58" t="n">
        <x:f>U426*(1+'Scenario Inputs'!$C$7)</x:f>
        <x:v>6953.6375323117845</x:v>
      </x:c>
      <x:c r="W426" s="58" t="n">
        <x:f>V426*(1+'Scenario Inputs'!$C$7)</x:f>
        <x:v>7509.928534896728</x:v>
      </x:c>
      <x:c r="X426" s="58" t="n">
        <x:f>W426*(1+'Scenario Inputs'!$C$7)</x:f>
        <x:v>8110.722817688466</x:v>
      </x:c>
      <x:c r="Y426" s="58" t="n">
        <x:f>X426*(1+'Scenario Inputs'!$C$7)</x:f>
        <x:v>8759.580643103543</x:v>
      </x:c>
      <x:c r="Z426" s="58" t="n">
        <x:f>Y426*(1+'Scenario Inputs'!$C$8)</x:f>
        <x:v>9285.155481689757</x:v>
      </x:c>
      <x:c r="AA426" s="58" t="n">
        <x:f>Z426*(1+'Scenario Inputs'!$C$8)</x:f>
        <x:v>9842.264810591143</x:v>
      </x:c>
      <x:c r="AB426" s="58" t="n">
        <x:f>AA426*(1+'Scenario Inputs'!$C$8)</x:f>
        <x:v>10432.800699226613</x:v>
      </x:c>
      <x:c r="AC426" s="58" t="n">
        <x:f>AB426*(1+'Scenario Inputs'!$C$8)</x:f>
        <x:v>11058.76874118021</x:v>
      </x:c>
      <x:c r="AD426" s="58" t="n">
        <x:f>AC426*(1+'Scenario Inputs'!$C$8)</x:f>
        <x:v>11722.294865651023</x:v>
      </x:c>
      <x:c r="AE426" s="58" t="n">
        <x:f>AD426*(1+'Scenario Inputs'!$C$8)</x:f>
        <x:v>12425.632557590085</x:v>
      </x:c>
      <x:c r="AF426" s="58" t="n">
        <x:f>AE426*(1+'Scenario Inputs'!$C$8)</x:f>
        <x:v>13171.17051104549</x:v>
      </x:c>
      <x:c r="AG426" s="58" t="n">
        <x:f>AF426*(1+'Scenario Inputs'!$C$8)</x:f>
        <x:v>13961.44074170822</x:v>
      </x:c>
      <x:c r="AH426" s="58" t="n">
        <x:f>AG426*(1+'Scenario Inputs'!$C$8)</x:f>
        <x:v>14799.127186210715</x:v>
      </x:c>
      <x:c r="AI426" s="58" t="n">
        <x:f>AH426*(1+'Scenario Inputs'!$C$8)</x:f>
        <x:v>15687.074817383358</x:v>
      </x:c>
      <x:c r="AJ426" s="58" t="n">
        <x:f>AI426*(1+'Scenario Inputs'!$C$8)</x:f>
        <x:v>16628.29930642636</x:v>
      </x:c>
      <x:c r="AK426" s="58" t="n">
        <x:f>AJ426*(1+'Scenario Inputs'!$C$8)</x:f>
        <x:v>17625.997264811944</x:v>
      </x:c>
    </x:row>
    <x:row r="427" ht="18" customHeight="1">
      <x:c r="A427" s="4" t="str">
        <x:v>Paid media spend (INR)</x:v>
      </x:c>
      <x:c r="B427" s="60" t="n">
        <x:f>'Scenario Inputs'!$C$14</x:f>
        <x:v>6000</x:v>
      </x:c>
      <x:c r="C427" s="60" t="n">
        <x:f>'Scenario Inputs'!$C$14</x:f>
        <x:v>6000</x:v>
      </x:c>
      <x:c r="D427" s="60" t="n">
        <x:f>'Scenario Inputs'!$C$14</x:f>
        <x:v>6000</x:v>
      </x:c>
      <x:c r="E427" s="60" t="n">
        <x:f>'Scenario Inputs'!$C$15</x:f>
        <x:v>12000</x:v>
      </x:c>
      <x:c r="F427" s="60" t="n">
        <x:f>'Scenario Inputs'!$C$15</x:f>
        <x:v>12000</x:v>
      </x:c>
      <x:c r="G427" s="60" t="n">
        <x:f>'Scenario Inputs'!$C$15</x:f>
        <x:v>12000</x:v>
      </x:c>
      <x:c r="H427" s="60" t="n">
        <x:f>'Scenario Inputs'!$C$16</x:f>
        <x:v>25000</x:v>
      </x:c>
      <x:c r="I427" s="60" t="n">
        <x:f>'Scenario Inputs'!$C$16</x:f>
        <x:v>25000</x:v>
      </x:c>
      <x:c r="J427" s="60" t="n">
        <x:f>'Scenario Inputs'!$C$16</x:f>
        <x:v>25000</x:v>
      </x:c>
      <x:c r="K427" s="60" t="n">
        <x:f>'Scenario Inputs'!$C$16</x:f>
        <x:v>25000</x:v>
      </x:c>
      <x:c r="L427" s="60" t="n">
        <x:f>'Scenario Inputs'!$C$16</x:f>
        <x:v>25000</x:v>
      </x:c>
      <x:c r="M427" s="60" t="n">
        <x:f>'Scenario Inputs'!$C$16</x:f>
        <x:v>25000</x:v>
      </x:c>
      <x:c r="N427" s="60" t="n">
        <x:f>'Scenario Inputs'!$C$17</x:f>
        <x:v>50000</x:v>
      </x:c>
      <x:c r="O427" s="60" t="n">
        <x:f>'Scenario Inputs'!$C$17</x:f>
        <x:v>50000</x:v>
      </x:c>
      <x:c r="P427" s="60" t="n">
        <x:f>'Scenario Inputs'!$C$17</x:f>
        <x:v>50000</x:v>
      </x:c>
      <x:c r="Q427" s="60" t="n">
        <x:f>'Scenario Inputs'!$C$17</x:f>
        <x:v>50000</x:v>
      </x:c>
      <x:c r="R427" s="60" t="n">
        <x:f>'Scenario Inputs'!$C$17</x:f>
        <x:v>50000</x:v>
      </x:c>
      <x:c r="S427" s="60" t="n">
        <x:f>'Scenario Inputs'!$C$17</x:f>
        <x:v>50000</x:v>
      </x:c>
      <x:c r="T427" s="60" t="n">
        <x:f>'Scenario Inputs'!$C$18</x:f>
        <x:v>75000</x:v>
      </x:c>
      <x:c r="U427" s="60" t="n">
        <x:f>'Scenario Inputs'!$C$18</x:f>
        <x:v>75000</x:v>
      </x:c>
      <x:c r="V427" s="60" t="n">
        <x:f>'Scenario Inputs'!$C$18</x:f>
        <x:v>75000</x:v>
      </x:c>
      <x:c r="W427" s="60" t="n">
        <x:f>'Scenario Inputs'!$C$18</x:f>
        <x:v>75000</x:v>
      </x:c>
      <x:c r="X427" s="60" t="n">
        <x:f>'Scenario Inputs'!$C$18</x:f>
        <x:v>75000</x:v>
      </x:c>
      <x:c r="Y427" s="60" t="n">
        <x:f>'Scenario Inputs'!$C$18</x:f>
        <x:v>75000</x:v>
      </x:c>
      <x:c r="Z427" s="60" t="n">
        <x:f>'Scenario Inputs'!$C$19</x:f>
        <x:v>100000</x:v>
      </x:c>
      <x:c r="AA427" s="60" t="n">
        <x:f>'Scenario Inputs'!$C$19</x:f>
        <x:v>100000</x:v>
      </x:c>
      <x:c r="AB427" s="60" t="n">
        <x:f>'Scenario Inputs'!$C$19</x:f>
        <x:v>100000</x:v>
      </x:c>
      <x:c r="AC427" s="60" t="n">
        <x:f>'Scenario Inputs'!$C$19</x:f>
        <x:v>100000</x:v>
      </x:c>
      <x:c r="AD427" s="60" t="n">
        <x:f>'Scenario Inputs'!$C$19</x:f>
        <x:v>100000</x:v>
      </x:c>
      <x:c r="AE427" s="60" t="n">
        <x:f>'Scenario Inputs'!$C$19</x:f>
        <x:v>100000</x:v>
      </x:c>
      <x:c r="AF427" s="60" t="n">
        <x:f>'Scenario Inputs'!$C$20</x:f>
        <x:v>125000</x:v>
      </x:c>
      <x:c r="AG427" s="60" t="n">
        <x:f>'Scenario Inputs'!$C$20</x:f>
        <x:v>125000</x:v>
      </x:c>
      <x:c r="AH427" s="60" t="n">
        <x:f>'Scenario Inputs'!$C$20</x:f>
        <x:v>125000</x:v>
      </x:c>
      <x:c r="AI427" s="60" t="n">
        <x:f>'Scenario Inputs'!$C$20</x:f>
        <x:v>125000</x:v>
      </x:c>
      <x:c r="AJ427" s="60" t="n">
        <x:f>'Scenario Inputs'!$C$20</x:f>
        <x:v>125000</x:v>
      </x:c>
      <x:c r="AK427" s="60" t="n">
        <x:f>'Scenario Inputs'!$C$20</x:f>
        <x:v>125000</x:v>
      </x:c>
    </x:row>
    <x:row r="428" ht="18" customHeight="1">
      <x:c r="A428" s="4" t="str">
        <x:v>Paid CPC (INR)</x:v>
      </x:c>
      <x:c r="B428" s="64" t="n">
        <x:f>'Scenario Inputs'!$C$10*(1+'Scenario Inputs'!$C$11)^0</x:f>
        <x:v>15</x:v>
      </x:c>
      <x:c r="C428" s="64" t="n">
        <x:f>'Scenario Inputs'!$C$10*(1+'Scenario Inputs'!$C$11)^0</x:f>
        <x:v>15</x:v>
      </x:c>
      <x:c r="D428" s="64" t="n">
        <x:f>'Scenario Inputs'!$C$10*(1+'Scenario Inputs'!$C$11)^0</x:f>
        <x:v>15</x:v>
      </x:c>
      <x:c r="E428" s="64" t="n">
        <x:f>'Scenario Inputs'!$C$10*(1+'Scenario Inputs'!$C$11)^0</x:f>
        <x:v>15</x:v>
      </x:c>
      <x:c r="F428" s="64" t="n">
        <x:f>'Scenario Inputs'!$C$10*(1+'Scenario Inputs'!$C$11)^0</x:f>
        <x:v>15</x:v>
      </x:c>
      <x:c r="G428" s="64" t="n">
        <x:f>'Scenario Inputs'!$C$10*(1+'Scenario Inputs'!$C$11)^0</x:f>
        <x:v>15</x:v>
      </x:c>
      <x:c r="H428" s="64" t="n">
        <x:f>'Scenario Inputs'!$C$10*(1+'Scenario Inputs'!$C$11)^0</x:f>
        <x:v>15</x:v>
      </x:c>
      <x:c r="I428" s="64" t="n">
        <x:f>'Scenario Inputs'!$C$10*(1+'Scenario Inputs'!$C$11)^0</x:f>
        <x:v>15</x:v>
      </x:c>
      <x:c r="J428" s="64" t="n">
        <x:f>'Scenario Inputs'!$C$10*(1+'Scenario Inputs'!$C$11)^0</x:f>
        <x:v>15</x:v>
      </x:c>
      <x:c r="K428" s="64" t="n">
        <x:f>'Scenario Inputs'!$C$10*(1+'Scenario Inputs'!$C$11)^0</x:f>
        <x:v>15</x:v>
      </x:c>
      <x:c r="L428" s="64" t="n">
        <x:f>'Scenario Inputs'!$C$10*(1+'Scenario Inputs'!$C$11)^0</x:f>
        <x:v>15</x:v>
      </x:c>
      <x:c r="M428" s="64" t="n">
        <x:f>'Scenario Inputs'!$C$10*(1+'Scenario Inputs'!$C$11)^0</x:f>
        <x:v>15</x:v>
      </x:c>
      <x:c r="N428" s="64" t="n">
        <x:f>'Scenario Inputs'!$C$10*(1+'Scenario Inputs'!$C$11)^1</x:f>
        <x:v>16.5</x:v>
      </x:c>
      <x:c r="O428" s="64" t="n">
        <x:f>'Scenario Inputs'!$C$10*(1+'Scenario Inputs'!$C$11)^1</x:f>
        <x:v>16.5</x:v>
      </x:c>
      <x:c r="P428" s="64" t="n">
        <x:f>'Scenario Inputs'!$C$10*(1+'Scenario Inputs'!$C$11)^1</x:f>
        <x:v>16.5</x:v>
      </x:c>
      <x:c r="Q428" s="64" t="n">
        <x:f>'Scenario Inputs'!$C$10*(1+'Scenario Inputs'!$C$11)^1</x:f>
        <x:v>16.5</x:v>
      </x:c>
      <x:c r="R428" s="64" t="n">
        <x:f>'Scenario Inputs'!$C$10*(1+'Scenario Inputs'!$C$11)^1</x:f>
        <x:v>16.5</x:v>
      </x:c>
      <x:c r="S428" s="64" t="n">
        <x:f>'Scenario Inputs'!$C$10*(1+'Scenario Inputs'!$C$11)^1</x:f>
        <x:v>16.5</x:v>
      </x:c>
      <x:c r="T428" s="64" t="n">
        <x:f>'Scenario Inputs'!$C$10*(1+'Scenario Inputs'!$C$11)^1</x:f>
        <x:v>16.5</x:v>
      </x:c>
      <x:c r="U428" s="64" t="n">
        <x:f>'Scenario Inputs'!$C$10*(1+'Scenario Inputs'!$C$11)^1</x:f>
        <x:v>16.5</x:v>
      </x:c>
      <x:c r="V428" s="64" t="n">
        <x:f>'Scenario Inputs'!$C$10*(1+'Scenario Inputs'!$C$11)^1</x:f>
        <x:v>16.5</x:v>
      </x:c>
      <x:c r="W428" s="64" t="n">
        <x:f>'Scenario Inputs'!$C$10*(1+'Scenario Inputs'!$C$11)^1</x:f>
        <x:v>16.5</x:v>
      </x:c>
      <x:c r="X428" s="64" t="n">
        <x:f>'Scenario Inputs'!$C$10*(1+'Scenario Inputs'!$C$11)^1</x:f>
        <x:v>16.5</x:v>
      </x:c>
      <x:c r="Y428" s="64" t="n">
        <x:f>'Scenario Inputs'!$C$10*(1+'Scenario Inputs'!$C$11)^1</x:f>
        <x:v>16.5</x:v>
      </x:c>
      <x:c r="Z428" s="64" t="n">
        <x:f>'Scenario Inputs'!$C$10*(1+'Scenario Inputs'!$C$11)^2</x:f>
        <x:v>18.150000000000002</x:v>
      </x:c>
      <x:c r="AA428" s="64" t="n">
        <x:f>'Scenario Inputs'!$C$10*(1+'Scenario Inputs'!$C$11)^2</x:f>
        <x:v>18.150000000000002</x:v>
      </x:c>
      <x:c r="AB428" s="64" t="n">
        <x:f>'Scenario Inputs'!$C$10*(1+'Scenario Inputs'!$C$11)^2</x:f>
        <x:v>18.150000000000002</x:v>
      </x:c>
      <x:c r="AC428" s="64" t="n">
        <x:f>'Scenario Inputs'!$C$10*(1+'Scenario Inputs'!$C$11)^2</x:f>
        <x:v>18.150000000000002</x:v>
      </x:c>
      <x:c r="AD428" s="64" t="n">
        <x:f>'Scenario Inputs'!$C$10*(1+'Scenario Inputs'!$C$11)^2</x:f>
        <x:v>18.150000000000002</x:v>
      </x:c>
      <x:c r="AE428" s="64" t="n">
        <x:f>'Scenario Inputs'!$C$10*(1+'Scenario Inputs'!$C$11)^2</x:f>
        <x:v>18.150000000000002</x:v>
      </x:c>
      <x:c r="AF428" s="64" t="n">
        <x:f>'Scenario Inputs'!$C$10*(1+'Scenario Inputs'!$C$11)^2</x:f>
        <x:v>18.150000000000002</x:v>
      </x:c>
      <x:c r="AG428" s="64" t="n">
        <x:f>'Scenario Inputs'!$C$10*(1+'Scenario Inputs'!$C$11)^2</x:f>
        <x:v>18.150000000000002</x:v>
      </x:c>
      <x:c r="AH428" s="64" t="n">
        <x:f>'Scenario Inputs'!$C$10*(1+'Scenario Inputs'!$C$11)^2</x:f>
        <x:v>18.150000000000002</x:v>
      </x:c>
      <x:c r="AI428" s="64" t="n">
        <x:f>'Scenario Inputs'!$C$10*(1+'Scenario Inputs'!$C$11)^2</x:f>
        <x:v>18.150000000000002</x:v>
      </x:c>
      <x:c r="AJ428" s="64" t="n">
        <x:f>'Scenario Inputs'!$C$10*(1+'Scenario Inputs'!$C$11)^2</x:f>
        <x:v>18.150000000000002</x:v>
      </x:c>
      <x:c r="AK428" s="64" t="n">
        <x:f>'Scenario Inputs'!$C$10*(1+'Scenario Inputs'!$C$11)^2</x:f>
        <x:v>18.150000000000002</x:v>
      </x:c>
    </x:row>
    <x:row r="429" ht="18" customHeight="1">
      <x:c r="A429" s="4" t="str">
        <x:v>Paid clicks / prospect equivalents</x:v>
      </x:c>
      <x:c r="B429" s="58" t="n">
        <x:f>B427/B428</x:f>
        <x:v>400</x:v>
      </x:c>
      <x:c r="C429" s="58" t="n">
        <x:f>C427/C428</x:f>
        <x:v>400</x:v>
      </x:c>
      <x:c r="D429" s="58" t="n">
        <x:f>D427/D428</x:f>
        <x:v>400</x:v>
      </x:c>
      <x:c r="E429" s="58" t="n">
        <x:f>E427/E428</x:f>
        <x:v>800</x:v>
      </x:c>
      <x:c r="F429" s="58" t="n">
        <x:f>F427/F428</x:f>
        <x:v>800</x:v>
      </x:c>
      <x:c r="G429" s="58" t="n">
        <x:f>G427/G428</x:f>
        <x:v>800</x:v>
      </x:c>
      <x:c r="H429" s="58" t="n">
        <x:f>H427/H428</x:f>
        <x:v>1666.6666666666667</x:v>
      </x:c>
      <x:c r="I429" s="58" t="n">
        <x:f>I427/I428</x:f>
        <x:v>1666.6666666666667</x:v>
      </x:c>
      <x:c r="J429" s="58" t="n">
        <x:f>J427/J428</x:f>
        <x:v>1666.6666666666667</x:v>
      </x:c>
      <x:c r="K429" s="58" t="n">
        <x:f>K427/K428</x:f>
        <x:v>1666.6666666666667</x:v>
      </x:c>
      <x:c r="L429" s="58" t="n">
        <x:f>L427/L428</x:f>
        <x:v>1666.6666666666667</x:v>
      </x:c>
      <x:c r="M429" s="58" t="n">
        <x:f>M427/M428</x:f>
        <x:v>1666.6666666666667</x:v>
      </x:c>
      <x:c r="N429" s="58" t="n">
        <x:f>N427/N428</x:f>
        <x:v>3030.3030303030305</x:v>
      </x:c>
      <x:c r="O429" s="58" t="n">
        <x:f>O427/O428</x:f>
        <x:v>3030.3030303030305</x:v>
      </x:c>
      <x:c r="P429" s="58" t="n">
        <x:f>P427/P428</x:f>
        <x:v>3030.3030303030305</x:v>
      </x:c>
      <x:c r="Q429" s="58" t="n">
        <x:f>Q427/Q428</x:f>
        <x:v>3030.3030303030305</x:v>
      </x:c>
      <x:c r="R429" s="58" t="n">
        <x:f>R427/R428</x:f>
        <x:v>3030.3030303030305</x:v>
      </x:c>
      <x:c r="S429" s="58" t="n">
        <x:f>S427/S428</x:f>
        <x:v>3030.3030303030305</x:v>
      </x:c>
      <x:c r="T429" s="58" t="n">
        <x:f>T427/T428</x:f>
        <x:v>4545.454545454545</x:v>
      </x:c>
      <x:c r="U429" s="58" t="n">
        <x:f>U427/U428</x:f>
        <x:v>4545.454545454545</x:v>
      </x:c>
      <x:c r="V429" s="58" t="n">
        <x:f>V427/V428</x:f>
        <x:v>4545.454545454545</x:v>
      </x:c>
      <x:c r="W429" s="58" t="n">
        <x:f>W427/W428</x:f>
        <x:v>4545.454545454545</x:v>
      </x:c>
      <x:c r="X429" s="58" t="n">
        <x:f>X427/X428</x:f>
        <x:v>4545.454545454545</x:v>
      </x:c>
      <x:c r="Y429" s="58" t="n">
        <x:f>Y427/Y428</x:f>
        <x:v>4545.454545454545</x:v>
      </x:c>
      <x:c r="Z429" s="58" t="n">
        <x:f>Z427/Z428</x:f>
        <x:v>5509.641873278236</x:v>
      </x:c>
      <x:c r="AA429" s="58" t="n">
        <x:f>AA427/AA428</x:f>
        <x:v>5509.641873278236</x:v>
      </x:c>
      <x:c r="AB429" s="58" t="n">
        <x:f>AB427/AB428</x:f>
        <x:v>5509.641873278236</x:v>
      </x:c>
      <x:c r="AC429" s="58" t="n">
        <x:f>AC427/AC428</x:f>
        <x:v>5509.641873278236</x:v>
      </x:c>
      <x:c r="AD429" s="58" t="n">
        <x:f>AD427/AD428</x:f>
        <x:v>5509.641873278236</x:v>
      </x:c>
      <x:c r="AE429" s="58" t="n">
        <x:f>AE427/AE428</x:f>
        <x:v>5509.641873278236</x:v>
      </x:c>
      <x:c r="AF429" s="58" t="n">
        <x:f>AF427/AF428</x:f>
        <x:v>6887.052341597795</x:v>
      </x:c>
      <x:c r="AG429" s="58" t="n">
        <x:f>AG427/AG428</x:f>
        <x:v>6887.052341597795</x:v>
      </x:c>
      <x:c r="AH429" s="58" t="n">
        <x:f>AH427/AH428</x:f>
        <x:v>6887.052341597795</x:v>
      </x:c>
      <x:c r="AI429" s="58" t="n">
        <x:f>AI427/AI428</x:f>
        <x:v>6887.052341597795</x:v>
      </x:c>
      <x:c r="AJ429" s="58" t="n">
        <x:f>AJ427/AJ428</x:f>
        <x:v>6887.052341597795</x:v>
      </x:c>
      <x:c r="AK429" s="58" t="n">
        <x:f>AK427/AK428</x:f>
        <x:v>6887.052341597795</x:v>
      </x:c>
    </x:row>
    <x:row r="430" ht="18" customHeight="1">
      <x:c r="A430" s="4" t="str">
        <x:v>New gross buyers: organic</x:v>
      </x:c>
      <x:c r="B430" s="58" t="n">
        <x:f>B426*'Scenario Inputs'!$C$9</x:f>
        <x:v>15</x:v>
      </x:c>
      <x:c r="C430" s="58" t="n">
        <x:f>C426*'Scenario Inputs'!$C$9</x:f>
        <x:v>16.8</x:v>
      </x:c>
      <x:c r="D430" s="58" t="n">
        <x:f>D426*'Scenario Inputs'!$C$9</x:f>
        <x:v>18.816</x:v>
      </x:c>
      <x:c r="E430" s="58" t="n">
        <x:f>E426*'Scenario Inputs'!$C$9</x:f>
        <x:v>21.073920000000005</x:v>
      </x:c>
      <x:c r="F430" s="58" t="n">
        <x:f>F426*'Scenario Inputs'!$C$9</x:f>
        <x:v>23.602790400000007</x:v>
      </x:c>
      <x:c r="G430" s="58" t="n">
        <x:f>G426*'Scenario Inputs'!$C$9</x:f>
        <x:v>26.43512524800001</x:v>
      </x:c>
      <x:c r="H430" s="58" t="n">
        <x:f>H426*'Scenario Inputs'!$C$9</x:f>
        <x:v>29.607340277760017</x:v>
      </x:c>
      <x:c r="I430" s="58" t="n">
        <x:f>I426*'Scenario Inputs'!$C$9</x:f>
        <x:v>33.16022111109122</x:v>
      </x:c>
      <x:c r="J430" s="58" t="n">
        <x:f>J426*'Scenario Inputs'!$C$9</x:f>
        <x:v>37.13944764442216</x:v>
      </x:c>
      <x:c r="K430" s="58" t="n">
        <x:f>K426*'Scenario Inputs'!$C$9</x:f>
        <x:v>41.596181361752826</x:v>
      </x:c>
      <x:c r="L430" s="58" t="n">
        <x:f>L426*'Scenario Inputs'!$C$9</x:f>
        <x:v>46.58772312516317</x:v>
      </x:c>
      <x:c r="M430" s="58" t="n">
        <x:f>M426*'Scenario Inputs'!$C$9</x:f>
        <x:v>52.17824990018276</x:v>
      </x:c>
      <x:c r="N430" s="58" t="n">
        <x:f>N426*'Scenario Inputs'!$C$9</x:f>
        <x:v>56.35250989219738</x:v>
      </x:c>
      <x:c r="O430" s="58" t="n">
        <x:f>O426*'Scenario Inputs'!$C$9</x:f>
        <x:v>60.86071068357318</x:v>
      </x:c>
      <x:c r="P430" s="58" t="n">
        <x:f>P426*'Scenario Inputs'!$C$9</x:f>
        <x:v>65.72956753825905</x:v>
      </x:c>
      <x:c r="Q430" s="58" t="n">
        <x:f>Q426*'Scenario Inputs'!$C$9</x:f>
        <x:v>70.98793294131977</x:v>
      </x:c>
      <x:c r="R430" s="58" t="n">
        <x:f>R426*'Scenario Inputs'!$C$9</x:f>
        <x:v>76.66696757662535</x:v>
      </x:c>
      <x:c r="S430" s="58" t="n">
        <x:f>S426*'Scenario Inputs'!$C$9</x:f>
        <x:v>82.80032498275538</x:v>
      </x:c>
      <x:c r="T430" s="58" t="n">
        <x:f>T426*'Scenario Inputs'!$C$9</x:f>
        <x:v>89.42435098137582</x:v>
      </x:c>
      <x:c r="U430" s="58" t="n">
        <x:f>U426*'Scenario Inputs'!$C$9</x:f>
        <x:v>96.5782990598859</x:v>
      </x:c>
      <x:c r="V430" s="58" t="n">
        <x:f>V426*'Scenario Inputs'!$C$9</x:f>
        <x:v>104.30456298467676</x:v>
      </x:c>
      <x:c r="W430" s="58" t="n">
        <x:f>W426*'Scenario Inputs'!$C$9</x:f>
        <x:v>112.6489280234509</x:v>
      </x:c>
      <x:c r="X430" s="58" t="n">
        <x:f>X426*'Scenario Inputs'!$C$9</x:f>
        <x:v>121.66084226532699</x:v>
      </x:c>
      <x:c r="Y430" s="58" t="n">
        <x:f>Y426*'Scenario Inputs'!$C$9</x:f>
        <x:v>131.39370964655313</x:v>
      </x:c>
      <x:c r="Z430" s="58" t="n">
        <x:f>Z426*'Scenario Inputs'!$C$9</x:f>
        <x:v>139.27733222534636</x:v>
      </x:c>
      <x:c r="AA430" s="58" t="n">
        <x:f>AA426*'Scenario Inputs'!$C$9</x:f>
        <x:v>147.63397215886715</x:v>
      </x:c>
      <x:c r="AB430" s="58" t="n">
        <x:f>AB426*'Scenario Inputs'!$C$9</x:f>
        <x:v>156.4920104883992</x:v>
      </x:c>
      <x:c r="AC430" s="58" t="n">
        <x:f>AC426*'Scenario Inputs'!$C$9</x:f>
        <x:v>165.88153111770316</x:v>
      </x:c>
      <x:c r="AD430" s="58" t="n">
        <x:f>AD426*'Scenario Inputs'!$C$9</x:f>
        <x:v>175.83442298476535</x:v>
      </x:c>
      <x:c r="AE430" s="58" t="n">
        <x:f>AE426*'Scenario Inputs'!$C$9</x:f>
        <x:v>186.38448836385126</x:v>
      </x:c>
      <x:c r="AF430" s="58" t="n">
        <x:f>AF426*'Scenario Inputs'!$C$9</x:f>
        <x:v>197.56755766568233</x:v>
      </x:c>
      <x:c r="AG430" s="58" t="n">
        <x:f>AG426*'Scenario Inputs'!$C$9</x:f>
        <x:v>209.4216111256233</x:v>
      </x:c>
      <x:c r="AH430" s="58" t="n">
        <x:f>AH426*'Scenario Inputs'!$C$9</x:f>
        <x:v>221.98690779316073</x:v>
      </x:c>
      <x:c r="AI430" s="58" t="n">
        <x:f>AI426*'Scenario Inputs'!$C$9</x:f>
        <x:v>235.30612226075036</x:v>
      </x:c>
      <x:c r="AJ430" s="58" t="n">
        <x:f>AJ426*'Scenario Inputs'!$C$9</x:f>
        <x:v>249.4244895963954</x:v>
      </x:c>
      <x:c r="AK430" s="58" t="n">
        <x:f>AK426*'Scenario Inputs'!$C$9</x:f>
        <x:v>264.38995897217916</x:v>
      </x:c>
    </x:row>
    <x:row r="431" ht="18" customHeight="1">
      <x:c r="A431" s="4" t="str">
        <x:v>New gross buyers: paid</x:v>
      </x:c>
      <x:c r="B431" s="58" t="n">
        <x:f>B429*'Scenario Inputs'!$C$12</x:f>
        <x:v>8</x:v>
      </x:c>
      <x:c r="C431" s="58" t="n">
        <x:f>C429*'Scenario Inputs'!$C$12</x:f>
        <x:v>8</x:v>
      </x:c>
      <x:c r="D431" s="58" t="n">
        <x:f>D429*'Scenario Inputs'!$C$12</x:f>
        <x:v>8</x:v>
      </x:c>
      <x:c r="E431" s="58" t="n">
        <x:f>E429*'Scenario Inputs'!$C$12</x:f>
        <x:v>16</x:v>
      </x:c>
      <x:c r="F431" s="58" t="n">
        <x:f>F429*'Scenario Inputs'!$C$12</x:f>
        <x:v>16</x:v>
      </x:c>
      <x:c r="G431" s="58" t="n">
        <x:f>G429*'Scenario Inputs'!$C$12</x:f>
        <x:v>16</x:v>
      </x:c>
      <x:c r="H431" s="58" t="n">
        <x:f>H429*'Scenario Inputs'!$C$12</x:f>
        <x:v>33.333333333333336</x:v>
      </x:c>
      <x:c r="I431" s="58" t="n">
        <x:f>I429*'Scenario Inputs'!$C$12</x:f>
        <x:v>33.333333333333336</x:v>
      </x:c>
      <x:c r="J431" s="58" t="n">
        <x:f>J429*'Scenario Inputs'!$C$12</x:f>
        <x:v>33.333333333333336</x:v>
      </x:c>
      <x:c r="K431" s="58" t="n">
        <x:f>K429*'Scenario Inputs'!$C$12</x:f>
        <x:v>33.333333333333336</x:v>
      </x:c>
      <x:c r="L431" s="58" t="n">
        <x:f>L429*'Scenario Inputs'!$C$12</x:f>
        <x:v>33.333333333333336</x:v>
      </x:c>
      <x:c r="M431" s="58" t="n">
        <x:f>M429*'Scenario Inputs'!$C$12</x:f>
        <x:v>33.333333333333336</x:v>
      </x:c>
      <x:c r="N431" s="58" t="n">
        <x:f>N429*'Scenario Inputs'!$C$12</x:f>
        <x:v>60.60606060606061</x:v>
      </x:c>
      <x:c r="O431" s="58" t="n">
        <x:f>O429*'Scenario Inputs'!$C$12</x:f>
        <x:v>60.60606060606061</x:v>
      </x:c>
      <x:c r="P431" s="58" t="n">
        <x:f>P429*'Scenario Inputs'!$C$12</x:f>
        <x:v>60.60606060606061</x:v>
      </x:c>
      <x:c r="Q431" s="58" t="n">
        <x:f>Q429*'Scenario Inputs'!$C$12</x:f>
        <x:v>60.60606060606061</x:v>
      </x:c>
      <x:c r="R431" s="58" t="n">
        <x:f>R429*'Scenario Inputs'!$C$12</x:f>
        <x:v>60.60606060606061</x:v>
      </x:c>
      <x:c r="S431" s="58" t="n">
        <x:f>S429*'Scenario Inputs'!$C$12</x:f>
        <x:v>60.60606060606061</x:v>
      </x:c>
      <x:c r="T431" s="58" t="n">
        <x:f>T429*'Scenario Inputs'!$C$12</x:f>
        <x:v>90.9090909090909</x:v>
      </x:c>
      <x:c r="U431" s="58" t="n">
        <x:f>U429*'Scenario Inputs'!$C$12</x:f>
        <x:v>90.9090909090909</x:v>
      </x:c>
      <x:c r="V431" s="58" t="n">
        <x:f>V429*'Scenario Inputs'!$C$12</x:f>
        <x:v>90.9090909090909</x:v>
      </x:c>
      <x:c r="W431" s="58" t="n">
        <x:f>W429*'Scenario Inputs'!$C$12</x:f>
        <x:v>90.9090909090909</x:v>
      </x:c>
      <x:c r="X431" s="58" t="n">
        <x:f>X429*'Scenario Inputs'!$C$12</x:f>
        <x:v>90.9090909090909</x:v>
      </x:c>
      <x:c r="Y431" s="58" t="n">
        <x:f>Y429*'Scenario Inputs'!$C$12</x:f>
        <x:v>90.9090909090909</x:v>
      </x:c>
      <x:c r="Z431" s="58" t="n">
        <x:f>Z429*'Scenario Inputs'!$C$12</x:f>
        <x:v>110.19283746556472</x:v>
      </x:c>
      <x:c r="AA431" s="58" t="n">
        <x:f>AA429*'Scenario Inputs'!$C$12</x:f>
        <x:v>110.19283746556472</x:v>
      </x:c>
      <x:c r="AB431" s="58" t="n">
        <x:f>AB429*'Scenario Inputs'!$C$12</x:f>
        <x:v>110.19283746556472</x:v>
      </x:c>
      <x:c r="AC431" s="58" t="n">
        <x:f>AC429*'Scenario Inputs'!$C$12</x:f>
        <x:v>110.19283746556472</x:v>
      </x:c>
      <x:c r="AD431" s="58" t="n">
        <x:f>AD429*'Scenario Inputs'!$C$12</x:f>
        <x:v>110.19283746556472</x:v>
      </x:c>
      <x:c r="AE431" s="58" t="n">
        <x:f>AE429*'Scenario Inputs'!$C$12</x:f>
        <x:v>110.19283746556472</x:v>
      </x:c>
      <x:c r="AF431" s="58" t="n">
        <x:f>AF429*'Scenario Inputs'!$C$12</x:f>
        <x:v>137.7410468319559</x:v>
      </x:c>
      <x:c r="AG431" s="58" t="n">
        <x:f>AG429*'Scenario Inputs'!$C$12</x:f>
        <x:v>137.7410468319559</x:v>
      </x:c>
      <x:c r="AH431" s="58" t="n">
        <x:f>AH429*'Scenario Inputs'!$C$12</x:f>
        <x:v>137.7410468319559</x:v>
      </x:c>
      <x:c r="AI431" s="58" t="n">
        <x:f>AI429*'Scenario Inputs'!$C$12</x:f>
        <x:v>137.7410468319559</x:v>
      </x:c>
      <x:c r="AJ431" s="58" t="n">
        <x:f>AJ429*'Scenario Inputs'!$C$12</x:f>
        <x:v>137.7410468319559</x:v>
      </x:c>
      <x:c r="AK431" s="58" t="n">
        <x:f>AK429*'Scenario Inputs'!$C$12</x:f>
        <x:v>137.7410468319559</x:v>
      </x:c>
    </x:row>
    <x:row r="432" ht="18" customHeight="1">
      <x:c r="A432" s="4" t="str">
        <x:v>Total new gross buyers</x:v>
      </x:c>
      <x:c r="B432" s="58" t="n">
        <x:f>SUM(B430:B431)</x:f>
        <x:v>23</x:v>
      </x:c>
      <x:c r="C432" s="58" t="n">
        <x:f>SUM(C430:C431)</x:f>
        <x:v>24.8</x:v>
      </x:c>
      <x:c r="D432" s="58" t="n">
        <x:f>SUM(D430:D431)</x:f>
        <x:v>26.816</x:v>
      </x:c>
      <x:c r="E432" s="58" t="n">
        <x:f>SUM(E430:E431)</x:f>
        <x:v>37.07392</x:v>
      </x:c>
      <x:c r="F432" s="58" t="n">
        <x:f>SUM(F430:F431)</x:f>
        <x:v>39.6027904</x:v>
      </x:c>
      <x:c r="G432" s="58" t="n">
        <x:f>SUM(G430:G431)</x:f>
        <x:v>42.435125248000006</x:v>
      </x:c>
      <x:c r="H432" s="58" t="n">
        <x:f>SUM(H430:H431)</x:f>
        <x:v>62.94067361109335</x:v>
      </x:c>
      <x:c r="I432" s="58" t="n">
        <x:f>SUM(I430:I431)</x:f>
        <x:v>66.49355444442455</x:v>
      </x:c>
      <x:c r="J432" s="58" t="n">
        <x:f>SUM(J430:J431)</x:f>
        <x:v>70.47278097775549</x:v>
      </x:c>
      <x:c r="K432" s="58" t="n">
        <x:f>SUM(K430:K431)</x:f>
        <x:v>74.92951469508617</x:v>
      </x:c>
      <x:c r="L432" s="58" t="n">
        <x:f>SUM(L430:L431)</x:f>
        <x:v>79.92105645849651</x:v>
      </x:c>
      <x:c r="M432" s="58" t="n">
        <x:f>SUM(M430:M431)</x:f>
        <x:v>85.51158323351609</x:v>
      </x:c>
      <x:c r="N432" s="58" t="n">
        <x:f>SUM(N430:N431)</x:f>
        <x:v>116.95857049825798</x:v>
      </x:c>
      <x:c r="O432" s="58" t="n">
        <x:f>SUM(O430:O431)</x:f>
        <x:v>121.46677128963378</x:v>
      </x:c>
      <x:c r="P432" s="58" t="n">
        <x:f>SUM(P430:P431)</x:f>
        <x:v>126.33562814431966</x:v>
      </x:c>
      <x:c r="Q432" s="58" t="n">
        <x:f>SUM(Q430:Q431)</x:f>
        <x:v>131.59399354738036</x:v>
      </x:c>
      <x:c r="R432" s="58" t="n">
        <x:f>SUM(R430:R431)</x:f>
        <x:v>137.27302818268595</x:v>
      </x:c>
      <x:c r="S432" s="58" t="n">
        <x:f>SUM(S430:S431)</x:f>
        <x:v>143.406385588816</x:v>
      </x:c>
      <x:c r="T432" s="58" t="n">
        <x:f>SUM(T430:T431)</x:f>
        <x:v>180.33344189046673</x:v>
      </x:c>
      <x:c r="U432" s="58" t="n">
        <x:f>SUM(U430:U431)</x:f>
        <x:v>187.4873899689768</x:v>
      </x:c>
      <x:c r="V432" s="58" t="n">
        <x:f>SUM(V430:V431)</x:f>
        <x:v>195.21365389376768</x:v>
      </x:c>
      <x:c r="W432" s="58" t="n">
        <x:f>SUM(W430:W431)</x:f>
        <x:v>203.5580189325418</x:v>
      </x:c>
      <x:c r="X432" s="58" t="n">
        <x:f>SUM(X430:X431)</x:f>
        <x:v>212.56993317441788</x:v>
      </x:c>
      <x:c r="Y432" s="58" t="n">
        <x:f>SUM(Y430:Y431)</x:f>
        <x:v>222.30280055564404</x:v>
      </x:c>
      <x:c r="Z432" s="58" t="n">
        <x:f>SUM(Z430:Z431)</x:f>
        <x:v>249.47016969091106</x:v>
      </x:c>
      <x:c r="AA432" s="58" t="n">
        <x:f>SUM(AA430:AA431)</x:f>
        <x:v>257.82680962443186</x:v>
      </x:c>
      <x:c r="AB432" s="58" t="n">
        <x:f>SUM(AB430:AB431)</x:f>
        <x:v>266.6848479539639</x:v>
      </x:c>
      <x:c r="AC432" s="58" t="n">
        <x:f>SUM(AC430:AC431)</x:f>
        <x:v>276.07436858326787</x:v>
      </x:c>
      <x:c r="AD432" s="58" t="n">
        <x:f>SUM(AD430:AD431)</x:f>
        <x:v>286.02726045033006</x:v>
      </x:c>
      <x:c r="AE432" s="58" t="n">
        <x:f>SUM(AE430:AE431)</x:f>
        <x:v>296.577325829416</x:v>
      </x:c>
      <x:c r="AF432" s="58" t="n">
        <x:f>SUM(AF430:AF431)</x:f>
        <x:v>335.30860449763827</x:v>
      </x:c>
      <x:c r="AG432" s="58" t="n">
        <x:f>SUM(AG430:AG431)</x:f>
        <x:v>347.1626579575792</x:v>
      </x:c>
      <x:c r="AH432" s="58" t="n">
        <x:f>SUM(AH430:AH431)</x:f>
        <x:v>359.72795462511664</x:v>
      </x:c>
      <x:c r="AI432" s="58" t="n">
        <x:f>SUM(AI430:AI431)</x:f>
        <x:v>373.04716909270627</x:v>
      </x:c>
      <x:c r="AJ432" s="58" t="n">
        <x:f>SUM(AJ430:AJ431)</x:f>
        <x:v>387.1655364283513</x:v>
      </x:c>
      <x:c r="AK432" s="58" t="n">
        <x:f>SUM(AK430:AK431)</x:f>
        <x:v>402.13100580413504</x:v>
      </x:c>
    </x:row>
    <x:row r="433" ht="18" customHeight="1">
      <x:c r="A433" s="4" t="str">
        <x:v>New buyers after refunds</x:v>
      </x:c>
      <x:c r="B433" s="58" t="n">
        <x:f>B432*(1-'Scenario Inputs'!$C$29)</x:f>
        <x:v>22.31</x:v>
      </x:c>
      <x:c r="C433" s="58" t="n">
        <x:f>C432*(1-'Scenario Inputs'!$C$29)</x:f>
        <x:v>24.056</x:v>
      </x:c>
      <x:c r="D433" s="58" t="n">
        <x:f>D432*(1-'Scenario Inputs'!$C$29)</x:f>
        <x:v>26.011519999999997</x:v>
      </x:c>
      <x:c r="E433" s="58" t="n">
        <x:f>E432*(1-'Scenario Inputs'!$C$29)</x:f>
        <x:v>35.9617024</x:v>
      </x:c>
      <x:c r="F433" s="58" t="n">
        <x:f>F432*(1-'Scenario Inputs'!$C$29)</x:f>
        <x:v>38.414706688</x:v>
      </x:c>
      <x:c r="G433" s="58" t="n">
        <x:f>G432*(1-'Scenario Inputs'!$C$29)</x:f>
        <x:v>41.16207149056</x:v>
      </x:c>
      <x:c r="H433" s="58" t="n">
        <x:f>H432*(1-'Scenario Inputs'!$C$29)</x:f>
        <x:v>61.05245340276055</x:v>
      </x:c>
      <x:c r="I433" s="58" t="n">
        <x:f>I432*(1-'Scenario Inputs'!$C$29)</x:f>
        <x:v>64.4987478110918</x:v>
      </x:c>
      <x:c r="J433" s="58" t="n">
        <x:f>J432*(1-'Scenario Inputs'!$C$29)</x:f>
        <x:v>68.35859754842282</x:v>
      </x:c>
      <x:c r="K433" s="58" t="n">
        <x:f>K432*(1-'Scenario Inputs'!$C$29)</x:f>
        <x:v>72.68162925423358</x:v>
      </x:c>
      <x:c r="L433" s="58" t="n">
        <x:f>L432*(1-'Scenario Inputs'!$C$29)</x:f>
        <x:v>77.5234247647416</x:v>
      </x:c>
      <x:c r="M433" s="58" t="n">
        <x:f>M432*(1-'Scenario Inputs'!$C$29)</x:f>
        <x:v>82.9462357365106</x:v>
      </x:c>
      <x:c r="N433" s="58" t="n">
        <x:f>N432*(1-'Scenario Inputs'!$C$29)</x:f>
        <x:v>113.44981338331024</x:v>
      </x:c>
      <x:c r="O433" s="58" t="n">
        <x:f>O432*(1-'Scenario Inputs'!$C$29)</x:f>
        <x:v>117.82276815094477</x:v>
      </x:c>
      <x:c r="P433" s="58" t="n">
        <x:f>P432*(1-'Scenario Inputs'!$C$29)</x:f>
        <x:v>122.54555929999006</x:v>
      </x:c>
      <x:c r="Q433" s="58" t="n">
        <x:f>Q432*(1-'Scenario Inputs'!$C$29)</x:f>
        <x:v>127.64617374095894</x:v>
      </x:c>
      <x:c r="R433" s="58" t="n">
        <x:f>R432*(1-'Scenario Inputs'!$C$29)</x:f>
        <x:v>133.15483733720538</x:v>
      </x:c>
      <x:c r="S433" s="58" t="n">
        <x:f>S432*(1-'Scenario Inputs'!$C$29)</x:f>
        <x:v>139.1041940211515</x:v>
      </x:c>
      <x:c r="T433" s="58" t="n">
        <x:f>T432*(1-'Scenario Inputs'!$C$29)</x:f>
        <x:v>174.9234386337527</x:v>
      </x:c>
      <x:c r="U433" s="58" t="n">
        <x:f>U432*(1-'Scenario Inputs'!$C$29)</x:f>
        <x:v>181.8627682699075</x:v>
      </x:c>
      <x:c r="V433" s="58" t="n">
        <x:f>V432*(1-'Scenario Inputs'!$C$29)</x:f>
        <x:v>189.35724427695465</x:v>
      </x:c>
      <x:c r="W433" s="58" t="n">
        <x:f>W432*(1-'Scenario Inputs'!$C$29)</x:f>
        <x:v>197.45127836456555</x:v>
      </x:c>
      <x:c r="X433" s="58" t="n">
        <x:f>X432*(1-'Scenario Inputs'!$C$29)</x:f>
        <x:v>206.19283517918535</x:v>
      </x:c>
      <x:c r="Y433" s="58" t="n">
        <x:f>Y432*(1-'Scenario Inputs'!$C$29)</x:f>
        <x:v>215.6337165389747</x:v>
      </x:c>
      <x:c r="Z433" s="58" t="n">
        <x:f>Z432*(1-'Scenario Inputs'!$C$29)</x:f>
        <x:v>241.98606460018374</x:v>
      </x:c>
      <x:c r="AA433" s="58" t="n">
        <x:f>AA432*(1-'Scenario Inputs'!$C$29)</x:f>
        <x:v>250.0920053356989</x:v>
      </x:c>
      <x:c r="AB433" s="58" t="n">
        <x:f>AB432*(1-'Scenario Inputs'!$C$29)</x:f>
        <x:v>258.684302515345</x:v>
      </x:c>
      <x:c r="AC433" s="58" t="n">
        <x:f>AC432*(1-'Scenario Inputs'!$C$29)</x:f>
        <x:v>267.7921375257698</x:v>
      </x:c>
      <x:c r="AD433" s="58" t="n">
        <x:f>AD432*(1-'Scenario Inputs'!$C$29)</x:f>
        <x:v>277.44644263682017</x:v>
      </x:c>
      <x:c r="AE433" s="58" t="n">
        <x:f>AE432*(1-'Scenario Inputs'!$C$29)</x:f>
        <x:v>287.6800060545335</x:v>
      </x:c>
      <x:c r="AF433" s="58" t="n">
        <x:f>AF432*(1-'Scenario Inputs'!$C$29)</x:f>
        <x:v>325.2493463627091</x:v>
      </x:c>
      <x:c r="AG433" s="58" t="n">
        <x:f>AG432*(1-'Scenario Inputs'!$C$29)</x:f>
        <x:v>336.7477782188518</x:v>
      </x:c>
      <x:c r="AH433" s="58" t="n">
        <x:f>AH432*(1-'Scenario Inputs'!$C$29)</x:f>
        <x:v>348.9361159863631</x:v>
      </x:c>
      <x:c r="AI433" s="58" t="n">
        <x:f>AI432*(1-'Scenario Inputs'!$C$29)</x:f>
        <x:v>361.8557540199251</x:v>
      </x:c>
      <x:c r="AJ433" s="58" t="n">
        <x:f>AJ432*(1-'Scenario Inputs'!$C$29)</x:f>
        <x:v>375.55057033550077</x:v>
      </x:c>
      <x:c r="AK433" s="58" t="n">
        <x:f>AK432*(1-'Scenario Inputs'!$C$29)</x:f>
        <x:v>390.067075630011</x:v>
      </x:c>
    </x:row>
    <x:row r="434" ht="18" customHeight="1">
      <x:c r="A434" s="4" t="str">
        <x:v>Paid creative allowance (INR)</x:v>
      </x:c>
      <x:c r="B434" s="58" t="n">
        <x:f>B427*'Scenario Inputs'!$C$13</x:f>
        <x:v>1500</x:v>
      </x:c>
      <x:c r="C434" s="58" t="n">
        <x:f>C427*'Scenario Inputs'!$C$13</x:f>
        <x:v>1500</x:v>
      </x:c>
      <x:c r="D434" s="58" t="n">
        <x:f>D427*'Scenario Inputs'!$C$13</x:f>
        <x:v>1500</x:v>
      </x:c>
      <x:c r="E434" s="58" t="n">
        <x:f>E427*'Scenario Inputs'!$C$13</x:f>
        <x:v>3000</x:v>
      </x:c>
      <x:c r="F434" s="58" t="n">
        <x:f>F427*'Scenario Inputs'!$C$13</x:f>
        <x:v>3000</x:v>
      </x:c>
      <x:c r="G434" s="58" t="n">
        <x:f>G427*'Scenario Inputs'!$C$13</x:f>
        <x:v>3000</x:v>
      </x:c>
      <x:c r="H434" s="58" t="n">
        <x:f>H427*'Scenario Inputs'!$C$13</x:f>
        <x:v>6250</x:v>
      </x:c>
      <x:c r="I434" s="58" t="n">
        <x:f>I427*'Scenario Inputs'!$C$13</x:f>
        <x:v>6250</x:v>
      </x:c>
      <x:c r="J434" s="58" t="n">
        <x:f>J427*'Scenario Inputs'!$C$13</x:f>
        <x:v>6250</x:v>
      </x:c>
      <x:c r="K434" s="58" t="n">
        <x:f>K427*'Scenario Inputs'!$C$13</x:f>
        <x:v>6250</x:v>
      </x:c>
      <x:c r="L434" s="58" t="n">
        <x:f>L427*'Scenario Inputs'!$C$13</x:f>
        <x:v>6250</x:v>
      </x:c>
      <x:c r="M434" s="58" t="n">
        <x:f>M427*'Scenario Inputs'!$C$13</x:f>
        <x:v>6250</x:v>
      </x:c>
      <x:c r="N434" s="58" t="n">
        <x:f>N427*'Scenario Inputs'!$C$13</x:f>
        <x:v>12500</x:v>
      </x:c>
      <x:c r="O434" s="58" t="n">
        <x:f>O427*'Scenario Inputs'!$C$13</x:f>
        <x:v>12500</x:v>
      </x:c>
      <x:c r="P434" s="58" t="n">
        <x:f>P427*'Scenario Inputs'!$C$13</x:f>
        <x:v>12500</x:v>
      </x:c>
      <x:c r="Q434" s="58" t="n">
        <x:f>Q427*'Scenario Inputs'!$C$13</x:f>
        <x:v>12500</x:v>
      </x:c>
      <x:c r="R434" s="58" t="n">
        <x:f>R427*'Scenario Inputs'!$C$13</x:f>
        <x:v>12500</x:v>
      </x:c>
      <x:c r="S434" s="58" t="n">
        <x:f>S427*'Scenario Inputs'!$C$13</x:f>
        <x:v>12500</x:v>
      </x:c>
      <x:c r="T434" s="58" t="n">
        <x:f>T427*'Scenario Inputs'!$C$13</x:f>
        <x:v>18750</x:v>
      </x:c>
      <x:c r="U434" s="58" t="n">
        <x:f>U427*'Scenario Inputs'!$C$13</x:f>
        <x:v>18750</x:v>
      </x:c>
      <x:c r="V434" s="58" t="n">
        <x:f>V427*'Scenario Inputs'!$C$13</x:f>
        <x:v>18750</x:v>
      </x:c>
      <x:c r="W434" s="58" t="n">
        <x:f>W427*'Scenario Inputs'!$C$13</x:f>
        <x:v>18750</x:v>
      </x:c>
      <x:c r="X434" s="58" t="n">
        <x:f>X427*'Scenario Inputs'!$C$13</x:f>
        <x:v>18750</x:v>
      </x:c>
      <x:c r="Y434" s="58" t="n">
        <x:f>Y427*'Scenario Inputs'!$C$13</x:f>
        <x:v>18750</x:v>
      </x:c>
      <x:c r="Z434" s="58" t="n">
        <x:f>Z427*'Scenario Inputs'!$C$13</x:f>
        <x:v>25000</x:v>
      </x:c>
      <x:c r="AA434" s="58" t="n">
        <x:f>AA427*'Scenario Inputs'!$C$13</x:f>
        <x:v>25000</x:v>
      </x:c>
      <x:c r="AB434" s="58" t="n">
        <x:f>AB427*'Scenario Inputs'!$C$13</x:f>
        <x:v>25000</x:v>
      </x:c>
      <x:c r="AC434" s="58" t="n">
        <x:f>AC427*'Scenario Inputs'!$C$13</x:f>
        <x:v>25000</x:v>
      </x:c>
      <x:c r="AD434" s="58" t="n">
        <x:f>AD427*'Scenario Inputs'!$C$13</x:f>
        <x:v>25000</x:v>
      </x:c>
      <x:c r="AE434" s="58" t="n">
        <x:f>AE427*'Scenario Inputs'!$C$13</x:f>
        <x:v>25000</x:v>
      </x:c>
      <x:c r="AF434" s="58" t="n">
        <x:f>AF427*'Scenario Inputs'!$C$13</x:f>
        <x:v>31250</x:v>
      </x:c>
      <x:c r="AG434" s="58" t="n">
        <x:f>AG427*'Scenario Inputs'!$C$13</x:f>
        <x:v>31250</x:v>
      </x:c>
      <x:c r="AH434" s="58" t="n">
        <x:f>AH427*'Scenario Inputs'!$C$13</x:f>
        <x:v>31250</x:v>
      </x:c>
      <x:c r="AI434" s="58" t="n">
        <x:f>AI427*'Scenario Inputs'!$C$13</x:f>
        <x:v>31250</x:v>
      </x:c>
      <x:c r="AJ434" s="58" t="n">
        <x:f>AJ427*'Scenario Inputs'!$C$13</x:f>
        <x:v>31250</x:v>
      </x:c>
      <x:c r="AK434" s="58" t="n">
        <x:f>AK427*'Scenario Inputs'!$C$13</x:f>
        <x:v>31250</x:v>
      </x:c>
    </x:row>
    <x:row r="435" ht="18" customHeight="1">
      <x:c r="A435" s="4" t="str">
        <x:v>Organic / partner content cash (INR)</x:v>
      </x:c>
      <x:c r="B435" s="60" t="n">
        <x:f>'Scenario Inputs'!$C$21</x:f>
        <x:v>5000</x:v>
      </x:c>
      <x:c r="C435" s="60" t="n">
        <x:f>'Scenario Inputs'!$C$21</x:f>
        <x:v>5000</x:v>
      </x:c>
      <x:c r="D435" s="60" t="n">
        <x:f>'Scenario Inputs'!$C$21</x:f>
        <x:v>5000</x:v>
      </x:c>
      <x:c r="E435" s="60" t="n">
        <x:f>'Scenario Inputs'!$C$21</x:f>
        <x:v>5000</x:v>
      </x:c>
      <x:c r="F435" s="60" t="n">
        <x:f>'Scenario Inputs'!$C$21</x:f>
        <x:v>5000</x:v>
      </x:c>
      <x:c r="G435" s="60" t="n">
        <x:f>'Scenario Inputs'!$C$21</x:f>
        <x:v>5000</x:v>
      </x:c>
      <x:c r="H435" s="60" t="n">
        <x:f>'Scenario Inputs'!$C$21</x:f>
        <x:v>5000</x:v>
      </x:c>
      <x:c r="I435" s="60" t="n">
        <x:f>'Scenario Inputs'!$C$21</x:f>
        <x:v>5000</x:v>
      </x:c>
      <x:c r="J435" s="60" t="n">
        <x:f>'Scenario Inputs'!$C$21</x:f>
        <x:v>5000</x:v>
      </x:c>
      <x:c r="K435" s="60" t="n">
        <x:f>'Scenario Inputs'!$C$21</x:f>
        <x:v>5000</x:v>
      </x:c>
      <x:c r="L435" s="60" t="n">
        <x:f>'Scenario Inputs'!$C$21</x:f>
        <x:v>5000</x:v>
      </x:c>
      <x:c r="M435" s="60" t="n">
        <x:f>'Scenario Inputs'!$C$21</x:f>
        <x:v>5000</x:v>
      </x:c>
      <x:c r="N435" s="60" t="n">
        <x:f>'Scenario Inputs'!$C$22</x:f>
        <x:v>10000</x:v>
      </x:c>
      <x:c r="O435" s="60" t="n">
        <x:f>'Scenario Inputs'!$C$22</x:f>
        <x:v>10000</x:v>
      </x:c>
      <x:c r="P435" s="60" t="n">
        <x:f>'Scenario Inputs'!$C$22</x:f>
        <x:v>10000</x:v>
      </x:c>
      <x:c r="Q435" s="60" t="n">
        <x:f>'Scenario Inputs'!$C$22</x:f>
        <x:v>10000</x:v>
      </x:c>
      <x:c r="R435" s="60" t="n">
        <x:f>'Scenario Inputs'!$C$22</x:f>
        <x:v>10000</x:v>
      </x:c>
      <x:c r="S435" s="60" t="n">
        <x:f>'Scenario Inputs'!$C$22</x:f>
        <x:v>10000</x:v>
      </x:c>
      <x:c r="T435" s="60" t="n">
        <x:f>'Scenario Inputs'!$C$22</x:f>
        <x:v>10000</x:v>
      </x:c>
      <x:c r="U435" s="60" t="n">
        <x:f>'Scenario Inputs'!$C$22</x:f>
        <x:v>10000</x:v>
      </x:c>
      <x:c r="V435" s="60" t="n">
        <x:f>'Scenario Inputs'!$C$22</x:f>
        <x:v>10000</x:v>
      </x:c>
      <x:c r="W435" s="60" t="n">
        <x:f>'Scenario Inputs'!$C$22</x:f>
        <x:v>10000</x:v>
      </x:c>
      <x:c r="X435" s="60" t="n">
        <x:f>'Scenario Inputs'!$C$22</x:f>
        <x:v>10000</x:v>
      </x:c>
      <x:c r="Y435" s="60" t="n">
        <x:f>'Scenario Inputs'!$C$22</x:f>
        <x:v>10000</x:v>
      </x:c>
      <x:c r="Z435" s="60" t="n">
        <x:f>'Scenario Inputs'!$C$23</x:f>
        <x:v>15000</x:v>
      </x:c>
      <x:c r="AA435" s="60" t="n">
        <x:f>'Scenario Inputs'!$C$23</x:f>
        <x:v>15000</x:v>
      </x:c>
      <x:c r="AB435" s="60" t="n">
        <x:f>'Scenario Inputs'!$C$23</x:f>
        <x:v>15000</x:v>
      </x:c>
      <x:c r="AC435" s="60" t="n">
        <x:f>'Scenario Inputs'!$C$23</x:f>
        <x:v>15000</x:v>
      </x:c>
      <x:c r="AD435" s="60" t="n">
        <x:f>'Scenario Inputs'!$C$23</x:f>
        <x:v>15000</x:v>
      </x:c>
      <x:c r="AE435" s="60" t="n">
        <x:f>'Scenario Inputs'!$C$23</x:f>
        <x:v>15000</x:v>
      </x:c>
      <x:c r="AF435" s="60" t="n">
        <x:f>'Scenario Inputs'!$C$23</x:f>
        <x:v>15000</x:v>
      </x:c>
      <x:c r="AG435" s="60" t="n">
        <x:f>'Scenario Inputs'!$C$23</x:f>
        <x:v>15000</x:v>
      </x:c>
      <x:c r="AH435" s="60" t="n">
        <x:f>'Scenario Inputs'!$C$23</x:f>
        <x:v>15000</x:v>
      </x:c>
      <x:c r="AI435" s="60" t="n">
        <x:f>'Scenario Inputs'!$C$23</x:f>
        <x:v>15000</x:v>
      </x:c>
      <x:c r="AJ435" s="60" t="n">
        <x:f>'Scenario Inputs'!$C$23</x:f>
        <x:v>15000</x:v>
      </x:c>
      <x:c r="AK435" s="60" t="n">
        <x:f>'Scenario Inputs'!$C$23</x:f>
        <x:v>15000</x:v>
      </x:c>
    </x:row>
    <x:row r="436" ht="18" customHeight="1">
      <x:c r="A436" s="74" t="str">
        <x:v>TOTAL ACQUISITION SPEND (INR)</x:v>
      </x:c>
      <x:c r="B436" s="75" t="n">
        <x:f>B427+SUM(B434:B435)</x:f>
        <x:v>12500</x:v>
      </x:c>
      <x:c r="C436" s="75" t="n">
        <x:f>C427+SUM(C434:C435)</x:f>
        <x:v>12500</x:v>
      </x:c>
      <x:c r="D436" s="75" t="n">
        <x:f>D427+SUM(D434:D435)</x:f>
        <x:v>12500</x:v>
      </x:c>
      <x:c r="E436" s="75" t="n">
        <x:f>E427+SUM(E434:E435)</x:f>
        <x:v>20000</x:v>
      </x:c>
      <x:c r="F436" s="75" t="n">
        <x:f>F427+SUM(F434:F435)</x:f>
        <x:v>20000</x:v>
      </x:c>
      <x:c r="G436" s="75" t="n">
        <x:f>G427+SUM(G434:G435)</x:f>
        <x:v>20000</x:v>
      </x:c>
      <x:c r="H436" s="75" t="n">
        <x:f>H427+SUM(H434:H435)</x:f>
        <x:v>36250</x:v>
      </x:c>
      <x:c r="I436" s="75" t="n">
        <x:f>I427+SUM(I434:I435)</x:f>
        <x:v>36250</x:v>
      </x:c>
      <x:c r="J436" s="75" t="n">
        <x:f>J427+SUM(J434:J435)</x:f>
        <x:v>36250</x:v>
      </x:c>
      <x:c r="K436" s="75" t="n">
        <x:f>K427+SUM(K434:K435)</x:f>
        <x:v>36250</x:v>
      </x:c>
      <x:c r="L436" s="75" t="n">
        <x:f>L427+SUM(L434:L435)</x:f>
        <x:v>36250</x:v>
      </x:c>
      <x:c r="M436" s="75" t="n">
        <x:f>M427+SUM(M434:M435)</x:f>
        <x:v>36250</x:v>
      </x:c>
      <x:c r="N436" s="75" t="n">
        <x:f>N427+SUM(N434:N435)</x:f>
        <x:v>72500</x:v>
      </x:c>
      <x:c r="O436" s="75" t="n">
        <x:f>O427+SUM(O434:O435)</x:f>
        <x:v>72500</x:v>
      </x:c>
      <x:c r="P436" s="75" t="n">
        <x:f>P427+SUM(P434:P435)</x:f>
        <x:v>72500</x:v>
      </x:c>
      <x:c r="Q436" s="75" t="n">
        <x:f>Q427+SUM(Q434:Q435)</x:f>
        <x:v>72500</x:v>
      </x:c>
      <x:c r="R436" s="75" t="n">
        <x:f>R427+SUM(R434:R435)</x:f>
        <x:v>72500</x:v>
      </x:c>
      <x:c r="S436" s="75" t="n">
        <x:f>S427+SUM(S434:S435)</x:f>
        <x:v>72500</x:v>
      </x:c>
      <x:c r="T436" s="75" t="n">
        <x:f>T427+SUM(T434:T435)</x:f>
        <x:v>103750</x:v>
      </x:c>
      <x:c r="U436" s="75" t="n">
        <x:f>U427+SUM(U434:U435)</x:f>
        <x:v>103750</x:v>
      </x:c>
      <x:c r="V436" s="75" t="n">
        <x:f>V427+SUM(V434:V435)</x:f>
        <x:v>103750</x:v>
      </x:c>
      <x:c r="W436" s="75" t="n">
        <x:f>W427+SUM(W434:W435)</x:f>
        <x:v>103750</x:v>
      </x:c>
      <x:c r="X436" s="75" t="n">
        <x:f>X427+SUM(X434:X435)</x:f>
        <x:v>103750</x:v>
      </x:c>
      <x:c r="Y436" s="75" t="n">
        <x:f>Y427+SUM(Y434:Y435)</x:f>
        <x:v>103750</x:v>
      </x:c>
      <x:c r="Z436" s="75" t="n">
        <x:f>Z427+SUM(Z434:Z435)</x:f>
        <x:v>140000</x:v>
      </x:c>
      <x:c r="AA436" s="75" t="n">
        <x:f>AA427+SUM(AA434:AA435)</x:f>
        <x:v>140000</x:v>
      </x:c>
      <x:c r="AB436" s="75" t="n">
        <x:f>AB427+SUM(AB434:AB435)</x:f>
        <x:v>140000</x:v>
      </x:c>
      <x:c r="AC436" s="75" t="n">
        <x:f>AC427+SUM(AC434:AC435)</x:f>
        <x:v>140000</x:v>
      </x:c>
      <x:c r="AD436" s="75" t="n">
        <x:f>AD427+SUM(AD434:AD435)</x:f>
        <x:v>140000</x:v>
      </x:c>
      <x:c r="AE436" s="75" t="n">
        <x:f>AE427+SUM(AE434:AE435)</x:f>
        <x:v>140000</x:v>
      </x:c>
      <x:c r="AF436" s="75" t="n">
        <x:f>AF427+SUM(AF434:AF435)</x:f>
        <x:v>171250</x:v>
      </x:c>
      <x:c r="AG436" s="75" t="n">
        <x:f>AG427+SUM(AG434:AG435)</x:f>
        <x:v>171250</x:v>
      </x:c>
      <x:c r="AH436" s="75" t="n">
        <x:f>AH427+SUM(AH434:AH435)</x:f>
        <x:v>171250</x:v>
      </x:c>
      <x:c r="AI436" s="75" t="n">
        <x:f>AI427+SUM(AI434:AI435)</x:f>
        <x:v>171250</x:v>
      </x:c>
      <x:c r="AJ436" s="75" t="n">
        <x:f>AJ427+SUM(AJ434:AJ435)</x:f>
        <x:v>171250</x:v>
      </x:c>
      <x:c r="AK436" s="75" t="n">
        <x:f>AK427+SUM(AK434:AK435)</x:f>
        <x:v>171250</x:v>
      </x:c>
    </x:row>
    <x:row r="437" ht="18" customHeight="1">
      <x:c r="A437" s="4" t="str">
        <x:v>Blended cash CAC (INR / gross buyer)</x:v>
      </x:c>
      <x:c r="B437" s="64" t="n">
        <x:f>IFERROR(B436/B432,0)</x:f>
        <x:v>543.4782608695652</x:v>
      </x:c>
      <x:c r="C437" s="64" t="n">
        <x:f>IFERROR(C436/C432,0)</x:f>
        <x:v>504.0322580645161</x:v>
      </x:c>
      <x:c r="D437" s="64" t="n">
        <x:f>IFERROR(D436/D432,0)</x:f>
        <x:v>466.13961813842485</x:v>
      </x:c>
      <x:c r="E437" s="64" t="n">
        <x:f>IFERROR(E436/E432,0)</x:f>
        <x:v>539.4627813837867</x:v>
      </x:c>
      <x:c r="F437" s="64" t="n">
        <x:f>IFERROR(F436/F432,0)</x:f>
        <x:v>505.01491935275345</x:v>
      </x:c>
      <x:c r="G437" s="64" t="n">
        <x:f>IFERROR(G436/G432,0)</x:f>
        <x:v>471.3076698399191</x:v>
      </x:c>
      <x:c r="H437" s="64" t="n">
        <x:f>IFERROR(H436/H432,0)</x:f>
        <x:v>575.9391808226676</x:v>
      </x:c>
      <x:c r="I437" s="64" t="n">
        <x:f>IFERROR(I436/I432,0)</x:f>
        <x:v>545.1656224859784</x:v>
      </x:c>
      <x:c r="J437" s="64" t="n">
        <x:f>IFERROR(J436/J432,0)</x:f>
        <x:v>514.3829929379713</x:v>
      </x:c>
      <x:c r="K437" s="64" t="n">
        <x:f>IFERROR(K436/K432,0)</x:f>
        <x:v>483.78799926188833</x:v>
      </x:c>
      <x:c r="L437" s="64" t="n">
        <x:f>IFERROR(L436/L432,0)</x:f>
        <x:v>453.57258282521383</x:v>
      </x:c>
      <x:c r="M437" s="64" t="n">
        <x:f>IFERROR(M436/M432,0)</x:f>
        <x:v>423.9191771365997</x:v>
      </x:c>
      <x:c r="N437" s="64" t="n">
        <x:f>IFERROR(N436/N432,0)</x:f>
        <x:v>619.8776172720052</x:v>
      </x:c>
      <x:c r="O437" s="64" t="n">
        <x:f>IFERROR(O436/O432,0)</x:f>
        <x:v>596.8710556002676</x:v>
      </x:c>
      <x:c r="P437" s="64" t="n">
        <x:f>IFERROR(P436/P432,0)</x:f>
        <x:v>573.8682038069225</x:v>
      </x:c>
      <x:c r="Q437" s="64" t="n">
        <x:f>IFERROR(Q436/Q432,0)</x:f>
        <x:v>550.9369998251204</x:v>
      </x:c>
      <x:c r="R437" s="64" t="n">
        <x:f>IFERROR(R436/R432,0)</x:f>
        <x:v>528.144537640092</x:v>
      </x:c>
      <x:c r="S437" s="64" t="n">
        <x:f>IFERROR(S436/S432,0)</x:f>
        <x:v>505.5562881828474</x:v>
      </x:c>
      <x:c r="T437" s="64" t="n">
        <x:f>IFERROR(T436/T432,0)</x:f>
        <x:v>575.3231287129595</x:v>
      </x:c>
      <x:c r="U437" s="64" t="n">
        <x:f>IFERROR(U436/U432,0)</x:f>
        <x:v>553.3705494389106</x:v>
      </x:c>
      <x:c r="V437" s="64" t="n">
        <x:f>IFERROR(V436/V432,0)</x:f>
        <x:v>531.4689722290592</x:v>
      </x:c>
      <x:c r="W437" s="64" t="n">
        <x:f>IFERROR(W436/W432,0)</x:f>
        <x:v>509.6826965798988</x:v>
      </x:c>
      <x:c r="X437" s="64" t="n">
        <x:f>IFERROR(X436/X432,0)</x:f>
        <x:v>488.0746700657381</x:v>
      </x:c>
      <x:c r="Y437" s="64" t="n">
        <x:f>IFERROR(Y436/Y432,0)</x:f>
        <x:v>466.70577132036897</x:v>
      </x:c>
      <x:c r="Z437" s="64" t="n">
        <x:f>IFERROR(Z436/Z432,0)</x:f>
        <x:v>561.1893404869104</x:v>
      </x:c>
      <x:c r="AA437" s="64" t="n">
        <x:f>IFERROR(AA436/AA432,0)</x:f>
        <x:v>543.0001643503775</x:v>
      </x:c>
      <x:c r="AB437" s="64" t="n">
        <x:f>IFERROR(AB436/AB432,0)</x:f>
        <x:v>524.9642080309238</x:v>
      </x:c>
      <x:c r="AC437" s="64" t="n">
        <x:f>IFERROR(AC436/AC432,0)</x:f>
        <x:v>507.1097353891948</x:v>
      </x:c>
      <x:c r="AD437" s="64" t="n">
        <x:f>IFERROR(AD436/AD432,0)</x:f>
        <x:v>489.4638356483215</x:v>
      </x:c>
      <x:c r="AE437" s="64" t="n">
        <x:f>IFERROR(AE436/AE432,0)</x:f>
        <x:v>472.0522703766119</x:v>
      </x:c>
      <x:c r="AF437" s="64" t="n">
        <x:f>IFERROR(AF436/AF432,0)</x:f>
        <x:v>510.72354751100994</x:v>
      </x:c>
      <x:c r="AG437" s="64" t="n">
        <x:f>IFERROR(AG436/AG432,0)</x:f>
        <x:v>493.28462055076653</x:v>
      </x:c>
      <x:c r="AH437" s="64" t="n">
        <x:f>IFERROR(AH436/AH432,0)</x:f>
        <x:v>476.05418983482895</x:v>
      </x:c>
      <x:c r="AI437" s="64" t="n">
        <x:f>IFERROR(AI436/AI432,0)</x:f>
        <x:v>459.05722972379</x:v>
      </x:c>
      <x:c r="AJ437" s="64" t="n">
        <x:f>IFERROR(AJ436/AJ432,0)</x:f>
        <x:v>442.31726196448653</x:v>
      </x:c>
      <x:c r="AK437" s="64" t="n">
        <x:f>IFERROR(AK436/AK432,0)</x:f>
        <x:v>425.8562446771645</x:v>
      </x:c>
    </x:row>
    <x:row r="438" ht="18" customHeight="1">
      <x:c r="A438" s="4" t="str">
        <x:v>Loaded paid-channel CAC (INR)</x:v>
      </x:c>
      <x:c r="B438" s="64" t="n">
        <x:f>IFERROR((B427+B434)/B431,0)</x:f>
        <x:v>937.5</x:v>
      </x:c>
      <x:c r="C438" s="64" t="n">
        <x:f>IFERROR((C427+C434)/C431,0)</x:f>
        <x:v>937.5</x:v>
      </x:c>
      <x:c r="D438" s="64" t="n">
        <x:f>IFERROR((D427+D434)/D431,0)</x:f>
        <x:v>937.5</x:v>
      </x:c>
      <x:c r="E438" s="64" t="n">
        <x:f>IFERROR((E427+E434)/E431,0)</x:f>
        <x:v>937.5</x:v>
      </x:c>
      <x:c r="F438" s="64" t="n">
        <x:f>IFERROR((F427+F434)/F431,0)</x:f>
        <x:v>937.5</x:v>
      </x:c>
      <x:c r="G438" s="64" t="n">
        <x:f>IFERROR((G427+G434)/G431,0)</x:f>
        <x:v>937.5</x:v>
      </x:c>
      <x:c r="H438" s="64" t="n">
        <x:f>IFERROR((H427+H434)/H431,0)</x:f>
        <x:v>937.4999999999999</x:v>
      </x:c>
      <x:c r="I438" s="64" t="n">
        <x:f>IFERROR((I427+I434)/I431,0)</x:f>
        <x:v>937.4999999999999</x:v>
      </x:c>
      <x:c r="J438" s="64" t="n">
        <x:f>IFERROR((J427+J434)/J431,0)</x:f>
        <x:v>937.4999999999999</x:v>
      </x:c>
      <x:c r="K438" s="64" t="n">
        <x:f>IFERROR((K427+K434)/K431,0)</x:f>
        <x:v>937.4999999999999</x:v>
      </x:c>
      <x:c r="L438" s="64" t="n">
        <x:f>IFERROR((L427+L434)/L431,0)</x:f>
        <x:v>937.4999999999999</x:v>
      </x:c>
      <x:c r="M438" s="64" t="n">
        <x:f>IFERROR((M427+M434)/M431,0)</x:f>
        <x:v>937.4999999999999</x:v>
      </x:c>
      <x:c r="N438" s="64" t="n">
        <x:f>IFERROR((N427+N434)/N431,0)</x:f>
        <x:v>1031.25</x:v>
      </x:c>
      <x:c r="O438" s="64" t="n">
        <x:f>IFERROR((O427+O434)/O431,0)</x:f>
        <x:v>1031.25</x:v>
      </x:c>
      <x:c r="P438" s="64" t="n">
        <x:f>IFERROR((P427+P434)/P431,0)</x:f>
        <x:v>1031.25</x:v>
      </x:c>
      <x:c r="Q438" s="64" t="n">
        <x:f>IFERROR((Q427+Q434)/Q431,0)</x:f>
        <x:v>1031.25</x:v>
      </x:c>
      <x:c r="R438" s="64" t="n">
        <x:f>IFERROR((R427+R434)/R431,0)</x:f>
        <x:v>1031.25</x:v>
      </x:c>
      <x:c r="S438" s="64" t="n">
        <x:f>IFERROR((S427+S434)/S431,0)</x:f>
        <x:v>1031.25</x:v>
      </x:c>
      <x:c r="T438" s="64" t="n">
        <x:f>IFERROR((T427+T434)/T431,0)</x:f>
        <x:v>1031.25</x:v>
      </x:c>
      <x:c r="U438" s="64" t="n">
        <x:f>IFERROR((U427+U434)/U431,0)</x:f>
        <x:v>1031.25</x:v>
      </x:c>
      <x:c r="V438" s="64" t="n">
        <x:f>IFERROR((V427+V434)/V431,0)</x:f>
        <x:v>1031.25</x:v>
      </x:c>
      <x:c r="W438" s="64" t="n">
        <x:f>IFERROR((W427+W434)/W431,0)</x:f>
        <x:v>1031.25</x:v>
      </x:c>
      <x:c r="X438" s="64" t="n">
        <x:f>IFERROR((X427+X434)/X431,0)</x:f>
        <x:v>1031.25</x:v>
      </x:c>
      <x:c r="Y438" s="64" t="n">
        <x:f>IFERROR((Y427+Y434)/Y431,0)</x:f>
        <x:v>1031.25</x:v>
      </x:c>
      <x:c r="Z438" s="64" t="n">
        <x:f>IFERROR((Z427+Z434)/Z431,0)</x:f>
        <x:v>1134.3750000000002</x:v>
      </x:c>
      <x:c r="AA438" s="64" t="n">
        <x:f>IFERROR((AA427+AA434)/AA431,0)</x:f>
        <x:v>1134.3750000000002</x:v>
      </x:c>
      <x:c r="AB438" s="64" t="n">
        <x:f>IFERROR((AB427+AB434)/AB431,0)</x:f>
        <x:v>1134.3750000000002</x:v>
      </x:c>
      <x:c r="AC438" s="64" t="n">
        <x:f>IFERROR((AC427+AC434)/AC431,0)</x:f>
        <x:v>1134.3750000000002</x:v>
      </x:c>
      <x:c r="AD438" s="64" t="n">
        <x:f>IFERROR((AD427+AD434)/AD431,0)</x:f>
        <x:v>1134.3750000000002</x:v>
      </x:c>
      <x:c r="AE438" s="64" t="n">
        <x:f>IFERROR((AE427+AE434)/AE431,0)</x:f>
        <x:v>1134.3750000000002</x:v>
      </x:c>
      <x:c r="AF438" s="64" t="n">
        <x:f>IFERROR((AF427+AF434)/AF431,0)</x:f>
        <x:v>1134.375</x:v>
      </x:c>
      <x:c r="AG438" s="64" t="n">
        <x:f>IFERROR((AG427+AG434)/AG431,0)</x:f>
        <x:v>1134.375</x:v>
      </x:c>
      <x:c r="AH438" s="64" t="n">
        <x:f>IFERROR((AH427+AH434)/AH431,0)</x:f>
        <x:v>1134.375</x:v>
      </x:c>
      <x:c r="AI438" s="64" t="n">
        <x:f>IFERROR((AI427+AI434)/AI431,0)</x:f>
        <x:v>1134.375</x:v>
      </x:c>
      <x:c r="AJ438" s="64" t="n">
        <x:f>IFERROR((AJ427+AJ434)/AJ431,0)</x:f>
        <x:v>1134.375</x:v>
      </x:c>
      <x:c r="AK438" s="64" t="n">
        <x:f>IFERROR((AK427+AK434)/AK431,0)</x:f>
        <x:v>1134.375</x:v>
      </x:c>
    </x:row>
    <x:row r="439" ht="18" customHeight="1">
      <x:c r="A439" s="4" t="str"/>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c r="AA439" s="58"/>
      <x:c r="AB439" s="58"/>
      <x:c r="AC439" s="58"/>
      <x:c r="AD439" s="58"/>
      <x:c r="AE439" s="58"/>
      <x:c r="AF439" s="58"/>
      <x:c r="AG439" s="58"/>
      <x:c r="AH439" s="58"/>
      <x:c r="AI439" s="58"/>
      <x:c r="AJ439" s="58"/>
      <x:c r="AK439" s="58"/>
    </x:row>
    <x:row r="440" ht="18" customHeight="1">
      <x:c r="A440" s="4" t="str">
        <x:v>New annual payers after refunds</x:v>
      </x:c>
      <x:c r="B440" s="58" t="n">
        <x:f>B432*'Scenario Inputs'!$C$27*(1-'Scenario Inputs'!$C$29)</x:f>
        <x:v>16.732499999999998</x:v>
      </x:c>
      <x:c r="C440" s="58" t="n">
        <x:f>C432*'Scenario Inputs'!$C$27*(1-'Scenario Inputs'!$C$29)</x:f>
        <x:v>18.042</x:v>
      </x:c>
      <x:c r="D440" s="58" t="n">
        <x:f>D432*'Scenario Inputs'!$C$27*(1-'Scenario Inputs'!$C$29)</x:f>
        <x:v>19.508639999999996</x:v>
      </x:c>
      <x:c r="E440" s="58" t="n">
        <x:f>E432*'Scenario Inputs'!$C$27*(1-'Scenario Inputs'!$C$29)</x:f>
        <x:v>26.971276800000002</x:v>
      </x:c>
      <x:c r="F440" s="58" t="n">
        <x:f>F432*'Scenario Inputs'!$C$27*(1-'Scenario Inputs'!$C$29)</x:f>
        <x:v>28.811030016</x:v>
      </x:c>
      <x:c r="G440" s="58" t="n">
        <x:f>G432*'Scenario Inputs'!$C$27*(1-'Scenario Inputs'!$C$29)</x:f>
        <x:v>30.871553617920004</x:v>
      </x:c>
      <x:c r="H440" s="58" t="n">
        <x:f>H432*'Scenario Inputs'!$C$27*(1-'Scenario Inputs'!$C$29)</x:f>
        <x:v>45.78934005207041</x:v>
      </x:c>
      <x:c r="I440" s="58" t="n">
        <x:f>I432*'Scenario Inputs'!$C$27*(1-'Scenario Inputs'!$C$29)</x:f>
        <x:v>48.374060858318856</x:v>
      </x:c>
      <x:c r="J440" s="58" t="n">
        <x:f>J432*'Scenario Inputs'!$C$27*(1-'Scenario Inputs'!$C$29)</x:f>
        <x:v>51.26894816131712</x:v>
      </x:c>
      <x:c r="K440" s="58" t="n">
        <x:f>K432*'Scenario Inputs'!$C$27*(1-'Scenario Inputs'!$C$29)</x:f>
        <x:v>54.511221940675185</x:v>
      </x:c>
      <x:c r="L440" s="58" t="n">
        <x:f>L432*'Scenario Inputs'!$C$27*(1-'Scenario Inputs'!$C$29)</x:f>
        <x:v>58.14256857355621</x:v>
      </x:c>
      <x:c r="M440" s="58" t="n">
        <x:f>M432*'Scenario Inputs'!$C$27*(1-'Scenario Inputs'!$C$29)</x:f>
        <x:v>62.20967680238296</x:v>
      </x:c>
      <x:c r="N440" s="58" t="n">
        <x:f>N432*'Scenario Inputs'!$C$27*(1-'Scenario Inputs'!$C$29)</x:f>
        <x:v>85.08736003748268</x:v>
      </x:c>
      <x:c r="O440" s="58" t="n">
        <x:f>O432*'Scenario Inputs'!$C$27*(1-'Scenario Inputs'!$C$29)</x:f>
        <x:v>88.36707611320857</x:v>
      </x:c>
      <x:c r="P440" s="58" t="n">
        <x:f>P432*'Scenario Inputs'!$C$27*(1-'Scenario Inputs'!$C$29)</x:f>
        <x:v>91.90916947499254</x:v>
      </x:c>
      <x:c r="Q440" s="58" t="n">
        <x:f>Q432*'Scenario Inputs'!$C$27*(1-'Scenario Inputs'!$C$29)</x:f>
        <x:v>95.73463030571921</x:v>
      </x:c>
      <x:c r="R440" s="58" t="n">
        <x:f>R432*'Scenario Inputs'!$C$27*(1-'Scenario Inputs'!$C$29)</x:f>
        <x:v>99.86612800290402</x:v>
      </x:c>
      <x:c r="S440" s="58" t="n">
        <x:f>S432*'Scenario Inputs'!$C$27*(1-'Scenario Inputs'!$C$29)</x:f>
        <x:v>104.32814551586364</x:v>
      </x:c>
      <x:c r="T440" s="58" t="n">
        <x:f>T432*'Scenario Inputs'!$C$27*(1-'Scenario Inputs'!$C$29)</x:f>
        <x:v>131.19257897531455</x:v>
      </x:c>
      <x:c r="U440" s="58" t="n">
        <x:f>U432*'Scenario Inputs'!$C$27*(1-'Scenario Inputs'!$C$29)</x:f>
        <x:v>136.3970762024306</x:v>
      </x:c>
      <x:c r="V440" s="58" t="n">
        <x:f>V432*'Scenario Inputs'!$C$27*(1-'Scenario Inputs'!$C$29)</x:f>
        <x:v>142.01793320771597</x:v>
      </x:c>
      <x:c r="W440" s="58" t="n">
        <x:f>W432*'Scenario Inputs'!$C$27*(1-'Scenario Inputs'!$C$29)</x:f>
        <x:v>148.08845877342418</x:v>
      </x:c>
      <x:c r="X440" s="58" t="n">
        <x:f>X432*'Scenario Inputs'!$C$27*(1-'Scenario Inputs'!$C$29)</x:f>
        <x:v>154.644626384389</x:v>
      </x:c>
      <x:c r="Y440" s="58" t="n">
        <x:f>Y432*'Scenario Inputs'!$C$27*(1-'Scenario Inputs'!$C$29)</x:f>
        <x:v>161.72528740423104</x:v>
      </x:c>
      <x:c r="Z440" s="58" t="n">
        <x:f>Z432*'Scenario Inputs'!$C$27*(1-'Scenario Inputs'!$C$29)</x:f>
        <x:v>181.48954845013782</x:v>
      </x:c>
      <x:c r="AA440" s="58" t="n">
        <x:f>AA432*'Scenario Inputs'!$C$27*(1-'Scenario Inputs'!$C$29)</x:f>
        <x:v>187.56900400177415</x:v>
      </x:c>
      <x:c r="AB440" s="58" t="n">
        <x:f>AB432*'Scenario Inputs'!$C$27*(1-'Scenario Inputs'!$C$29)</x:f>
        <x:v>194.01322688650873</x:v>
      </x:c>
      <x:c r="AC440" s="58" t="n">
        <x:f>AC432*'Scenario Inputs'!$C$27*(1-'Scenario Inputs'!$C$29)</x:f>
        <x:v>200.84410314432736</x:v>
      </x:c>
      <x:c r="AD440" s="58" t="n">
        <x:f>AD432*'Scenario Inputs'!$C$27*(1-'Scenario Inputs'!$C$29)</x:f>
        <x:v>208.08483197761512</x:v>
      </x:c>
      <x:c r="AE440" s="58" t="n">
        <x:f>AE432*'Scenario Inputs'!$C$27*(1-'Scenario Inputs'!$C$29)</x:f>
        <x:v>215.76000454090016</x:v>
      </x:c>
      <x:c r="AF440" s="58" t="n">
        <x:f>AF432*'Scenario Inputs'!$C$27*(1-'Scenario Inputs'!$C$29)</x:f>
        <x:v>243.93700977203184</x:v>
      </x:c>
      <x:c r="AG440" s="58" t="n">
        <x:f>AG432*'Scenario Inputs'!$C$27*(1-'Scenario Inputs'!$C$29)</x:f>
        <x:v>252.5608336641389</x:v>
      </x:c>
      <x:c r="AH440" s="58" t="n">
        <x:f>AH432*'Scenario Inputs'!$C$27*(1-'Scenario Inputs'!$C$29)</x:f>
        <x:v>261.70208698977234</x:v>
      </x:c>
      <x:c r="AI440" s="58" t="n">
        <x:f>AI432*'Scenario Inputs'!$C$27*(1-'Scenario Inputs'!$C$29)</x:f>
        <x:v>271.3918155149438</x:v>
      </x:c>
      <x:c r="AJ440" s="58" t="n">
        <x:f>AJ432*'Scenario Inputs'!$C$27*(1-'Scenario Inputs'!$C$29)</x:f>
        <x:v>281.66292775162555</x:v>
      </x:c>
      <x:c r="AK440" s="58" t="n">
        <x:f>AK432*'Scenario Inputs'!$C$27*(1-'Scenario Inputs'!$C$29)</x:f>
        <x:v>292.55030672250825</x:v>
      </x:c>
    </x:row>
    <x:row r="441" ht="18" customHeight="1">
      <x:c r="A441" s="4" t="str">
        <x:v>First annual renewals after refunds</x:v>
      </x:c>
      <x:c r="B441" s="58" t="n">
        <x:f>0*'Scenario Inputs'!$C$30*(1-'Scenario Inputs'!$C$29)</x:f>
        <x:v>0</x:v>
      </x:c>
      <x:c r="C441" s="58" t="n">
        <x:f>0*'Scenario Inputs'!$C$30*(1-'Scenario Inputs'!$C$29)</x:f>
        <x:v>0</x:v>
      </x:c>
      <x:c r="D441" s="58" t="n">
        <x:f>0*'Scenario Inputs'!$C$30*(1-'Scenario Inputs'!$C$29)</x:f>
        <x:v>0</x:v>
      </x:c>
      <x:c r="E441" s="58" t="n">
        <x:f>0*'Scenario Inputs'!$C$30*(1-'Scenario Inputs'!$C$29)</x:f>
        <x:v>0</x:v>
      </x:c>
      <x:c r="F441" s="58" t="n">
        <x:f>0*'Scenario Inputs'!$C$30*(1-'Scenario Inputs'!$C$29)</x:f>
        <x:v>0</x:v>
      </x:c>
      <x:c r="G441" s="58" t="n">
        <x:f>0*'Scenario Inputs'!$C$30*(1-'Scenario Inputs'!$C$29)</x:f>
        <x:v>0</x:v>
      </x:c>
      <x:c r="H441" s="58" t="n">
        <x:f>0*'Scenario Inputs'!$C$30*(1-'Scenario Inputs'!$C$29)</x:f>
        <x:v>0</x:v>
      </x:c>
      <x:c r="I441" s="58" t="n">
        <x:f>0*'Scenario Inputs'!$C$30*(1-'Scenario Inputs'!$C$29)</x:f>
        <x:v>0</x:v>
      </x:c>
      <x:c r="J441" s="58" t="n">
        <x:f>0*'Scenario Inputs'!$C$30*(1-'Scenario Inputs'!$C$29)</x:f>
        <x:v>0</x:v>
      </x:c>
      <x:c r="K441" s="58" t="n">
        <x:f>0*'Scenario Inputs'!$C$30*(1-'Scenario Inputs'!$C$29)</x:f>
        <x:v>0</x:v>
      </x:c>
      <x:c r="L441" s="58" t="n">
        <x:f>0*'Scenario Inputs'!$C$30*(1-'Scenario Inputs'!$C$29)</x:f>
        <x:v>0</x:v>
      </x:c>
      <x:c r="M441" s="58" t="n">
        <x:f>0*'Scenario Inputs'!$C$30*(1-'Scenario Inputs'!$C$29)</x:f>
        <x:v>0</x:v>
      </x:c>
      <x:c r="N441" s="58" t="n">
        <x:f>B440*'Scenario Inputs'!$C$30*(1-'Scenario Inputs'!$C$29)</x:f>
        <x:v>4.869157499999999</x:v>
      </x:c>
      <x:c r="O441" s="58" t="n">
        <x:f>C440*'Scenario Inputs'!$C$30*(1-'Scenario Inputs'!$C$29)</x:f>
        <x:v>5.250222</x:v>
      </x:c>
      <x:c r="P441" s="58" t="n">
        <x:f>D440*'Scenario Inputs'!$C$30*(1-'Scenario Inputs'!$C$29)</x:f>
        <x:v>5.677014239999998</x:v>
      </x:c>
      <x:c r="Q441" s="58" t="n">
        <x:f>E440*'Scenario Inputs'!$C$30*(1-'Scenario Inputs'!$C$29)</x:f>
        <x:v>7.8486415488</x:v>
      </x:c>
      <x:c r="R441" s="58" t="n">
        <x:f>F440*'Scenario Inputs'!$C$30*(1-'Scenario Inputs'!$C$29)</x:f>
        <x:v>8.384009734655999</x:v>
      </x:c>
      <x:c r="S441" s="58" t="n">
        <x:f>G440*'Scenario Inputs'!$C$30*(1-'Scenario Inputs'!$C$29)</x:f>
        <x:v>8.983622102814719</x:v>
      </x:c>
      <x:c r="T441" s="58" t="n">
        <x:f>H440*'Scenario Inputs'!$C$30*(1-'Scenario Inputs'!$C$29)</x:f>
        <x:v>13.324697955152487</x:v>
      </x:c>
      <x:c r="U441" s="58" t="n">
        <x:f>I440*'Scenario Inputs'!$C$30*(1-'Scenario Inputs'!$C$29)</x:f>
        <x:v>14.076851709770786</x:v>
      </x:c>
      <x:c r="V441" s="58" t="n">
        <x:f>J440*'Scenario Inputs'!$C$30*(1-'Scenario Inputs'!$C$29)</x:f>
        <x:v>14.919263914943281</x:v>
      </x:c>
      <x:c r="W441" s="58" t="n">
        <x:f>K440*'Scenario Inputs'!$C$30*(1-'Scenario Inputs'!$C$29)</x:f>
        <x:v>15.862765584736477</x:v>
      </x:c>
      <x:c r="X441" s="58" t="n">
        <x:f>L440*'Scenario Inputs'!$C$30*(1-'Scenario Inputs'!$C$29)</x:f>
        <x:v>16.919487454904857</x:v>
      </x:c>
      <x:c r="Y441" s="58" t="n">
        <x:f>M440*'Scenario Inputs'!$C$30*(1-'Scenario Inputs'!$C$29)</x:f>
        <x:v>18.10301594949344</x:v>
      </x:c>
      <x:c r="Z441" s="58" t="n">
        <x:f>N440*'Scenario Inputs'!$C$30*(1-'Scenario Inputs'!$C$29)</x:f>
        <x:v>24.76042177090746</x:v>
      </x:c>
      <x:c r="AA441" s="58" t="n">
        <x:f>O440*'Scenario Inputs'!$C$30*(1-'Scenario Inputs'!$C$29)</x:f>
        <x:v>25.71481914894369</x:v>
      </x:c>
      <x:c r="AB441" s="58" t="n">
        <x:f>P440*'Scenario Inputs'!$C$30*(1-'Scenario Inputs'!$C$29)</x:f>
        <x:v>26.745568317222826</x:v>
      </x:c>
      <x:c r="AC441" s="58" t="n">
        <x:f>Q440*'Scenario Inputs'!$C$30*(1-'Scenario Inputs'!$C$29)</x:f>
        <x:v>27.85877741896429</x:v>
      </x:c>
      <x:c r="AD441" s="58" t="n">
        <x:f>R440*'Scenario Inputs'!$C$30*(1-'Scenario Inputs'!$C$29)</x:f>
        <x:v>29.06104324884507</x:v>
      </x:c>
      <x:c r="AE441" s="58" t="n">
        <x:f>S440*'Scenario Inputs'!$C$30*(1-'Scenario Inputs'!$C$29)</x:f>
        <x:v>30.359490345116317</x:v>
      </x:c>
      <x:c r="AF441" s="58" t="n">
        <x:f>T440*'Scenario Inputs'!$C$30*(1-'Scenario Inputs'!$C$29)</x:f>
        <x:v>38.17704048181653</x:v>
      </x:c>
      <x:c r="AG441" s="58" t="n">
        <x:f>U440*'Scenario Inputs'!$C$30*(1-'Scenario Inputs'!$C$29)</x:f>
        <x:v>39.69154917490731</x:v>
      </x:c>
      <x:c r="AH441" s="58" t="n">
        <x:f>V440*'Scenario Inputs'!$C$30*(1-'Scenario Inputs'!$C$29)</x:f>
        <x:v>41.32721856344535</x:v>
      </x:c>
      <x:c r="AI441" s="58" t="n">
        <x:f>W440*'Scenario Inputs'!$C$30*(1-'Scenario Inputs'!$C$29)</x:f>
        <x:v>43.09374150306644</x:v>
      </x:c>
      <x:c r="AJ441" s="58" t="n">
        <x:f>X440*'Scenario Inputs'!$C$30*(1-'Scenario Inputs'!$C$29)</x:f>
        <x:v>45.0015862778572</x:v>
      </x:c>
      <x:c r="AK441" s="58" t="n">
        <x:f>Y440*'Scenario Inputs'!$C$30*(1-'Scenario Inputs'!$C$29)</x:f>
        <x:v>47.06205863463123</x:v>
      </x:c>
    </x:row>
    <x:row r="442" ht="18" customHeight="1">
      <x:c r="A442" s="4" t="str">
        <x:v>Second annual renewals after refunds</x:v>
      </x:c>
      <x:c r="B442" s="58" t="n">
        <x:f>0*'Scenario Inputs'!$C$31*(1-'Scenario Inputs'!$C$29)</x:f>
        <x:v>0</x:v>
      </x:c>
      <x:c r="C442" s="58" t="n">
        <x:f>0*'Scenario Inputs'!$C$31*(1-'Scenario Inputs'!$C$29)</x:f>
        <x:v>0</x:v>
      </x:c>
      <x:c r="D442" s="58" t="n">
        <x:f>0*'Scenario Inputs'!$C$31*(1-'Scenario Inputs'!$C$29)</x:f>
        <x:v>0</x:v>
      </x:c>
      <x:c r="E442" s="58" t="n">
        <x:f>0*'Scenario Inputs'!$C$31*(1-'Scenario Inputs'!$C$29)</x:f>
        <x:v>0</x:v>
      </x:c>
      <x:c r="F442" s="58" t="n">
        <x:f>0*'Scenario Inputs'!$C$31*(1-'Scenario Inputs'!$C$29)</x:f>
        <x:v>0</x:v>
      </x:c>
      <x:c r="G442" s="58" t="n">
        <x:f>0*'Scenario Inputs'!$C$31*(1-'Scenario Inputs'!$C$29)</x:f>
        <x:v>0</x:v>
      </x:c>
      <x:c r="H442" s="58" t="n">
        <x:f>0*'Scenario Inputs'!$C$31*(1-'Scenario Inputs'!$C$29)</x:f>
        <x:v>0</x:v>
      </x:c>
      <x:c r="I442" s="58" t="n">
        <x:f>0*'Scenario Inputs'!$C$31*(1-'Scenario Inputs'!$C$29)</x:f>
        <x:v>0</x:v>
      </x:c>
      <x:c r="J442" s="58" t="n">
        <x:f>0*'Scenario Inputs'!$C$31*(1-'Scenario Inputs'!$C$29)</x:f>
        <x:v>0</x:v>
      </x:c>
      <x:c r="K442" s="58" t="n">
        <x:f>0*'Scenario Inputs'!$C$31*(1-'Scenario Inputs'!$C$29)</x:f>
        <x:v>0</x:v>
      </x:c>
      <x:c r="L442" s="58" t="n">
        <x:f>0*'Scenario Inputs'!$C$31*(1-'Scenario Inputs'!$C$29)</x:f>
        <x:v>0</x:v>
      </x:c>
      <x:c r="M442" s="58" t="n">
        <x:f>0*'Scenario Inputs'!$C$31*(1-'Scenario Inputs'!$C$29)</x:f>
        <x:v>0</x:v>
      </x:c>
      <x:c r="N442" s="58" t="n">
        <x:f>B441*'Scenario Inputs'!$C$31*(1-'Scenario Inputs'!$C$29)</x:f>
        <x:v>0</x:v>
      </x:c>
      <x:c r="O442" s="58" t="n">
        <x:f>C441*'Scenario Inputs'!$C$31*(1-'Scenario Inputs'!$C$29)</x:f>
        <x:v>0</x:v>
      </x:c>
      <x:c r="P442" s="58" t="n">
        <x:f>D441*'Scenario Inputs'!$C$31*(1-'Scenario Inputs'!$C$29)</x:f>
        <x:v>0</x:v>
      </x:c>
      <x:c r="Q442" s="58" t="n">
        <x:f>E441*'Scenario Inputs'!$C$31*(1-'Scenario Inputs'!$C$29)</x:f>
        <x:v>0</x:v>
      </x:c>
      <x:c r="R442" s="58" t="n">
        <x:f>F441*'Scenario Inputs'!$C$31*(1-'Scenario Inputs'!$C$29)</x:f>
        <x:v>0</x:v>
      </x:c>
      <x:c r="S442" s="58" t="n">
        <x:f>G441*'Scenario Inputs'!$C$31*(1-'Scenario Inputs'!$C$29)</x:f>
        <x:v>0</x:v>
      </x:c>
      <x:c r="T442" s="58" t="n">
        <x:f>H441*'Scenario Inputs'!$C$31*(1-'Scenario Inputs'!$C$29)</x:f>
        <x:v>0</x:v>
      </x:c>
      <x:c r="U442" s="58" t="n">
        <x:f>I441*'Scenario Inputs'!$C$31*(1-'Scenario Inputs'!$C$29)</x:f>
        <x:v>0</x:v>
      </x:c>
      <x:c r="V442" s="58" t="n">
        <x:f>J441*'Scenario Inputs'!$C$31*(1-'Scenario Inputs'!$C$29)</x:f>
        <x:v>0</x:v>
      </x:c>
      <x:c r="W442" s="58" t="n">
        <x:f>K441*'Scenario Inputs'!$C$31*(1-'Scenario Inputs'!$C$29)</x:f>
        <x:v>0</x:v>
      </x:c>
      <x:c r="X442" s="58" t="n">
        <x:f>L441*'Scenario Inputs'!$C$31*(1-'Scenario Inputs'!$C$29)</x:f>
        <x:v>0</x:v>
      </x:c>
      <x:c r="Y442" s="58" t="n">
        <x:f>M441*'Scenario Inputs'!$C$31*(1-'Scenario Inputs'!$C$29)</x:f>
        <x:v>0</x:v>
      </x:c>
      <x:c r="Z442" s="58" t="n">
        <x:f>N441*'Scenario Inputs'!$C$31*(1-'Scenario Inputs'!$C$29)</x:f>
        <x:v>2.59769552625</x:v>
      </x:c>
      <x:c r="AA442" s="58" t="n">
        <x:f>O441*'Scenario Inputs'!$C$31*(1-'Scenario Inputs'!$C$29)</x:f>
        <x:v>2.8009934370000003</x:v>
      </x:c>
      <x:c r="AB442" s="58" t="n">
        <x:f>P441*'Scenario Inputs'!$C$31*(1-'Scenario Inputs'!$C$29)</x:f>
        <x:v>3.0286870970399993</x:v>
      </x:c>
      <x:c r="AC442" s="58" t="n">
        <x:f>Q441*'Scenario Inputs'!$C$31*(1-'Scenario Inputs'!$C$29)</x:f>
        <x:v>4.1872502662848</x:v>
      </x:c>
      <x:c r="AD442" s="58" t="n">
        <x:f>R441*'Scenario Inputs'!$C$31*(1-'Scenario Inputs'!$C$29)</x:f>
        <x:v>4.472869193438976</x:v>
      </x:c>
      <x:c r="AE442" s="58" t="n">
        <x:f>S441*'Scenario Inputs'!$C$31*(1-'Scenario Inputs'!$C$29)</x:f>
        <x:v>4.792762391851653</x:v>
      </x:c>
      <x:c r="AF442" s="58" t="n">
        <x:f>T441*'Scenario Inputs'!$C$31*(1-'Scenario Inputs'!$C$29)</x:f>
        <x:v>7.108726359073852</x:v>
      </x:c>
      <x:c r="AG442" s="58" t="n">
        <x:f>U441*'Scenario Inputs'!$C$31*(1-'Scenario Inputs'!$C$29)</x:f>
        <x:v>7.510000387162715</x:v>
      </x:c>
      <x:c r="AH442" s="58" t="n">
        <x:f>V441*'Scenario Inputs'!$C$31*(1-'Scenario Inputs'!$C$29)</x:f>
        <x:v>7.959427298622241</x:v>
      </x:c>
      <x:c r="AI442" s="58" t="n">
        <x:f>W441*'Scenario Inputs'!$C$31*(1-'Scenario Inputs'!$C$29)</x:f>
        <x:v>8.46278543945691</x:v>
      </x:c>
      <x:c r="AJ442" s="58" t="n">
        <x:f>X441*'Scenario Inputs'!$C$31*(1-'Scenario Inputs'!$C$29)</x:f>
        <x:v>9.026546557191743</x:v>
      </x:c>
      <x:c r="AK442" s="58" t="n">
        <x:f>Y441*'Scenario Inputs'!$C$31*(1-'Scenario Inputs'!$C$29)</x:f>
        <x:v>9.65795900905475</x:v>
      </x:c>
    </x:row>
    <x:row r="443" ht="18" customHeight="1">
      <x:c r="A443" s="4" t="str">
        <x:v>Annual terms ending this month</x:v>
      </x:c>
      <x:c r="B443" s="58" t="n">
        <x:f>0+0+0</x:f>
        <x:v>0</x:v>
      </x:c>
      <x:c r="C443" s="58" t="n">
        <x:f>0+0+0</x:f>
        <x:v>0</x:v>
      </x:c>
      <x:c r="D443" s="58" t="n">
        <x:f>0+0+0</x:f>
        <x:v>0</x:v>
      </x:c>
      <x:c r="E443" s="58" t="n">
        <x:f>0+0+0</x:f>
        <x:v>0</x:v>
      </x:c>
      <x:c r="F443" s="58" t="n">
        <x:f>0+0+0</x:f>
        <x:v>0</x:v>
      </x:c>
      <x:c r="G443" s="58" t="n">
        <x:f>0+0+0</x:f>
        <x:v>0</x:v>
      </x:c>
      <x:c r="H443" s="58" t="n">
        <x:f>0+0+0</x:f>
        <x:v>0</x:v>
      </x:c>
      <x:c r="I443" s="58" t="n">
        <x:f>0+0+0</x:f>
        <x:v>0</x:v>
      </x:c>
      <x:c r="J443" s="58" t="n">
        <x:f>0+0+0</x:f>
        <x:v>0</x:v>
      </x:c>
      <x:c r="K443" s="58" t="n">
        <x:f>0+0+0</x:f>
        <x:v>0</x:v>
      </x:c>
      <x:c r="L443" s="58" t="n">
        <x:f>0+0+0</x:f>
        <x:v>0</x:v>
      </x:c>
      <x:c r="M443" s="58" t="n">
        <x:f>0+0+0</x:f>
        <x:v>0</x:v>
      </x:c>
      <x:c r="N443" s="58" t="n">
        <x:f>B440+B441+B442</x:f>
        <x:v>16.732499999999998</x:v>
      </x:c>
      <x:c r="O443" s="58" t="n">
        <x:f>C440+C441+C442</x:f>
        <x:v>18.042</x:v>
      </x:c>
      <x:c r="P443" s="58" t="n">
        <x:f>D440+D441+D442</x:f>
        <x:v>19.508639999999996</x:v>
      </x:c>
      <x:c r="Q443" s="58" t="n">
        <x:f>E440+E441+E442</x:f>
        <x:v>26.971276800000002</x:v>
      </x:c>
      <x:c r="R443" s="58" t="n">
        <x:f>F440+F441+F442</x:f>
        <x:v>28.811030016</x:v>
      </x:c>
      <x:c r="S443" s="58" t="n">
        <x:f>G440+G441+G442</x:f>
        <x:v>30.871553617920004</x:v>
      </x:c>
      <x:c r="T443" s="58" t="n">
        <x:f>H440+H441+H442</x:f>
        <x:v>45.78934005207041</x:v>
      </x:c>
      <x:c r="U443" s="58" t="n">
        <x:f>I440+I441+I442</x:f>
        <x:v>48.374060858318856</x:v>
      </x:c>
      <x:c r="V443" s="58" t="n">
        <x:f>J440+J441+J442</x:f>
        <x:v>51.26894816131712</x:v>
      </x:c>
      <x:c r="W443" s="58" t="n">
        <x:f>K440+K441+K442</x:f>
        <x:v>54.511221940675185</x:v>
      </x:c>
      <x:c r="X443" s="58" t="n">
        <x:f>L440+L441+L442</x:f>
        <x:v>58.14256857355621</x:v>
      </x:c>
      <x:c r="Y443" s="58" t="n">
        <x:f>M440+M441+M442</x:f>
        <x:v>62.20967680238296</x:v>
      </x:c>
      <x:c r="Z443" s="58" t="n">
        <x:f>N440+N441+N442</x:f>
        <x:v>89.95651753748268</x:v>
      </x:c>
      <x:c r="AA443" s="58" t="n">
        <x:f>O440+O441+O442</x:f>
        <x:v>93.61729811320856</x:v>
      </x:c>
      <x:c r="AB443" s="58" t="n">
        <x:f>P440+P441+P442</x:f>
        <x:v>97.58618371499253</x:v>
      </x:c>
      <x:c r="AC443" s="58" t="n">
        <x:f>Q440+Q441+Q442</x:f>
        <x:v>103.58327185451921</x:v>
      </x:c>
      <x:c r="AD443" s="58" t="n">
        <x:f>R440+R441+R442</x:f>
        <x:v>108.25013773756002</x:v>
      </x:c>
      <x:c r="AE443" s="58" t="n">
        <x:f>S440+S441+S442</x:f>
        <x:v>113.31176761867836</x:v>
      </x:c>
      <x:c r="AF443" s="58" t="n">
        <x:f>T440+T441+T442</x:f>
        <x:v>144.51727693046703</x:v>
      </x:c>
      <x:c r="AG443" s="58" t="n">
        <x:f>U440+U441+U442</x:f>
        <x:v>150.4739279122014</x:v>
      </x:c>
      <x:c r="AH443" s="58" t="n">
        <x:f>V440+V441+V442</x:f>
        <x:v>156.93719712265926</x:v>
      </x:c>
      <x:c r="AI443" s="58" t="n">
        <x:f>W440+W441+W442</x:f>
        <x:v>163.95122435816066</x:v>
      </x:c>
      <x:c r="AJ443" s="58" t="n">
        <x:f>X440+X441+X442</x:f>
        <x:v>171.56411383929387</x:v>
      </x:c>
      <x:c r="AK443" s="58" t="n">
        <x:f>Y440+Y441+Y442</x:f>
        <x:v>179.8283033537245</x:v>
      </x:c>
    </x:row>
    <x:row r="444" ht="18" customHeight="1">
      <x:c r="A444" s="74" t="str">
        <x:v>ACTIVE ANNUAL SUBSCRIBERS</x:v>
      </x:c>
      <x:c r="B444" s="75" t="n">
        <x:f>0+SUM(B440:B442)-B443</x:f>
        <x:v>16.732499999999998</x:v>
      </x:c>
      <x:c r="C444" s="75" t="n">
        <x:f>B444+SUM(C440:C442)-C443</x:f>
        <x:v>34.7745</x:v>
      </x:c>
      <x:c r="D444" s="75" t="n">
        <x:f>C444+SUM(D440:D442)-D443</x:f>
        <x:v>54.28314</x:v>
      </x:c>
      <x:c r="E444" s="75" t="n">
        <x:f>D444+SUM(E440:E442)-E443</x:f>
        <x:v>81.2544168</x:v>
      </x:c>
      <x:c r="F444" s="75" t="n">
        <x:f>E444+SUM(F440:F442)-F443</x:f>
        <x:v>110.065446816</x:v>
      </x:c>
      <x:c r="G444" s="75" t="n">
        <x:f>F444+SUM(G440:G442)-G443</x:f>
        <x:v>140.93700043392002</x:v>
      </x:c>
      <x:c r="H444" s="75" t="n">
        <x:f>G444+SUM(H440:H442)-H443</x:f>
        <x:v>186.72634048599042</x:v>
      </x:c>
      <x:c r="I444" s="75" t="n">
        <x:f>H444+SUM(I440:I442)-I443</x:f>
        <x:v>235.10040134430926</x:v>
      </x:c>
      <x:c r="J444" s="75" t="n">
        <x:f>I444+SUM(J440:J442)-J443</x:f>
        <x:v>286.36934950562636</x:v>
      </x:c>
      <x:c r="K444" s="75" t="n">
        <x:f>J444+SUM(K440:K442)-K443</x:f>
        <x:v>340.88057144630153</x:v>
      </x:c>
      <x:c r="L444" s="75" t="n">
        <x:f>K444+SUM(L440:L442)-L443</x:f>
        <x:v>399.02314001985775</x:v>
      </x:c>
      <x:c r="M444" s="75" t="n">
        <x:f>L444+SUM(M440:M442)-M443</x:f>
        <x:v>461.2328168222407</x:v>
      </x:c>
      <x:c r="N444" s="75" t="n">
        <x:f>M444+SUM(N440:N442)-N443</x:f>
        <x:v>534.4568343597234</x:v>
      </x:c>
      <x:c r="O444" s="75" t="n">
        <x:f>N444+SUM(O440:O442)-O443</x:f>
        <x:v>610.032132472932</x:v>
      </x:c>
      <x:c r="P444" s="75" t="n">
        <x:f>O444+SUM(P440:P442)-P443</x:f>
        <x:v>688.1096761879245</x:v>
      </x:c>
      <x:c r="Q444" s="75" t="n">
        <x:f>P444+SUM(Q440:Q442)-Q443</x:f>
        <x:v>764.7216712424437</x:v>
      </x:c>
      <x:c r="R444" s="75" t="n">
        <x:f>Q444+SUM(R440:R442)-R443</x:f>
        <x:v>844.1607789640037</x:v>
      </x:c>
      <x:c r="S444" s="75" t="n">
        <x:f>R444+SUM(S440:S442)-S443</x:f>
        <x:v>926.6009929647621</x:v>
      </x:c>
      <x:c r="T444" s="75" t="n">
        <x:f>S444+SUM(T440:T442)-T443</x:f>
        <x:v>1025.3289298431587</x:v>
      </x:c>
      <x:c r="U444" s="75" t="n">
        <x:f>T444+SUM(U440:U442)-U443</x:f>
        <x:v>1127.4287968970411</x:v>
      </x:c>
      <x:c r="V444" s="75" t="n">
        <x:f>U444+SUM(V440:V442)-V443</x:f>
        <x:v>1233.0970458583831</x:v>
      </x:c>
      <x:c r="W444" s="75" t="n">
        <x:f>V444+SUM(W440:W442)-W443</x:f>
        <x:v>1342.5370482758688</x:v>
      </x:c>
      <x:c r="X444" s="75" t="n">
        <x:f>W444+SUM(X440:X442)-X443</x:f>
        <x:v>1455.9585935416064</x:v>
      </x:c>
      <x:c r="Y444" s="75" t="n">
        <x:f>X444+SUM(Y440:Y442)-Y443</x:f>
        <x:v>1573.577220092948</x:v>
      </x:c>
      <x:c r="Z444" s="75" t="n">
        <x:f>Y444+SUM(Z440:Z442)-Z443</x:f>
        <x:v>1692.4683683027606</x:v>
      </x:c>
      <x:c r="AA444" s="75" t="n">
        <x:f>Z444+SUM(AA440:AA442)-AA443</x:f>
        <x:v>1814.9358867772698</x:v>
      </x:c>
      <x:c r="AB444" s="75" t="n">
        <x:f>AA444+SUM(AB440:AB442)-AB443</x:f>
        <x:v>1941.1371853630487</x:v>
      </x:c>
      <x:c r="AC444" s="75" t="n">
        <x:f>AB444+SUM(AC440:AC442)-AC443</x:f>
        <x:v>2070.444044338106</x:v>
      </x:c>
      <x:c r="AD444" s="75" t="n">
        <x:f>AC444+SUM(AD440:AD442)-AD443</x:f>
        <x:v>2203.8126510204447</x:v>
      </x:c>
      <x:c r="AE444" s="75" t="n">
        <x:f>AD444+SUM(AE440:AE442)-AE443</x:f>
        <x:v>2341.4131406796346</x:v>
      </x:c>
      <x:c r="AF444" s="75" t="n">
        <x:f>AE444+SUM(AF440:AF442)-AF443</x:f>
        <x:v>2486.1186403620895</x:v>
      </x:c>
      <x:c r="AG444" s="75" t="n">
        <x:f>AF444+SUM(AG440:AG442)-AG443</x:f>
        <x:v>2635.407095676097</x:v>
      </x:c>
      <x:c r="AH444" s="75" t="n">
        <x:f>AG444+SUM(AH440:AH442)-AH443</x:f>
        <x:v>2789.4586314052776</x:v>
      </x:c>
      <x:c r="AI444" s="75" t="n">
        <x:f>AH444+SUM(AI440:AI442)-AI443</x:f>
        <x:v>2948.455749504584</x:v>
      </x:c>
      <x:c r="AJ444" s="75" t="n">
        <x:f>AI444+SUM(AJ440:AJ442)-AJ443</x:f>
        <x:v>3112.582696251965</x:v>
      </x:c>
      <x:c r="AK444" s="75" t="n">
        <x:f>AJ444+SUM(AK440:AK442)-AK443</x:f>
        <x:v>3282.024717264435</x:v>
      </x:c>
    </x:row>
    <x:row r="445" ht="18" customHeight="1">
      <x:c r="A445" s="4" t="str">
        <x:v>Annual charge events before refunds</x:v>
      </x:c>
      <x:c r="B445" s="58" t="n">
        <x:f>SUM(B440:B442)/(1-'Scenario Inputs'!$C$29)</x:f>
        <x:v>17.25</x:v>
      </x:c>
      <x:c r="C445" s="58" t="n">
        <x:f>SUM(C440:C442)/(1-'Scenario Inputs'!$C$29)</x:f>
        <x:v>18.6</x:v>
      </x:c>
      <x:c r="D445" s="58" t="n">
        <x:f>SUM(D440:D442)/(1-'Scenario Inputs'!$C$29)</x:f>
        <x:v>20.112</x:v>
      </x:c>
      <x:c r="E445" s="58" t="n">
        <x:f>SUM(E440:E442)/(1-'Scenario Inputs'!$C$29)</x:f>
        <x:v>27.805440000000004</x:v>
      </x:c>
      <x:c r="F445" s="58" t="n">
        <x:f>SUM(F440:F442)/(1-'Scenario Inputs'!$C$29)</x:f>
        <x:v>29.702092800000003</x:v>
      </x:c>
      <x:c r="G445" s="58" t="n">
        <x:f>SUM(G440:G442)/(1-'Scenario Inputs'!$C$29)</x:f>
        <x:v>31.826343936000004</x:v>
      </x:c>
      <x:c r="H445" s="58" t="n">
        <x:f>SUM(H440:H442)/(1-'Scenario Inputs'!$C$29)</x:f>
        <x:v>47.20550520832001</x:v>
      </x:c>
      <x:c r="I445" s="58" t="n">
        <x:f>SUM(I440:I442)/(1-'Scenario Inputs'!$C$29)</x:f>
        <x:v>49.87016583331841</x:v>
      </x:c>
      <x:c r="J445" s="58" t="n">
        <x:f>SUM(J440:J442)/(1-'Scenario Inputs'!$C$29)</x:f>
        <x:v>52.85458573331662</x:v>
      </x:c>
      <x:c r="K445" s="58" t="n">
        <x:f>SUM(K440:K442)/(1-'Scenario Inputs'!$C$29)</x:f>
        <x:v>56.19713602131463</x:v>
      </x:c>
      <x:c r="L445" s="58" t="n">
        <x:f>SUM(L440:L442)/(1-'Scenario Inputs'!$C$29)</x:f>
        <x:v>59.94079234387238</x:v>
      </x:c>
      <x:c r="M445" s="58" t="n">
        <x:f>SUM(M440:M442)/(1-'Scenario Inputs'!$C$29)</x:f>
        <x:v>64.13368742513707</x:v>
      </x:c>
      <x:c r="N445" s="58" t="n">
        <x:f>SUM(N440:N442)/(1-'Scenario Inputs'!$C$29)</x:f>
        <x:v>92.73867787369349</x:v>
      </x:c>
      <x:c r="O445" s="58" t="n">
        <x:f>SUM(O440:O442)/(1-'Scenario Inputs'!$C$29)</x:f>
        <x:v>96.51267846722533</x:v>
      </x:c>
      <x:c r="P445" s="58" t="n">
        <x:f>SUM(P440:P442)/(1-'Scenario Inputs'!$C$29)</x:f>
        <x:v>100.60431310823972</x:v>
      </x:c>
      <x:c r="Q445" s="58" t="n">
        <x:f>SUM(Q440:Q442)/(1-'Scenario Inputs'!$C$29)</x:f>
        <x:v>106.78687820053527</x:v>
      </x:c>
      <x:c r="R445" s="58" t="n">
        <x:f>SUM(R440:R442)/(1-'Scenario Inputs'!$C$29)</x:f>
        <x:v>111.59808014181446</x:v>
      </x:c>
      <x:c r="S445" s="58" t="n">
        <x:f>SUM(S440:S442)/(1-'Scenario Inputs'!$C$29)</x:f>
        <x:v>116.816255276988</x:v>
      </x:c>
      <x:c r="T445" s="58" t="n">
        <x:f>SUM(T440:T442)/(1-'Scenario Inputs'!$C$29)</x:f>
        <x:v>148.98688343347118</x:v>
      </x:c>
      <x:c r="U445" s="58" t="n">
        <x:f>SUM(U440:U442)/(1-'Scenario Inputs'!$C$29)</x:f>
        <x:v>155.12776073422825</x:v>
      </x:c>
      <x:c r="V445" s="58" t="n">
        <x:f>SUM(V440:V442)/(1-'Scenario Inputs'!$C$29)</x:f>
        <x:v>161.79092486872088</x:v>
      </x:c>
      <x:c r="W445" s="58" t="n">
        <x:f>SUM(W440:W442)/(1-'Scenario Inputs'!$C$29)</x:f>
        <x:v>169.02188078160893</x:v>
      </x:c>
      <x:c r="X445" s="58" t="n">
        <x:f>SUM(X440:X442)/(1-'Scenario Inputs'!$C$29)</x:f>
        <x:v>176.8702204528803</x:v>
      </x:c>
      <x:c r="Y445" s="58" t="n">
        <x:f>SUM(Y440:Y442)/(1-'Scenario Inputs'!$C$29)</x:f>
        <x:v>185.39000345744793</x:v>
      </x:c>
      <x:c r="Z445" s="58" t="n">
        <x:f>SUM(Z440:Z442)/(1-'Scenario Inputs'!$C$29)</x:f>
        <x:v>215.30687190442814</x:v>
      </x:c>
      <x:c r="AA445" s="58" t="n">
        <x:f>SUM(AA440:AA442)/(1-'Scenario Inputs'!$C$29)</x:f>
        <x:v>222.76785215228642</x:v>
      </x:c>
      <x:c r="AB445" s="58" t="n">
        <x:f>SUM(AB440:AB442)/(1-'Scenario Inputs'!$C$29)</x:f>
        <x:v>230.7087446399707</x:v>
      </x:c>
      <x:c r="AC445" s="58" t="n">
        <x:f>SUM(AC440:AC442)/(1-'Scenario Inputs'!$C$29)</x:f>
        <x:v>240.09291838100665</x:v>
      </x:c>
      <x:c r="AD445" s="58" t="n">
        <x:f>SUM(AD440:AD442)/(1-'Scenario Inputs'!$C$29)</x:f>
        <x:v>249.09148909267955</x:v>
      </x:c>
      <x:c r="AE445" s="58" t="n">
        <x:f>SUM(AE440:AE442)/(1-'Scenario Inputs'!$C$29)</x:f>
        <x:v>258.6724301833692</x:v>
      </x:c>
      <x:c r="AF445" s="58" t="n">
        <x:f>SUM(AF440:AF442)/(1-'Scenario Inputs'!$C$29)</x:f>
        <x:v>298.167810941157</x:v>
      </x:c>
      <x:c r="AG445" s="58" t="n">
        <x:f>SUM(AG440:AG442)/(1-'Scenario Inputs'!$C$29)</x:f>
        <x:v>309.0333847692876</x:v>
      </x:c>
      <x:c r="AH445" s="58" t="n">
        <x:f>SUM(AH440:AH442)/(1-'Scenario Inputs'!$C$29)</x:f>
        <x:v>320.60694108437104</x:v>
      </x:c>
      <x:c r="AI445" s="58" t="n">
        <x:f>SUM(AI440:AI442)/(1-'Scenario Inputs'!$C$29)</x:f>
        <x:v>332.93643552316206</x:v>
      </x:c>
      <x:c r="AJ445" s="58" t="n">
        <x:f>SUM(AJ440:AJ442)/(1-'Scenario Inputs'!$C$29)</x:f>
        <x:v>346.0732583367778</x:v>
      </x:c>
      <x:c r="AK445" s="58" t="n">
        <x:f>SUM(AK440:AK442)/(1-'Scenario Inputs'!$C$29)</x:f>
        <x:v>360.072499346592</x:v>
      </x:c>
    </x:row>
    <x:row r="446" ht="18" customHeight="1">
      <x:c r="A446" s="4" t="str"/>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c r="AA446" s="58"/>
      <x:c r="AB446" s="58"/>
      <x:c r="AC446" s="58"/>
      <x:c r="AD446" s="58"/>
      <x:c r="AE446" s="58"/>
      <x:c r="AF446" s="58"/>
      <x:c r="AG446" s="58"/>
      <x:c r="AH446" s="58"/>
      <x:c r="AI446" s="58"/>
      <x:c r="AJ446" s="58"/>
      <x:c r="AK446" s="58"/>
    </x:row>
    <x:row r="447" ht="18" customHeight="1">
      <x:c r="A447" s="4" t="str">
        <x:v>New monthly payers after refunds</x:v>
      </x:c>
      <x:c r="B447" s="58" t="n">
        <x:f>B432*(1-'Scenario Inputs'!$C$27)*(1-'Scenario Inputs'!$C$29)</x:f>
        <x:v>5.5775</x:v>
      </x:c>
      <x:c r="C447" s="58" t="n">
        <x:f>C432*(1-'Scenario Inputs'!$C$27)*(1-'Scenario Inputs'!$C$29)</x:f>
        <x:v>6.014</x:v>
      </x:c>
      <x:c r="D447" s="58" t="n">
        <x:f>D432*(1-'Scenario Inputs'!$C$27)*(1-'Scenario Inputs'!$C$29)</x:f>
        <x:v>6.502879999999999</x:v>
      </x:c>
      <x:c r="E447" s="58" t="n">
        <x:f>E432*(1-'Scenario Inputs'!$C$27)*(1-'Scenario Inputs'!$C$29)</x:f>
        <x:v>8.9904256</x:v>
      </x:c>
      <x:c r="F447" s="58" t="n">
        <x:f>F432*(1-'Scenario Inputs'!$C$27)*(1-'Scenario Inputs'!$C$29)</x:f>
        <x:v>9.603676672</x:v>
      </x:c>
      <x:c r="G447" s="58" t="n">
        <x:f>G432*(1-'Scenario Inputs'!$C$27)*(1-'Scenario Inputs'!$C$29)</x:f>
        <x:v>10.29051787264</x:v>
      </x:c>
      <x:c r="H447" s="58" t="n">
        <x:f>H432*(1-'Scenario Inputs'!$C$27)*(1-'Scenario Inputs'!$C$29)</x:f>
        <x:v>15.263113350690137</x:v>
      </x:c>
      <x:c r="I447" s="58" t="n">
        <x:f>I432*(1-'Scenario Inputs'!$C$27)*(1-'Scenario Inputs'!$C$29)</x:f>
        <x:v>16.12468695277295</x:v>
      </x:c>
      <x:c r="J447" s="58" t="n">
        <x:f>J432*(1-'Scenario Inputs'!$C$27)*(1-'Scenario Inputs'!$C$29)</x:f>
        <x:v>17.089649387105705</x:v>
      </x:c>
      <x:c r="K447" s="58" t="n">
        <x:f>K432*(1-'Scenario Inputs'!$C$27)*(1-'Scenario Inputs'!$C$29)</x:f>
        <x:v>18.170407313558396</x:v>
      </x:c>
      <x:c r="L447" s="58" t="n">
        <x:f>L432*(1-'Scenario Inputs'!$C$27)*(1-'Scenario Inputs'!$C$29)</x:f>
        <x:v>19.3808561911854</x:v>
      </x:c>
      <x:c r="M447" s="58" t="n">
        <x:f>M432*(1-'Scenario Inputs'!$C$27)*(1-'Scenario Inputs'!$C$29)</x:f>
        <x:v>20.73655893412765</x:v>
      </x:c>
      <x:c r="N447" s="58" t="n">
        <x:f>N432*(1-'Scenario Inputs'!$C$27)*(1-'Scenario Inputs'!$C$29)</x:f>
        <x:v>28.36245334582756</x:v>
      </x:c>
      <x:c r="O447" s="58" t="n">
        <x:f>O432*(1-'Scenario Inputs'!$C$27)*(1-'Scenario Inputs'!$C$29)</x:f>
        <x:v>29.455692037736192</x:v>
      </x:c>
      <x:c r="P447" s="58" t="n">
        <x:f>P432*(1-'Scenario Inputs'!$C$27)*(1-'Scenario Inputs'!$C$29)</x:f>
        <x:v>30.636389824997515</x:v>
      </x:c>
      <x:c r="Q447" s="58" t="n">
        <x:f>Q432*(1-'Scenario Inputs'!$C$27)*(1-'Scenario Inputs'!$C$29)</x:f>
        <x:v>31.911543435239736</x:v>
      </x:c>
      <x:c r="R447" s="58" t="n">
        <x:f>R432*(1-'Scenario Inputs'!$C$27)*(1-'Scenario Inputs'!$C$29)</x:f>
        <x:v>33.288709334301345</x:v>
      </x:c>
      <x:c r="S447" s="58" t="n">
        <x:f>S432*(1-'Scenario Inputs'!$C$27)*(1-'Scenario Inputs'!$C$29)</x:f>
        <x:v>34.776048505287875</x:v>
      </x:c>
      <x:c r="T447" s="58" t="n">
        <x:f>T432*(1-'Scenario Inputs'!$C$27)*(1-'Scenario Inputs'!$C$29)</x:f>
        <x:v>43.73085965843818</x:v>
      </x:c>
      <x:c r="U447" s="58" t="n">
        <x:f>U432*(1-'Scenario Inputs'!$C$27)*(1-'Scenario Inputs'!$C$29)</x:f>
        <x:v>45.46569206747687</x:v>
      </x:c>
      <x:c r="V447" s="58" t="n">
        <x:f>V432*(1-'Scenario Inputs'!$C$27)*(1-'Scenario Inputs'!$C$29)</x:f>
        <x:v>47.33931106923866</x:v>
      </x:c>
      <x:c r="W447" s="58" t="n">
        <x:f>W432*(1-'Scenario Inputs'!$C$27)*(1-'Scenario Inputs'!$C$29)</x:f>
        <x:v>49.36281959114139</x:v>
      </x:c>
      <x:c r="X447" s="58" t="n">
        <x:f>X432*(1-'Scenario Inputs'!$C$27)*(1-'Scenario Inputs'!$C$29)</x:f>
        <x:v>51.54820879479634</x:v>
      </x:c>
      <x:c r="Y447" s="58" t="n">
        <x:f>Y432*(1-'Scenario Inputs'!$C$27)*(1-'Scenario Inputs'!$C$29)</x:f>
        <x:v>53.90842913474368</x:v>
      </x:c>
      <x:c r="Z447" s="58" t="n">
        <x:f>Z432*(1-'Scenario Inputs'!$C$27)*(1-'Scenario Inputs'!$C$29)</x:f>
        <x:v>60.496516150045935</x:v>
      </x:c>
      <x:c r="AA447" s="58" t="n">
        <x:f>AA432*(1-'Scenario Inputs'!$C$27)*(1-'Scenario Inputs'!$C$29)</x:f>
        <x:v>62.523001333924725</x:v>
      </x:c>
      <x:c r="AB447" s="58" t="n">
        <x:f>AB432*(1-'Scenario Inputs'!$C$27)*(1-'Scenario Inputs'!$C$29)</x:f>
        <x:v>64.67107562883625</x:v>
      </x:c>
      <x:c r="AC447" s="58" t="n">
        <x:f>AC432*(1-'Scenario Inputs'!$C$27)*(1-'Scenario Inputs'!$C$29)</x:f>
        <x:v>66.94803438144245</x:v>
      </x:c>
      <x:c r="AD447" s="58" t="n">
        <x:f>AD432*(1-'Scenario Inputs'!$C$27)*(1-'Scenario Inputs'!$C$29)</x:f>
        <x:v>69.36161065920504</x:v>
      </x:c>
      <x:c r="AE447" s="58" t="n">
        <x:f>AE432*(1-'Scenario Inputs'!$C$27)*(1-'Scenario Inputs'!$C$29)</x:f>
        <x:v>71.92000151363338</x:v>
      </x:c>
      <x:c r="AF447" s="58" t="n">
        <x:f>AF432*(1-'Scenario Inputs'!$C$27)*(1-'Scenario Inputs'!$C$29)</x:f>
        <x:v>81.31233659067728</x:v>
      </x:c>
      <x:c r="AG447" s="58" t="n">
        <x:f>AG432*(1-'Scenario Inputs'!$C$27)*(1-'Scenario Inputs'!$C$29)</x:f>
        <x:v>84.18694455471295</x:v>
      </x:c>
      <x:c r="AH447" s="58" t="n">
        <x:f>AH432*(1-'Scenario Inputs'!$C$27)*(1-'Scenario Inputs'!$C$29)</x:f>
        <x:v>87.23402899659078</x:v>
      </x:c>
      <x:c r="AI447" s="58" t="n">
        <x:f>AI432*(1-'Scenario Inputs'!$C$27)*(1-'Scenario Inputs'!$C$29)</x:f>
        <x:v>90.46393850498127</x:v>
      </x:c>
      <x:c r="AJ447" s="58" t="n">
        <x:f>AJ432*(1-'Scenario Inputs'!$C$27)*(1-'Scenario Inputs'!$C$29)</x:f>
        <x:v>93.88764258387519</x:v>
      </x:c>
      <x:c r="AK447" s="58" t="n">
        <x:f>AK432*(1-'Scenario Inputs'!$C$27)*(1-'Scenario Inputs'!$C$29)</x:f>
        <x:v>97.51676890750275</x:v>
      </x:c>
    </x:row>
    <x:row r="448" ht="18" customHeight="1">
      <x:c r="A448" s="4" t="str">
        <x:v>First monthly renewals after refunds</x:v>
      </x:c>
      <x:c r="B448" s="58" t="n">
        <x:f>0*'Scenario Inputs'!$C$32*(1-'Scenario Inputs'!$C$29)</x:f>
        <x:v>0</x:v>
      </x:c>
      <x:c r="C448" s="58" t="n">
        <x:f>B447*'Scenario Inputs'!$C$32*(1-'Scenario Inputs'!$C$29)</x:f>
        <x:v>3.2461049999999996</x:v>
      </x:c>
      <x:c r="D448" s="58" t="n">
        <x:f>C447*'Scenario Inputs'!$C$32*(1-'Scenario Inputs'!$C$29)</x:f>
        <x:v>3.500148</x:v>
      </x:c>
      <x:c r="E448" s="58" t="n">
        <x:f>D447*'Scenario Inputs'!$C$32*(1-'Scenario Inputs'!$C$29)</x:f>
        <x:v>3.784676159999999</x:v>
      </x:c>
      <x:c r="F448" s="58" t="n">
        <x:f>E447*'Scenario Inputs'!$C$32*(1-'Scenario Inputs'!$C$29)</x:f>
        <x:v>5.2324276992</x:v>
      </x:c>
      <x:c r="G448" s="58" t="n">
        <x:f>F447*'Scenario Inputs'!$C$32*(1-'Scenario Inputs'!$C$29)</x:f>
        <x:v>5.589339823104</x:v>
      </x:c>
      <x:c r="H448" s="58" t="n">
        <x:f>G447*'Scenario Inputs'!$C$32*(1-'Scenario Inputs'!$C$29)</x:f>
        <x:v>5.98908140187648</x:v>
      </x:c>
      <x:c r="I448" s="58" t="n">
        <x:f>H447*'Scenario Inputs'!$C$32*(1-'Scenario Inputs'!$C$29)</x:f>
        <x:v>8.88313197010166</x:v>
      </x:c>
      <x:c r="J448" s="58" t="n">
        <x:f>I447*'Scenario Inputs'!$C$32*(1-'Scenario Inputs'!$C$29)</x:f>
        <x:v>9.384567806513857</x:v>
      </x:c>
      <x:c r="K448" s="58" t="n">
        <x:f>J447*'Scenario Inputs'!$C$32*(1-'Scenario Inputs'!$C$29)</x:f>
        <x:v>9.94617594329552</x:v>
      </x:c>
      <x:c r="L448" s="58" t="n">
        <x:f>K447*'Scenario Inputs'!$C$32*(1-'Scenario Inputs'!$C$29)</x:f>
        <x:v>10.575177056490984</x:v>
      </x:c>
      <x:c r="M448" s="58" t="n">
        <x:f>L447*'Scenario Inputs'!$C$32*(1-'Scenario Inputs'!$C$29)</x:f>
        <x:v>11.279658303269903</x:v>
      </x:c>
      <x:c r="N448" s="58" t="n">
        <x:f>M447*'Scenario Inputs'!$C$32*(1-'Scenario Inputs'!$C$29)</x:f>
        <x:v>12.068677299662292</x:v>
      </x:c>
      <x:c r="O448" s="58" t="n">
        <x:f>N447*'Scenario Inputs'!$C$32*(1-'Scenario Inputs'!$C$29)</x:f>
        <x:v>16.50694784727164</x:v>
      </x:c>
      <x:c r="P448" s="58" t="n">
        <x:f>O447*'Scenario Inputs'!$C$32*(1-'Scenario Inputs'!$C$29)</x:f>
        <x:v>17.143212765962463</x:v>
      </x:c>
      <x:c r="Q448" s="58" t="n">
        <x:f>P447*'Scenario Inputs'!$C$32*(1-'Scenario Inputs'!$C$29)</x:f>
        <x:v>17.83037887814855</x:v>
      </x:c>
      <x:c r="R448" s="58" t="n">
        <x:f>Q447*'Scenario Inputs'!$C$32*(1-'Scenario Inputs'!$C$29)</x:f>
        <x:v>18.572518279309524</x:v>
      </x:c>
      <x:c r="S448" s="58" t="n">
        <x:f>R447*'Scenario Inputs'!$C$32*(1-'Scenario Inputs'!$C$29)</x:f>
        <x:v>19.374028832563383</x:v>
      </x:c>
      <x:c r="T448" s="58" t="n">
        <x:f>S447*'Scenario Inputs'!$C$32*(1-'Scenario Inputs'!$C$29)</x:f>
        <x:v>20.239660230077543</x:v>
      </x:c>
      <x:c r="U448" s="58" t="n">
        <x:f>T447*'Scenario Inputs'!$C$32*(1-'Scenario Inputs'!$C$29)</x:f>
        <x:v>25.451360321211016</x:v>
      </x:c>
      <x:c r="V448" s="58" t="n">
        <x:f>U447*'Scenario Inputs'!$C$32*(1-'Scenario Inputs'!$C$29)</x:f>
        <x:v>26.461032783271538</x:v>
      </x:c>
      <x:c r="W448" s="58" t="n">
        <x:f>V447*'Scenario Inputs'!$C$32*(1-'Scenario Inputs'!$C$29)</x:f>
        <x:v>27.5514790422969</x:v>
      </x:c>
      <x:c r="X448" s="58" t="n">
        <x:f>W447*'Scenario Inputs'!$C$32*(1-'Scenario Inputs'!$C$29)</x:f>
        <x:v>28.729161002044286</x:v>
      </x:c>
      <x:c r="Y448" s="58" t="n">
        <x:f>X447*'Scenario Inputs'!$C$32*(1-'Scenario Inputs'!$C$29)</x:f>
        <x:v>30.001057518571468</x:v>
      </x:c>
      <x:c r="Z448" s="58" t="n">
        <x:f>Y447*'Scenario Inputs'!$C$32*(1-'Scenario Inputs'!$C$29)</x:f>
        <x:v>31.37470575642082</x:v>
      </x:c>
      <x:c r="AA448" s="58" t="n">
        <x:f>Z447*'Scenario Inputs'!$C$32*(1-'Scenario Inputs'!$C$29)</x:f>
        <x:v>35.20897239932673</x:v>
      </x:c>
      <x:c r="AB448" s="58" t="n">
        <x:f>AA447*'Scenario Inputs'!$C$32*(1-'Scenario Inputs'!$C$29)</x:f>
        <x:v>36.38838677634419</x:v>
      </x:c>
      <x:c r="AC448" s="58" t="n">
        <x:f>AB447*'Scenario Inputs'!$C$32*(1-'Scenario Inputs'!$C$29)</x:f>
        <x:v>37.6385660159827</x:v>
      </x:c>
      <x:c r="AD448" s="58" t="n">
        <x:f>AC447*'Scenario Inputs'!$C$32*(1-'Scenario Inputs'!$C$29)</x:f>
        <x:v>38.9637560099995</x:v>
      </x:c>
      <x:c r="AE448" s="58" t="n">
        <x:f>AD447*'Scenario Inputs'!$C$32*(1-'Scenario Inputs'!$C$29)</x:f>
        <x:v>40.36845740365733</x:v>
      </x:c>
      <x:c r="AF448" s="58" t="n">
        <x:f>AE447*'Scenario Inputs'!$C$32*(1-'Scenario Inputs'!$C$29)</x:f>
        <x:v>41.857440880934625</x:v>
      </x:c>
      <x:c r="AG448" s="58" t="n">
        <x:f>AF447*'Scenario Inputs'!$C$32*(1-'Scenario Inputs'!$C$29)</x:f>
        <x:v>47.32377989577417</x:v>
      </x:c>
      <x:c r="AH448" s="58" t="n">
        <x:f>AG447*'Scenario Inputs'!$C$32*(1-'Scenario Inputs'!$C$29)</x:f>
        <x:v>48.99680173084294</x:v>
      </x:c>
      <x:c r="AI448" s="58" t="n">
        <x:f>AH447*'Scenario Inputs'!$C$32*(1-'Scenario Inputs'!$C$29)</x:f>
        <x:v>50.77020487601583</x:v>
      </x:c>
      <x:c r="AJ448" s="58" t="n">
        <x:f>AI447*'Scenario Inputs'!$C$32*(1-'Scenario Inputs'!$C$29)</x:f>
        <x:v>52.650012209899096</x:v>
      </x:c>
      <x:c r="AK448" s="58" t="n">
        <x:f>AJ447*'Scenario Inputs'!$C$32*(1-'Scenario Inputs'!$C$29)</x:f>
        <x:v>54.64260798381536</x:v>
      </x:c>
    </x:row>
    <x:row r="449" ht="18" customHeight="1">
      <x:c r="A449" s="4" t="str">
        <x:v>Second monthly renewals after refunds</x:v>
      </x:c>
      <x:c r="B449" s="58" t="n">
        <x:f>0*'Scenario Inputs'!$C$33*(1-'Scenario Inputs'!$C$29)</x:f>
        <x:v>0</x:v>
      </x:c>
      <x:c r="C449" s="58" t="n">
        <x:f>B448*'Scenario Inputs'!$C$33*(1-'Scenario Inputs'!$C$29)</x:f>
        <x:v>0</x:v>
      </x:c>
      <x:c r="D449" s="58" t="n">
        <x:f>C448*'Scenario Inputs'!$C$33*(1-'Scenario Inputs'!$C$29)</x:f>
        <x:v>2.3615413874999995</x:v>
      </x:c>
      <x:c r="E449" s="58" t="n">
        <x:f>D448*'Scenario Inputs'!$C$33*(1-'Scenario Inputs'!$C$29)</x:f>
        <x:v>2.54635767</x:v>
      </x:c>
      <x:c r="F449" s="58" t="n">
        <x:f>E448*'Scenario Inputs'!$C$33*(1-'Scenario Inputs'!$C$29)</x:f>
        <x:v>2.753351906399999</x:v>
      </x:c>
      <x:c r="G449" s="58" t="n">
        <x:f>F448*'Scenario Inputs'!$C$33*(1-'Scenario Inputs'!$C$29)</x:f>
        <x:v>3.806591151168</x:v>
      </x:c>
      <x:c r="H449" s="58" t="n">
        <x:f>G448*'Scenario Inputs'!$C$33*(1-'Scenario Inputs'!$C$29)</x:f>
        <x:v>4.06624472130816</x:v>
      </x:c>
      <x:c r="I449" s="58" t="n">
        <x:f>H448*'Scenario Inputs'!$C$33*(1-'Scenario Inputs'!$C$29)</x:f>
        <x:v>4.357056719865139</x:v>
      </x:c>
      <x:c r="J449" s="58" t="n">
        <x:f>I448*'Scenario Inputs'!$C$33*(1-'Scenario Inputs'!$C$29)</x:f>
        <x:v>6.4624785082489575</x:v>
      </x:c>
      <x:c r="K449" s="58" t="n">
        <x:f>J448*'Scenario Inputs'!$C$33*(1-'Scenario Inputs'!$C$29)</x:f>
        <x:v>6.8272730792388305</x:v>
      </x:c>
      <x:c r="L449" s="58" t="n">
        <x:f>K448*'Scenario Inputs'!$C$33*(1-'Scenario Inputs'!$C$29)</x:f>
        <x:v>7.23584299874749</x:v>
      </x:c>
      <x:c r="M449" s="58" t="n">
        <x:f>L448*'Scenario Inputs'!$C$33*(1-'Scenario Inputs'!$C$29)</x:f>
        <x:v>7.69344130859719</x:v>
      </x:c>
      <x:c r="N449" s="58" t="n">
        <x:f>M448*'Scenario Inputs'!$C$33*(1-'Scenario Inputs'!$C$29)</x:f>
        <x:v>8.205951415628853</x:v>
      </x:c>
      <x:c r="O449" s="58" t="n">
        <x:f>N448*'Scenario Inputs'!$C$33*(1-'Scenario Inputs'!$C$29)</x:f>
        <x:v>8.779962735504318</x:v>
      </x:c>
      <x:c r="P449" s="58" t="n">
        <x:f>O448*'Scenario Inputs'!$C$33*(1-'Scenario Inputs'!$C$29)</x:f>
        <x:v>12.008804558890118</x:v>
      </x:c>
      <x:c r="Q449" s="58" t="n">
        <x:f>P448*'Scenario Inputs'!$C$33*(1-'Scenario Inputs'!$C$29)</x:f>
        <x:v>12.471687287237692</x:v>
      </x:c>
      <x:c r="R449" s="58" t="n">
        <x:f>Q448*'Scenario Inputs'!$C$33*(1-'Scenario Inputs'!$C$29)</x:f>
        <x:v>12.97160063385307</x:v>
      </x:c>
      <x:c r="S449" s="58" t="n">
        <x:f>R448*'Scenario Inputs'!$C$33*(1-'Scenario Inputs'!$C$29)</x:f>
        <x:v>13.511507048197679</x:v>
      </x:c>
      <x:c r="T449" s="58" t="n">
        <x:f>S448*'Scenario Inputs'!$C$33*(1-'Scenario Inputs'!$C$29)</x:f>
        <x:v>14.094605975689861</x:v>
      </x:c>
      <x:c r="U449" s="58" t="n">
        <x:f>T448*'Scenario Inputs'!$C$33*(1-'Scenario Inputs'!$C$29)</x:f>
        <x:v>14.724352817381412</x:v>
      </x:c>
      <x:c r="V449" s="58" t="n">
        <x:f>U448*'Scenario Inputs'!$C$33*(1-'Scenario Inputs'!$C$29)</x:f>
        <x:v>18.515864633681016</x:v>
      </x:c>
      <x:c r="W449" s="58" t="n">
        <x:f>V448*'Scenario Inputs'!$C$33*(1-'Scenario Inputs'!$C$29)</x:f>
        <x:v>19.250401349830042</x:v>
      </x:c>
      <x:c r="X449" s="58" t="n">
        <x:f>W448*'Scenario Inputs'!$C$33*(1-'Scenario Inputs'!$C$29)</x:f>
        <x:v>20.043701003270993</x:v>
      </x:c>
      <x:c r="Y449" s="58" t="n">
        <x:f>X448*'Scenario Inputs'!$C$33*(1-'Scenario Inputs'!$C$29)</x:f>
        <x:v>20.900464628987216</x:v>
      </x:c>
      <x:c r="Z449" s="58" t="n">
        <x:f>Y448*'Scenario Inputs'!$C$33*(1-'Scenario Inputs'!$C$29)</x:f>
        <x:v>21.82576934476074</x:v>
      </x:c>
      <x:c r="AA449" s="58" t="n">
        <x:f>Z448*'Scenario Inputs'!$C$33*(1-'Scenario Inputs'!$C$29)</x:f>
        <x:v>22.825098437796147</x:v>
      </x:c>
      <x:c r="AB449" s="58" t="n">
        <x:f>AA448*'Scenario Inputs'!$C$33*(1-'Scenario Inputs'!$C$29)</x:f>
        <x:v>25.614527420510196</x:v>
      </x:c>
      <x:c r="AC449" s="58" t="n">
        <x:f>AB448*'Scenario Inputs'!$C$33*(1-'Scenario Inputs'!$C$29)</x:f>
        <x:v>26.4725513797904</x:v>
      </x:c>
      <x:c r="AD449" s="58" t="n">
        <x:f>AC448*'Scenario Inputs'!$C$33*(1-'Scenario Inputs'!$C$29)</x:f>
        <x:v>27.38205677662741</x:v>
      </x:c>
      <x:c r="AE449" s="58" t="n">
        <x:f>AD448*'Scenario Inputs'!$C$33*(1-'Scenario Inputs'!$C$29)</x:f>
        <x:v>28.346132497274635</x:v>
      </x:c>
      <x:c r="AF449" s="58" t="n">
        <x:f>AE448*'Scenario Inputs'!$C$33*(1-'Scenario Inputs'!$C$29)</x:f>
        <x:v>29.36805276116071</x:v>
      </x:c>
      <x:c r="AG449" s="58" t="n">
        <x:f>AF448*'Scenario Inputs'!$C$33*(1-'Scenario Inputs'!$C$29)</x:f>
        <x:v>30.451288240879936</x:v>
      </x:c>
      <x:c r="AH449" s="58" t="n">
        <x:f>AG448*'Scenario Inputs'!$C$33*(1-'Scenario Inputs'!$C$29)</x:f>
        <x:v>34.428049874175706</x:v>
      </x:c>
      <x:c r="AI449" s="58" t="n">
        <x:f>AH448*'Scenario Inputs'!$C$33*(1-'Scenario Inputs'!$C$29)</x:f>
        <x:v>35.64517325918823</x:v>
      </x:c>
      <x:c r="AJ449" s="58" t="n">
        <x:f>AI448*'Scenario Inputs'!$C$33*(1-'Scenario Inputs'!$C$29)</x:f>
        <x:v>36.93532404730151</x:v>
      </x:c>
      <x:c r="AK449" s="58" t="n">
        <x:f>AJ448*'Scenario Inputs'!$C$33*(1-'Scenario Inputs'!$C$29)</x:f>
        <x:v>38.302883882701586</x:v>
      </x:c>
    </x:row>
    <x:row r="450" ht="18" customHeight="1">
      <x:c r="A450" s="4" t="str">
        <x:v>Later monthly renewals after refunds</x:v>
      </x:c>
      <x:c r="B450" s="58" t="n">
        <x:f>(0+0)*'Scenario Inputs'!$C$34*(1-'Scenario Inputs'!$C$29)</x:f>
        <x:v>0</x:v>
      </x:c>
      <x:c r="C450" s="58" t="n">
        <x:f>(B449+B450)*'Scenario Inputs'!$C$34*(1-'Scenario Inputs'!$C$29)</x:f>
        <x:v>0</x:v>
      </x:c>
      <x:c r="D450" s="58" t="n">
        <x:f>(C449+C450)*'Scenario Inputs'!$C$34*(1-'Scenario Inputs'!$C$29)</x:f>
        <x:v>0</x:v>
      </x:c>
      <x:c r="E450" s="58" t="n">
        <x:f>(D449+D450)*'Scenario Inputs'!$C$34*(1-'Scenario Inputs'!$C$29)</x:f>
        <x:v>2.0158117283699997</x:v>
      </x:c>
      <x:c r="F450" s="58" t="n">
        <x:f>(E449+E450)*'Scenario Inputs'!$C$34*(1-'Scenario Inputs'!$C$29)</x:f>
        <x:v>3.8942677984486314</x:v>
      </x:c>
      <x:c r="G450" s="58" t="n">
        <x:f>(F449+F450)*'Scenario Inputs'!$C$34*(1-'Scenario Inputs'!$C$29)</x:f>
        <x:v>5.67440818005879</x:v>
      </x:c>
      <x:c r="H450" s="58" t="n">
        <x:f>(G449+G450)*'Scenario Inputs'!$C$34*(1-'Scenario Inputs'!$C$29)</x:f>
        <x:v>8.092981029135188</x:v>
      </x:c>
      <x:c r="I450" s="58" t="n">
        <x:f>(H449+H450)*'Scenario Inputs'!$C$34*(1-'Scenario Inputs'!$C$29)</x:f>
        <x:v>10.379115100578442</x:v>
      </x:c>
      <x:c r="J450" s="58" t="n">
        <x:f>(I449+I450)*'Scenario Inputs'!$C$34*(1-'Scenario Inputs'!$C$29)</x:f>
        <x:v>12.57879626593064</x:v>
      </x:c>
      <x:c r="K450" s="58" t="n">
        <x:f>(J449+J450)*'Scenario Inputs'!$C$34*(1-'Scenario Inputs'!$C$29)</x:f>
        <x:v>16.253632147239706</x:v>
      </x:c>
      <x:c r="L450" s="58" t="n">
        <x:f>(K449+K450)*'Scenario Inputs'!$C$34*(1-'Scenario Inputs'!$C$29)</x:f>
        <x:v>19.70186070132208</x:v>
      </x:c>
      <x:c r="M450" s="58" t="n">
        <x:f>(L449+L450)*'Scenario Inputs'!$C$34*(1-'Scenario Inputs'!$C$29)</x:f>
        <x:v>22.994023878379384</x:v>
      </x:c>
      <x:c r="N450" s="58" t="n">
        <x:f>(M449+M450)*'Scenario Inputs'!$C$34*(1-'Scenario Inputs'!$C$29)</x:f>
        <x:v>26.194820283603203</x:v>
      </x:c>
      <x:c r="O450" s="58" t="n">
        <x:f>(N449+N450)*'Scenario Inputs'!$C$34*(1-'Scenario Inputs'!$C$29)</x:f>
        <x:v>29.36449872246448</x:v>
      </x:c>
      <x:c r="P450" s="58" t="n">
        <x:f>(O449+O450)*'Scenario Inputs'!$C$34*(1-'Scenario Inputs'!$C$29)</x:f>
        <x:v>32.560112300522164</x:v>
      </x:c>
      <x:c r="Q450" s="58" t="n">
        <x:f>(P449+P450)*'Scenario Inputs'!$C$34*(1-'Scenario Inputs'!$C$29)</x:f>
        <x:v>38.04402743119432</x:v>
      </x:c>
      <x:c r="R450" s="58" t="n">
        <x:f>(Q449+Q450)*'Scenario Inputs'!$C$34*(1-'Scenario Inputs'!$C$29)</x:f>
        <x:v>43.120214083653565</x:v>
      </x:c>
      <x:c r="S450" s="58" t="n">
        <x:f>(R449+R450)*'Scenario Inputs'!$C$34*(1-'Scenario Inputs'!$C$29)</x:f>
        <x:v>47.87997304286366</x:v>
      </x:c>
      <x:c r="T450" s="58" t="n">
        <x:f>(S449+S450)*'Scenario Inputs'!$C$34*(1-'Scenario Inputs'!$C$29)</x:f>
        <x:v>52.40376740572996</x:v>
      </x:c>
      <x:c r="U450" s="58" t="n">
        <x:f>(T449+T450)*'Scenario Inputs'!$C$34*(1-'Scenario Inputs'!$C$29)</x:f>
        <x:v>56.76301151837996</x:v>
      </x:c>
      <x:c r="V450" s="58" t="n">
        <x:f>(U449+U450)*'Scenario Inputs'!$C$34*(1-'Scenario Inputs'!$C$29)</x:f>
        <x:v>61.0216141970059</x:v>
      </x:c>
      <x:c r="W450" s="58" t="n">
        <x:f>(V449+V450)*'Scenario Inputs'!$C$34*(1-'Scenario Inputs'!$C$29)</x:f>
        <x:v>67.89319192987435</x:v>
      </x:c>
      <x:c r="X450" s="58" t="n">
        <x:f>(W449+W450)*'Scenario Inputs'!$C$34*(1-'Scenario Inputs'!$C$29)</x:f>
        <x:v>74.38577122355566</x:v>
      </x:c>
      <x:c r="Y450" s="58" t="n">
        <x:f>(X449+X450)*'Scenario Inputs'!$C$34*(1-'Scenario Inputs'!$C$29)</x:f>
        <x:v>80.60499749281924</x:v>
      </x:c>
      <x:c r="Z450" s="58" t="n">
        <x:f>(Y449+Y450)*'Scenario Inputs'!$C$34*(1-'Scenario Inputs'!$C$29)</x:f>
        <x:v>86.645062467174</x:v>
      </x:c>
      <x:c r="AA450" s="58" t="n">
        <x:f>(Z449+Z450)*'Scenario Inputs'!$C$34*(1-'Scenario Inputs'!$C$29)</x:f>
        <x:v>92.5907020346675</x:v>
      </x:c>
      <x:c r="AB450" s="58" t="n">
        <x:f>(AA449+AA450)*'Scenario Inputs'!$C$34*(1-'Scenario Inputs'!$C$29)</x:f>
        <x:v>98.51892728329496</x:v>
      </x:c>
      <x:c r="AC450" s="58" t="n">
        <x:f>(AB449+AB450)*'Scenario Inputs'!$C$34*(1-'Scenario Inputs'!$C$29)</x:f>
        <x:v>105.96031693516808</x:v>
      </x:c>
      <x:c r="AD450" s="58" t="n">
        <x:f>(AC449+AC450)*'Scenario Inputs'!$C$34*(1-'Scenario Inputs'!$C$29)</x:f>
        <x:v>113.04469639364856</x:v>
      </x:c>
      <x:c r="AE450" s="58" t="n">
        <x:f>(AD449+AD450)*'Scenario Inputs'!$C$34*(1-'Scenario Inputs'!$C$29)</x:f>
        <x:v>119.86827650614758</x:v>
      </x:c>
      <x:c r="AF450" s="58" t="n">
        <x:f>(AE449+AE450)*'Scenario Inputs'!$C$34*(1-'Scenario Inputs'!$C$29)</x:f>
        <x:v>126.51581952532119</x:v>
      </x:c>
      <x:c r="AG450" s="58" t="n">
        <x:f>(AF449+AF450)*'Scenario Inputs'!$C$34*(1-'Scenario Inputs'!$C$29)</x:f>
        <x:v>133.06247338374095</x:v>
      </x:c>
      <x:c r="AH450" s="58" t="n">
        <x:f>(AG449+AG450)*'Scenario Inputs'!$C$34*(1-'Scenario Inputs'!$C$29)</x:f>
        <x:v>139.5753469227764</x:v>
      </x:c>
      <x:c r="AI450" s="58" t="n">
        <x:f>(AH449+AH450)*'Scenario Inputs'!$C$34*(1-'Scenario Inputs'!$C$29)</x:f>
        <x:v>148.5292995058783</x:v>
      </x:c>
      <x:c r="AJ450" s="58" t="n">
        <x:f>(AI449+AI450)*'Scenario Inputs'!$C$34*(1-'Scenario Inputs'!$C$29)</x:f>
        <x:v>157.21132995226077</x:v>
      </x:c>
      <x:c r="AK450" s="58" t="n">
        <x:f>(AJ449+AJ450)*'Scenario Inputs'!$C$34*(1-'Scenario Inputs'!$C$29)</x:f>
        <x:v>165.72358385402637</x:v>
      </x:c>
    </x:row>
    <x:row r="451" ht="18" customHeight="1">
      <x:c r="A451" s="74" t="str">
        <x:v>ACTIVE MONTHLY SUBSCRIBERS</x:v>
      </x:c>
      <x:c r="B451" s="75" t="n">
        <x:f>SUM(B447:B450)</x:f>
        <x:v>5.5775</x:v>
      </x:c>
      <x:c r="C451" s="75" t="n">
        <x:f>SUM(C447:C450)</x:f>
        <x:v>9.260105</x:v>
      </x:c>
      <x:c r="D451" s="75" t="n">
        <x:f>SUM(D447:D450)</x:f>
        <x:v>12.364569387499998</x:v>
      </x:c>
      <x:c r="E451" s="75" t="n">
        <x:f>SUM(E447:E450)</x:f>
        <x:v>17.337271158369997</x:v>
      </x:c>
      <x:c r="F451" s="75" t="n">
        <x:f>SUM(F447:F450)</x:f>
        <x:v>21.48372407604863</x:v>
      </x:c>
      <x:c r="G451" s="75" t="n">
        <x:f>SUM(G447:G450)</x:f>
        <x:v>25.36085702697079</x:v>
      </x:c>
      <x:c r="H451" s="75" t="n">
        <x:f>SUM(H447:H450)</x:f>
        <x:v>33.411420503009964</x:v>
      </x:c>
      <x:c r="I451" s="75" t="n">
        <x:f>SUM(I447:I450)</x:f>
        <x:v>39.74399074331819</x:v>
      </x:c>
      <x:c r="J451" s="75" t="n">
        <x:f>SUM(J447:J450)</x:f>
        <x:v>45.515491967799164</x:v>
      </x:c>
      <x:c r="K451" s="75" t="n">
        <x:f>SUM(K447:K450)</x:f>
        <x:v>51.19748848333245</x:v>
      </x:c>
      <x:c r="L451" s="75" t="n">
        <x:f>SUM(L447:L450)</x:f>
        <x:v>56.89373694774595</x:v>
      </x:c>
      <x:c r="M451" s="75" t="n">
        <x:f>SUM(M447:M450)</x:f>
        <x:v>62.70368242437412</x:v>
      </x:c>
      <x:c r="N451" s="75" t="n">
        <x:f>SUM(N447:N450)</x:f>
        <x:v>74.83190234472191</x:v>
      </x:c>
      <x:c r="O451" s="75" t="n">
        <x:f>SUM(O447:O450)</x:f>
        <x:v>84.10710134297663</x:v>
      </x:c>
      <x:c r="P451" s="75" t="n">
        <x:f>SUM(P447:P450)</x:f>
        <x:v>92.34851945037227</x:v>
      </x:c>
      <x:c r="Q451" s="75" t="n">
        <x:f>SUM(Q447:Q450)</x:f>
        <x:v>100.25763703182031</x:v>
      </x:c>
      <x:c r="R451" s="75" t="n">
        <x:f>SUM(R447:R450)</x:f>
        <x:v>107.9530423311175</x:v>
      </x:c>
      <x:c r="S451" s="75" t="n">
        <x:f>SUM(S447:S450)</x:f>
        <x:v>115.5415574289126</x:v>
      </x:c>
      <x:c r="T451" s="75" t="n">
        <x:f>SUM(T447:T450)</x:f>
        <x:v>130.46889326993553</x:v>
      </x:c>
      <x:c r="U451" s="75" t="n">
        <x:f>SUM(U447:U450)</x:f>
        <x:v>142.40441672444928</x:v>
      </x:c>
      <x:c r="V451" s="75" t="n">
        <x:f>SUM(V447:V450)</x:f>
        <x:v>153.33782268319712</x:v>
      </x:c>
      <x:c r="W451" s="75" t="n">
        <x:f>SUM(W447:W450)</x:f>
        <x:v>164.05789191314267</x:v>
      </x:c>
      <x:c r="X451" s="75" t="n">
        <x:f>SUM(X447:X450)</x:f>
        <x:v>174.70684202366726</x:v>
      </x:c>
      <x:c r="Y451" s="75" t="n">
        <x:f>SUM(Y447:Y450)</x:f>
        <x:v>185.41494877512162</x:v>
      </x:c>
      <x:c r="Z451" s="75" t="n">
        <x:f>SUM(Z447:Z450)</x:f>
        <x:v>200.3420537184015</x:v>
      </x:c>
      <x:c r="AA451" s="75" t="n">
        <x:f>SUM(AA447:AA450)</x:f>
        <x:v>213.1477742057151</x:v>
      </x:c>
      <x:c r="AB451" s="75" t="n">
        <x:f>SUM(AB447:AB450)</x:f>
        <x:v>225.1929171089856</x:v>
      </x:c>
      <x:c r="AC451" s="75" t="n">
        <x:f>SUM(AC447:AC450)</x:f>
        <x:v>237.01946871238363</x:v>
      </x:c>
      <x:c r="AD451" s="75" t="n">
        <x:f>SUM(AD447:AD450)</x:f>
        <x:v>248.7521198394805</x:v>
      </x:c>
      <x:c r="AE451" s="75" t="n">
        <x:f>SUM(AE447:AE450)</x:f>
        <x:v>260.5028679207129</x:v>
      </x:c>
      <x:c r="AF451" s="75" t="n">
        <x:f>SUM(AF447:AF450)</x:f>
        <x:v>279.0536497580938</x:v>
      </x:c>
      <x:c r="AG451" s="75" t="n">
        <x:f>SUM(AG447:AG450)</x:f>
        <x:v>295.02448607510803</x:v>
      </x:c>
      <x:c r="AH451" s="75" t="n">
        <x:f>SUM(AH447:AH450)</x:f>
        <x:v>310.2342275243858</x:v>
      </x:c>
      <x:c r="AI451" s="75" t="n">
        <x:f>SUM(AI447:AI450)</x:f>
        <x:v>325.40861614606365</x:v>
      </x:c>
      <x:c r="AJ451" s="75" t="n">
        <x:f>SUM(AJ447:AJ450)</x:f>
        <x:v>340.6843087933366</x:v>
      </x:c>
      <x:c r="AK451" s="75" t="n">
        <x:f>SUM(AK447:AK450)</x:f>
        <x:v>356.1858446280461</x:v>
      </x:c>
    </x:row>
    <x:row r="452" ht="18" customHeight="1">
      <x:c r="A452" s="4" t="str">
        <x:v>Monthly charge events before refunds</x:v>
      </x:c>
      <x:c r="B452" s="58" t="n">
        <x:f>B451/(1-'Scenario Inputs'!$C$29)</x:f>
        <x:v>5.75</x:v>
      </x:c>
      <x:c r="C452" s="58" t="n">
        <x:f>C451/(1-'Scenario Inputs'!$C$29)</x:f>
        <x:v>9.5465</x:v>
      </x:c>
      <x:c r="D452" s="58" t="n">
        <x:f>D451/(1-'Scenario Inputs'!$C$29)</x:f>
        <x:v>12.746978749999998</x:v>
      </x:c>
      <x:c r="E452" s="58" t="n">
        <x:f>E451/(1-'Scenario Inputs'!$C$29)</x:f>
        <x:v>17.873475421</x:v>
      </x:c>
      <x:c r="F452" s="58" t="n">
        <x:f>F451/(1-'Scenario Inputs'!$C$29)</x:f>
        <x:v>22.1481691505656</x:v>
      </x:c>
      <x:c r="G452" s="58" t="n">
        <x:f>G451/(1-'Scenario Inputs'!$C$29)</x:f>
        <x:v>26.145213429866796</x:v>
      </x:c>
      <x:c r="H452" s="58" t="n">
        <x:f>H451/(1-'Scenario Inputs'!$C$29)</x:f>
        <x:v>34.44476340516491</x:v>
      </x:c>
      <x:c r="I452" s="58" t="n">
        <x:f>I451/(1-'Scenario Inputs'!$C$29)</x:f>
        <x:v>40.97318633331773</x:v>
      </x:c>
      <x:c r="J452" s="58" t="n">
        <x:f>J451/(1-'Scenario Inputs'!$C$29)</x:f>
        <x:v>46.92318759566924</x:v>
      </x:c>
      <x:c r="K452" s="58" t="n">
        <x:f>K451/(1-'Scenario Inputs'!$C$29)</x:f>
        <x:v>52.78091596219841</x:v>
      </x:c>
      <x:c r="L452" s="58" t="n">
        <x:f>L451/(1-'Scenario Inputs'!$C$29)</x:f>
        <x:v>58.65333705953191</x:v>
      </x:c>
      <x:c r="M452" s="58" t="n">
        <x:f>M451/(1-'Scenario Inputs'!$C$29)</x:f>
        <x:v>64.64297157151971</x:v>
      </x:c>
      <x:c r="N452" s="58" t="n">
        <x:f>N451/(1-'Scenario Inputs'!$C$29)</x:f>
        <x:v>77.1462910770329</x:v>
      </x:c>
      <x:c r="O452" s="58" t="n">
        <x:f>O451/(1-'Scenario Inputs'!$C$29)</x:f>
        <x:v>86.70835189997591</x:v>
      </x:c>
      <x:c r="P452" s="58" t="n">
        <x:f>P451/(1-'Scenario Inputs'!$C$29)</x:f>
        <x:v>95.2046592271879</x:v>
      </x:c>
      <x:c r="Q452" s="58" t="n">
        <x:f>Q451/(1-'Scenario Inputs'!$C$29)</x:f>
        <x:v>103.35838869259825</x:v>
      </x:c>
      <x:c r="R452" s="58" t="n">
        <x:f>R451/(1-'Scenario Inputs'!$C$29)</x:f>
        <x:v>111.2917962176469</x:v>
      </x:c>
      <x:c r="S452" s="58" t="n">
        <x:f>S451/(1-'Scenario Inputs'!$C$29)</x:f>
        <x:v>119.11500765867278</x:v>
      </x:c>
      <x:c r="T452" s="58" t="n">
        <x:f>T451/(1-'Scenario Inputs'!$C$29)</x:f>
        <x:v>134.5040136803459</x:v>
      </x:c>
      <x:c r="U452" s="58" t="n">
        <x:f>U451/(1-'Scenario Inputs'!$C$29)</x:f>
        <x:v>146.80867703551473</x:v>
      </x:c>
      <x:c r="V452" s="58" t="n">
        <x:f>V451/(1-'Scenario Inputs'!$C$29)</x:f>
        <x:v>158.0802295703063</x:v>
      </x:c>
      <x:c r="W452" s="58" t="n">
        <x:f>W451/(1-'Scenario Inputs'!$C$29)</x:f>
        <x:v>169.1318473331368</x:v>
      </x:c>
      <x:c r="X452" s="58" t="n">
        <x:f>X451/(1-'Scenario Inputs'!$C$29)</x:f>
        <x:v>180.11014641615182</x:v>
      </x:c>
      <x:c r="Y452" s="58" t="n">
        <x:f>Y451/(1-'Scenario Inputs'!$C$29)</x:f>
        <x:v>191.1494317269295</x:v>
      </x:c>
      <x:c r="Z452" s="58" t="n">
        <x:f>Z451/(1-'Scenario Inputs'!$C$29)</x:f>
        <x:v>206.53819970969226</x:v>
      </x:c>
      <x:c r="AA452" s="58" t="n">
        <x:f>AA451/(1-'Scenario Inputs'!$C$29)</x:f>
        <x:v>219.73997340795373</x:v>
      </x:c>
      <x:c r="AB452" s="58" t="n">
        <x:f>AB451/(1-'Scenario Inputs'!$C$29)</x:f>
        <x:v>232.15764650410887</x:v>
      </x:c>
      <x:c r="AC452" s="58" t="n">
        <x:f>AC451/(1-'Scenario Inputs'!$C$29)</x:f>
        <x:v>244.3499677447254</x:v>
      </x:c>
      <x:c r="AD452" s="58" t="n">
        <x:f>AD451/(1-'Scenario Inputs'!$C$29)</x:f>
        <x:v>256.4454843705985</x:v>
      </x:c>
      <x:c r="AE452" s="58" t="n">
        <x:f>AE451/(1-'Scenario Inputs'!$C$29)</x:f>
        <x:v>268.5596576502195</x:v>
      </x:c>
      <x:c r="AF452" s="58" t="n">
        <x:f>AF451/(1-'Scenario Inputs'!$C$29)</x:f>
        <x:v>287.68417500834414</x:v>
      </x:c>
      <x:c r="AG452" s="58" t="n">
        <x:f>AG451/(1-'Scenario Inputs'!$C$29)</x:f>
        <x:v>304.1489547166062</x:v>
      </x:c>
      <x:c r="AH452" s="58" t="n">
        <x:f>AH451/(1-'Scenario Inputs'!$C$29)</x:f>
        <x:v>319.8291005406039</x:v>
      </x:c>
      <x:c r="AI452" s="58" t="n">
        <x:f>AI451/(1-'Scenario Inputs'!$C$29)</x:f>
        <x:v>335.47280015058107</x:v>
      </x:c>
      <x:c r="AJ452" s="58" t="n">
        <x:f>AJ451/(1-'Scenario Inputs'!$C$29)</x:f>
        <x:v>351.220936900347</x:v>
      </x:c>
      <x:c r="AK452" s="58" t="n">
        <x:f>AK451/(1-'Scenario Inputs'!$C$29)</x:f>
        <x:v>367.20190167839803</x:v>
      </x:c>
    </x:row>
    <x:row r="453" ht="18" customHeight="1">
      <x:c r="A453" s="4" t="str"/>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c r="AA453" s="58"/>
      <x:c r="AB453" s="58"/>
      <x:c r="AC453" s="58"/>
      <x:c r="AD453" s="58"/>
      <x:c r="AE453" s="58"/>
      <x:c r="AF453" s="58"/>
      <x:c r="AG453" s="58"/>
      <x:c r="AH453" s="58"/>
      <x:c r="AI453" s="58"/>
      <x:c r="AJ453" s="58"/>
      <x:c r="AK453" s="58"/>
    </x:row>
    <x:row r="454" ht="18" customHeight="1">
      <x:c r="A454" s="74" t="str">
        <x:v>TOTAL ACTIVE PAID SUBSCRIBERS</x:v>
      </x:c>
      <x:c r="B454" s="75" t="n">
        <x:f>B444+B451</x:f>
        <x:v>22.31</x:v>
      </x:c>
      <x:c r="C454" s="75" t="n">
        <x:f>C444+C451</x:f>
        <x:v>44.034605</x:v>
      </x:c>
      <x:c r="D454" s="75" t="n">
        <x:f>D444+D451</x:f>
        <x:v>66.6477093875</x:v>
      </x:c>
      <x:c r="E454" s="75" t="n">
        <x:f>E444+E451</x:f>
        <x:v>98.59168795837</x:v>
      </x:c>
      <x:c r="F454" s="75" t="n">
        <x:f>F444+F451</x:f>
        <x:v>131.54917089204864</x:v>
      </x:c>
      <x:c r="G454" s="75" t="n">
        <x:f>G444+G451</x:f>
        <x:v>166.2978574608908</x:v>
      </x:c>
      <x:c r="H454" s="75" t="n">
        <x:f>H444+H451</x:f>
        <x:v>220.13776098900038</x:v>
      </x:c>
      <x:c r="I454" s="75" t="n">
        <x:f>I444+I451</x:f>
        <x:v>274.84439208762745</x:v>
      </x:c>
      <x:c r="J454" s="75" t="n">
        <x:f>J444+J451</x:f>
        <x:v>331.8848414734255</x:v>
      </x:c>
      <x:c r="K454" s="75" t="n">
        <x:f>K444+K451</x:f>
        <x:v>392.078059929634</x:v>
      </x:c>
      <x:c r="L454" s="75" t="n">
        <x:f>L444+L451</x:f>
        <x:v>455.9168769676037</x:v>
      </x:c>
      <x:c r="M454" s="75" t="n">
        <x:f>M444+M451</x:f>
        <x:v>523.9364992466149</x:v>
      </x:c>
      <x:c r="N454" s="75" t="n">
        <x:f>N444+N451</x:f>
        <x:v>609.2887367044453</x:v>
      </x:c>
      <x:c r="O454" s="75" t="n">
        <x:f>O444+O451</x:f>
        <x:v>694.1392338159086</x:v>
      </x:c>
      <x:c r="P454" s="75" t="n">
        <x:f>P444+P451</x:f>
        <x:v>780.4581956382967</x:v>
      </x:c>
      <x:c r="Q454" s="75" t="n">
        <x:f>Q444+Q451</x:f>
        <x:v>864.979308274264</x:v>
      </x:c>
      <x:c r="R454" s="75" t="n">
        <x:f>R444+R451</x:f>
        <x:v>952.1138212951212</x:v>
      </x:c>
      <x:c r="S454" s="75" t="n">
        <x:f>S444+S451</x:f>
        <x:v>1042.1425503936748</x:v>
      </x:c>
      <x:c r="T454" s="75" t="n">
        <x:f>T444+T451</x:f>
        <x:v>1155.7978231130942</x:v>
      </x:c>
      <x:c r="U454" s="75" t="n">
        <x:f>U444+U451</x:f>
        <x:v>1269.8332136214904</x:v>
      </x:c>
      <x:c r="V454" s="75" t="n">
        <x:f>V444+V451</x:f>
        <x:v>1386.4348685415803</x:v>
      </x:c>
      <x:c r="W454" s="75" t="n">
        <x:f>W444+W451</x:f>
        <x:v>1506.5949401890114</x:v>
      </x:c>
      <x:c r="X454" s="75" t="n">
        <x:f>X444+X451</x:f>
        <x:v>1630.6654355652736</x:v>
      </x:c>
      <x:c r="Y454" s="75" t="n">
        <x:f>Y444+Y451</x:f>
        <x:v>1758.9921688680697</x:v>
      </x:c>
      <x:c r="Z454" s="75" t="n">
        <x:f>Z444+Z451</x:f>
        <x:v>1892.8104220211621</x:v>
      </x:c>
      <x:c r="AA454" s="75" t="n">
        <x:f>AA444+AA451</x:f>
        <x:v>2028.0836609829848</x:v>
      </x:c>
      <x:c r="AB454" s="75" t="n">
        <x:f>AB444+AB451</x:f>
        <x:v>2166.3301024720345</x:v>
      </x:c>
      <x:c r="AC454" s="75" t="n">
        <x:f>AC444+AC451</x:f>
        <x:v>2307.4635130504894</x:v>
      </x:c>
      <x:c r="AD454" s="75" t="n">
        <x:f>AD444+AD451</x:f>
        <x:v>2452.5647708599254</x:v>
      </x:c>
      <x:c r="AE454" s="75" t="n">
        <x:f>AE444+AE451</x:f>
        <x:v>2601.9160086003476</x:v>
      </x:c>
      <x:c r="AF454" s="75" t="n">
        <x:f>AF444+AF451</x:f>
        <x:v>2765.1722901201833</x:v>
      </x:c>
      <x:c r="AG454" s="75" t="n">
        <x:f>AG444+AG451</x:f>
        <x:v>2930.431581751205</x:v>
      </x:c>
      <x:c r="AH454" s="75" t="n">
        <x:f>AH444+AH451</x:f>
        <x:v>3099.6928589296635</x:v>
      </x:c>
      <x:c r="AI454" s="75" t="n">
        <x:f>AI444+AI451</x:f>
        <x:v>3273.864365650648</x:v>
      </x:c>
      <x:c r="AJ454" s="75" t="n">
        <x:f>AJ444+AJ451</x:f>
        <x:v>3453.2670050453016</x:v>
      </x:c>
      <x:c r="AK454" s="75" t="n">
        <x:f>AK444+AK451</x:f>
        <x:v>3638.210561892481</x:v>
      </x:c>
    </x:row>
    <x:row r="455" ht="18" customHeight="1">
      <x:c r="A455" s="4" t="str">
        <x:v>Estimated active free users</x:v>
      </x:c>
      <x:c r="B455" s="58" t="n">
        <x:f>MAX('Commercial Inputs'!$B$27,B454*'Stress Inputs'!$C$9)</x:f>
        <x:v>2231</x:v>
      </x:c>
      <x:c r="C455" s="58" t="n">
        <x:f>MAX('Commercial Inputs'!$B$27,C454*'Stress Inputs'!$C$9)</x:f>
        <x:v>4403.4605</x:v>
      </x:c>
      <x:c r="D455" s="58" t="n">
        <x:f>MAX('Commercial Inputs'!$B$27,D454*'Stress Inputs'!$C$9)</x:f>
        <x:v>6664.77093875</x:v>
      </x:c>
      <x:c r="E455" s="58" t="n">
        <x:f>MAX('Commercial Inputs'!$B$27,E454*'Stress Inputs'!$C$9)</x:f>
        <x:v>9859.168795837</x:v>
      </x:c>
      <x:c r="F455" s="58" t="n">
        <x:f>MAX('Commercial Inputs'!$B$27,F454*'Stress Inputs'!$C$9)</x:f>
        <x:v>13154.917089204864</x:v>
      </x:c>
      <x:c r="G455" s="58" t="n">
        <x:f>MAX('Commercial Inputs'!$B$27,G454*'Stress Inputs'!$C$9)</x:f>
        <x:v>16629.78574608908</x:v>
      </x:c>
      <x:c r="H455" s="58" t="n">
        <x:f>MAX('Commercial Inputs'!$B$27,H454*'Stress Inputs'!$C$9)</x:f>
        <x:v>22013.776098900038</x:v>
      </x:c>
      <x:c r="I455" s="58" t="n">
        <x:f>MAX('Commercial Inputs'!$B$27,I454*'Stress Inputs'!$C$9)</x:f>
        <x:v>27484.439208762746</x:v>
      </x:c>
      <x:c r="J455" s="58" t="n">
        <x:f>MAX('Commercial Inputs'!$B$27,J454*'Stress Inputs'!$C$9)</x:f>
        <x:v>33188.484147342555</x:v>
      </x:c>
      <x:c r="K455" s="58" t="n">
        <x:f>MAX('Commercial Inputs'!$B$27,K454*'Stress Inputs'!$C$9)</x:f>
        <x:v>39207.8059929634</x:v>
      </x:c>
      <x:c r="L455" s="58" t="n">
        <x:f>MAX('Commercial Inputs'!$B$27,L454*'Stress Inputs'!$C$9)</x:f>
        <x:v>45591.68769676037</x:v>
      </x:c>
      <x:c r="M455" s="58" t="n">
        <x:f>MAX('Commercial Inputs'!$B$27,M454*'Stress Inputs'!$C$9)</x:f>
        <x:v>52393.649924661484</x:v>
      </x:c>
      <x:c r="N455" s="58" t="n">
        <x:f>MAX('Commercial Inputs'!$B$27,N454*'Stress Inputs'!$C$9)</x:f>
        <x:v>60928.87367044453</x:v>
      </x:c>
      <x:c r="O455" s="58" t="n">
        <x:f>MAX('Commercial Inputs'!$B$27,O454*'Stress Inputs'!$C$9)</x:f>
        <x:v>69413.92338159087</x:v>
      </x:c>
      <x:c r="P455" s="58" t="n">
        <x:f>MAX('Commercial Inputs'!$B$27,P454*'Stress Inputs'!$C$9)</x:f>
        <x:v>78045.81956382967</x:v>
      </x:c>
      <x:c r="Q455" s="58" t="n">
        <x:f>MAX('Commercial Inputs'!$B$27,Q454*'Stress Inputs'!$C$9)</x:f>
        <x:v>86497.9308274264</x:v>
      </x:c>
      <x:c r="R455" s="58" t="n">
        <x:f>MAX('Commercial Inputs'!$B$27,R454*'Stress Inputs'!$C$9)</x:f>
        <x:v>95211.38212951212</x:v>
      </x:c>
      <x:c r="S455" s="58" t="n">
        <x:f>MAX('Commercial Inputs'!$B$27,S454*'Stress Inputs'!$C$9)</x:f>
        <x:v>104214.25503936748</x:v>
      </x:c>
      <x:c r="T455" s="58" t="n">
        <x:f>MAX('Commercial Inputs'!$B$27,T454*'Stress Inputs'!$C$9)</x:f>
        <x:v>115579.78231130942</x:v>
      </x:c>
      <x:c r="U455" s="58" t="n">
        <x:f>MAX('Commercial Inputs'!$B$27,U454*'Stress Inputs'!$C$9)</x:f>
        <x:v>126983.32136214903</x:v>
      </x:c>
      <x:c r="V455" s="58" t="n">
        <x:f>MAX('Commercial Inputs'!$B$27,V454*'Stress Inputs'!$C$9)</x:f>
        <x:v>138643.48685415802</x:v>
      </x:c>
      <x:c r="W455" s="58" t="n">
        <x:f>MAX('Commercial Inputs'!$B$27,W454*'Stress Inputs'!$C$9)</x:f>
        <x:v>150659.49401890114</x:v>
      </x:c>
      <x:c r="X455" s="58" t="n">
        <x:f>MAX('Commercial Inputs'!$B$27,X454*'Stress Inputs'!$C$9)</x:f>
        <x:v>163066.54355652735</x:v>
      </x:c>
      <x:c r="Y455" s="58" t="n">
        <x:f>MAX('Commercial Inputs'!$B$27,Y454*'Stress Inputs'!$C$9)</x:f>
        <x:v>175899.21688680697</x:v>
      </x:c>
      <x:c r="Z455" s="58" t="n">
        <x:f>MAX('Commercial Inputs'!$B$27,Z454*'Stress Inputs'!$C$9)</x:f>
        <x:v>189281.04220211622</x:v>
      </x:c>
      <x:c r="AA455" s="58" t="n">
        <x:f>MAX('Commercial Inputs'!$B$27,AA454*'Stress Inputs'!$C$9)</x:f>
        <x:v>202808.3660982985</x:v>
      </x:c>
      <x:c r="AB455" s="58" t="n">
        <x:f>MAX('Commercial Inputs'!$B$27,AB454*'Stress Inputs'!$C$9)</x:f>
        <x:v>216633.01024720343</x:v>
      </x:c>
      <x:c r="AC455" s="58" t="n">
        <x:f>MAX('Commercial Inputs'!$B$27,AC454*'Stress Inputs'!$C$9)</x:f>
        <x:v>230746.35130504894</x:v>
      </x:c>
      <x:c r="AD455" s="58" t="n">
        <x:f>MAX('Commercial Inputs'!$B$27,AD454*'Stress Inputs'!$C$9)</x:f>
        <x:v>245256.47708599255</x:v>
      </x:c>
      <x:c r="AE455" s="58" t="n">
        <x:f>MAX('Commercial Inputs'!$B$27,AE454*'Stress Inputs'!$C$9)</x:f>
        <x:v>260191.60086003476</x:v>
      </x:c>
      <x:c r="AF455" s="58" t="n">
        <x:f>MAX('Commercial Inputs'!$B$27,AF454*'Stress Inputs'!$C$9)</x:f>
        <x:v>276517.22901201836</x:v>
      </x:c>
      <x:c r="AG455" s="58" t="n">
        <x:f>MAX('Commercial Inputs'!$B$27,AG454*'Stress Inputs'!$C$9)</x:f>
        <x:v>293043.15817512054</x:v>
      </x:c>
      <x:c r="AH455" s="58" t="n">
        <x:f>MAX('Commercial Inputs'!$B$27,AH454*'Stress Inputs'!$C$9)</x:f>
        <x:v>309969.2858929664</x:v>
      </x:c>
      <x:c r="AI455" s="58" t="n">
        <x:f>MAX('Commercial Inputs'!$B$27,AI454*'Stress Inputs'!$C$9)</x:f>
        <x:v>327386.43656506477</x:v>
      </x:c>
      <x:c r="AJ455" s="58" t="n">
        <x:f>MAX('Commercial Inputs'!$B$27,AJ454*'Stress Inputs'!$C$9)</x:f>
        <x:v>345326.70050453016</x:v>
      </x:c>
      <x:c r="AK455" s="58" t="n">
        <x:f>MAX('Commercial Inputs'!$B$27,AK454*'Stress Inputs'!$C$9)</x:f>
        <x:v>363821.0561892481</x:v>
      </x:c>
    </x:row>
    <x:row r="456" ht="18" customHeight="1">
      <x:c r="A456" s="4" t="str">
        <x:v>Earned annual-plan revenue (INR)</x:v>
      </x:c>
      <x:c r="B456" s="58" t="n">
        <x:f>B444*$B$504/'Commercial Inputs'!$B$46</x:f>
        <x:v>3955.9633510593217</x:v>
      </x:c>
      <x:c r="C456" s="58" t="n">
        <x:f>C444*$B$504/'Commercial Inputs'!$B$46</x:f>
        <x:v>8221.52383394068</x:v>
      </x:c>
      <x:c r="D456" s="58" t="n">
        <x:f>D444*$B$504/'Commercial Inputs'!$B$46</x:f>
        <x:v>12833.833104462714</x:v>
      </x:c>
      <x:c r="E456" s="58" t="n">
        <x:f>E444*$B$504/'Commercial Inputs'!$B$46</x:f>
        <x:v>19210.48826968468</x:v>
      </x:c>
      <x:c r="F456" s="58" t="n">
        <x:f>F444*$B$504/'Commercial Inputs'!$B$46</x:f>
        <x:v>26022.105114123115</x:v>
      </x:c>
      <x:c r="G456" s="58" t="n">
        <x:f>G444*$B$504/'Commercial Inputs'!$B$46</x:f>
        <x:v>33320.879039283995</x:v>
      </x:c>
      <x:c r="H456" s="58" t="n">
        <x:f>H444*$B$504/'Commercial Inputs'!$B$46</x:f>
        <x:v>44146.57460869581</x:v>
      </x:c>
      <x:c r="I456" s="58" t="n">
        <x:f>I444*$B$504/'Commercial Inputs'!$B$46</x:f>
        <x:v>55583.36002016586</x:v>
      </x:c>
      <x:c r="J456" s="58" t="n">
        <x:f>J444*$B$504/'Commercial Inputs'!$B$46</x:f>
        <x:v>67704.56605474114</x:v>
      </x:c>
      <x:c r="K456" s="58" t="n">
        <x:f>K444*$B$504/'Commercial Inputs'!$B$46</x:f>
        <x:v>80592.32318719426</x:v>
      </x:c>
      <x:c r="L456" s="58" t="n">
        <x:f>L444*$B$504/'Commercial Inputs'!$B$46</x:f>
        <x:v>94338.61754927057</x:v>
      </x:c>
      <x:c r="M456" s="58" t="n">
        <x:f>M444*$B$504/'Commercial Inputs'!$B$46</x:f>
        <x:v>109046.47360852484</x:v>
      </x:c>
      <x:c r="N456" s="58" t="n">
        <x:f>N444*$B$504/'Commercial Inputs'!$B$46</x:f>
        <x:v>126358.38335277147</x:v>
      </x:c>
      <x:c r="O456" s="58" t="n">
        <x:f>O444*$B$504/'Commercial Inputs'!$B$46</x:f>
        <x:v>144226.1920831606</x:v>
      </x:c>
      <x:c r="P456" s="58" t="n">
        <x:f>P444*$B$504/'Commercial Inputs'!$B$46</x:f>
        <x:v>162685.5915439251</x:v>
      </x:c>
      <x:c r="Q456" s="58" t="n">
        <x:f>Q444*$B$504/'Commercial Inputs'!$B$46</x:f>
        <x:v>180798.50023582508</x:v>
      </x:c>
      <x:c r="R456" s="58" t="n">
        <x:f>R444*$B$504/'Commercial Inputs'!$B$46</x:f>
        <x:v>199579.80600527648</x:v>
      </x:c>
      <x:c r="S456" s="58" t="n">
        <x:f>S444*$B$504/'Commercial Inputs'!$B$46</x:f>
        <x:v>219070.64510526077</x:v>
      </x:c>
      <x:c r="T456" s="58" t="n">
        <x:f>T444*$B$504/'Commercial Inputs'!$B$46</x:f>
        <x:v>242412.29160259443</x:v>
      </x:c>
      <x:c r="U456" s="58" t="n">
        <x:f>U444*$B$504/'Commercial Inputs'!$B$46</x:f>
        <x:v>266551.1430720812</x:v>
      </x:c>
      <x:c r="V456" s="58" t="n">
        <x:f>V444*$B$504/'Commercial Inputs'!$B$46</x:f>
        <x:v>291533.6454035727</x:v>
      </x:c>
      <x:c r="W456" s="58" t="n">
        <x:f>W444*$B$504/'Commercial Inputs'!$B$46</x:f>
        <x:v>317407.88049715804</x:v>
      </x:c>
      <x:c r="X456" s="58" t="n">
        <x:f>X444*$B$504/'Commercial Inputs'!$B$46</x:f>
        <x:v>344223.4475846688</x:v>
      </x:c>
      <x:c r="Y456" s="58" t="n">
        <x:f>Y444*$B$504/'Commercial Inputs'!$B$46</x:f>
        <x:v>372031.30510978703</x:v>
      </x:c>
      <x:c r="Z456" s="58" t="n">
        <x:f>Z444*$B$504/'Commercial Inputs'!$B$46</x:f>
        <x:v>400140.0172020255</x:v>
      </x:c>
      <x:c r="AA456" s="58" t="n">
        <x:f>AA444*$B$504/'Commercial Inputs'!$B$46</x:f>
        <x:v>429094.2687950534</x:v>
      </x:c>
      <x:c r="AB456" s="58" t="n">
        <x:f>AB444*$B$504/'Commercial Inputs'!$B$46</x:f>
        <x:v>458931.2753428757</x:v>
      </x:c>
      <x:c r="AC456" s="58" t="n">
        <x:f>AC444*$B$504/'Commercial Inputs'!$B$46</x:f>
        <x:v>489502.5106720806</x:v>
      </x:c>
      <x:c r="AD456" s="58" t="n">
        <x:f>AD444*$B$504/'Commercial Inputs'!$B$46</x:f>
        <x:v>521034.04034291155</x:v>
      </x:c>
      <x:c r="AE456" s="58" t="n">
        <x:f>AE444*$B$504/'Commercial Inputs'!$B$46</x:f>
        <x:v>553566.0884038452</x:v>
      </x:c>
      <x:c r="AF456" s="58" t="n">
        <x:f>AF444*$B$504/'Commercial Inputs'!$B$46</x:f>
        <x:v>587777.9308326824</x:v>
      </x:c>
      <x:c r="AG456" s="58" t="n">
        <x:f>AG444*$B$504/'Commercial Inputs'!$B$46</x:f>
        <x:v>623073.2936271526</x:v>
      </x:c>
      <x:c r="AH456" s="58" t="n">
        <x:f>AH444*$B$504/'Commercial Inputs'!$B$46</x:f>
        <x:v>659494.7625958688</x:v>
      </x:c>
      <x:c r="AI456" s="58" t="n">
        <x:f>AI444*$B$504/'Commercial Inputs'!$B$46</x:f>
        <x:v>697085.4855676248</x:v>
      </x:c>
      <x:c r="AJ456" s="58" t="n">
        <x:f>AJ444*$B$504/'Commercial Inputs'!$B$46</x:f>
        <x:v>735889.022770906</x:v>
      </x:c>
      <x:c r="AK456" s="58" t="n">
        <x:f>AK444*$B$504/'Commercial Inputs'!$B$46</x:f>
        <x:v>775949.1707018641</x:v>
      </x:c>
    </x:row>
    <x:row r="457" ht="18" customHeight="1">
      <x:c r="A457" s="4" t="str">
        <x:v>Earned monthly-plan revenue (INR)</x:v>
      </x:c>
      <x:c r="B457" s="58" t="n">
        <x:f>B451*$B$505</x:f>
        <x:v>2274.876963559322</x:v>
      </x:c>
      <x:c r="C457" s="58" t="n">
        <x:f>C451*$B$505</x:f>
        <x:v>3776.889205672881</x:v>
      </x:c>
      <x:c r="D457" s="58" t="n">
        <x:f>D451*$B$505</x:f>
        <x:v>5043.097097974817</x:v>
      </x:c>
      <x:c r="E457" s="58" t="n">
        <x:f>E451*$B$505</x:f>
        <x:v>7071.296955474199</x:v>
      </x:c>
      <x:c r="F457" s="58" t="n">
        <x:f>F451*$B$505</x:f>
        <x:v>8762.497354023812</x:v>
      </x:c>
      <x:c r="G457" s="58" t="n">
        <x:f>G451*$B$505</x:f>
        <x:v>10343.85108503405</x:v>
      </x:c>
      <x:c r="H457" s="58" t="n">
        <x:f>H451*$B$505</x:f>
        <x:v>13627.408484462749</x:v>
      </x:c>
      <x:c r="I457" s="58" t="n">
        <x:f>I451*$B$505</x:f>
        <x:v>16210.25351535446</x:v>
      </x:c>
      <x:c r="J457" s="58" t="n">
        <x:f>J451*$B$505</x:f>
        <x:v>18564.257133593128</x:v>
      </x:c>
      <x:c r="K457" s="58" t="n">
        <x:f>K451*$B$505</x:f>
        <x:v>20881.75475442881</x:v>
      </x:c>
      <x:c r="L457" s="58" t="n">
        <x:f>L451*$B$505</x:f>
        <x:v>23205.065271758158</x:v>
      </x:c>
      <x:c r="M457" s="58" t="n">
        <x:f>M451*$B$505</x:f>
        <x:v>25574.74902331658</x:v>
      </x:c>
      <x:c r="N457" s="58" t="n">
        <x:f>N451*$B$505</x:f>
        <x:v>30521.44702524943</x:v>
      </x:c>
      <x:c r="O457" s="58" t="n">
        <x:f>O451*$B$505</x:f>
        <x:v>34304.492571382674</x:v>
      </x:c>
      <x:c r="P457" s="58" t="n">
        <x:f>P451*$B$505</x:f>
        <x:v>37665.893234686126</x:v>
      </x:c>
      <x:c r="Q457" s="58" t="n">
        <x:f>Q451*$B$505</x:f>
        <x:v>40891.75955259167</x:v>
      </x:c>
      <x:c r="R457" s="58" t="n">
        <x:f>R451*$B$505</x:f>
        <x:v>44030.45973020234</x:v>
      </x:c>
      <x:c r="S457" s="58" t="n">
        <x:f>S451*$B$505</x:f>
        <x:v>47125.56294554903</x:v>
      </x:c>
      <x:c r="T457" s="58" t="n">
        <x:f>T451*$B$505</x:f>
        <x:v>53213.927343945536</x:v>
      </x:c>
      <x:c r="U457" s="58" t="n">
        <x:f>U451*$B$505</x:f>
        <x:v>58082.03085890659</x:v>
      </x:c>
      <x:c r="V457" s="58" t="n">
        <x:f>V451*$B$505</x:f>
        <x:v>62541.403938027644</x:v>
      </x:c>
      <x:c r="W457" s="58" t="n">
        <x:f>W451*$B$505</x:f>
        <x:v>66913.7640525887</x:v>
      </x:c>
      <x:c r="X457" s="58" t="n">
        <x:f>X451*$B$505</x:f>
        <x:v>71257.11704093919</x:v>
      </x:c>
      <x:c r="Y457" s="58" t="n">
        <x:f>Y451*$B$505</x:f>
        <x:v>75624.59805792128</x:v>
      </x:c>
      <x:c r="Z457" s="58" t="n">
        <x:f>Z451*$B$505</x:f>
        <x:v>81712.86828079888</x:v>
      </x:c>
      <x:c r="AA457" s="58" t="n">
        <x:f>AA451*$B$505</x:f>
        <x:v>86935.89625719859</x:v>
      </x:c>
      <x:c r="AB457" s="58" t="n">
        <x:f>AB451*$B$505</x:f>
        <x:v>91848.70990371228</x:v>
      </x:c>
      <x:c r="AC457" s="58" t="n">
        <x:f>AC451*$B$505</x:f>
        <x:v>96672.36742068507</x:v>
      </x:c>
      <x:c r="AD457" s="58" t="n">
        <x:f>AD451*$B$505</x:f>
        <x:v>101457.72605278029</x:v>
      </x:c>
      <x:c r="AE457" s="58" t="n">
        <x:f>AE451*$B$505</x:f>
        <x:v>106250.46583128041</x:v>
      </x:c>
      <x:c r="AF457" s="58" t="n">
        <x:f>AF451*$B$505</x:f>
        <x:v>113816.71347948704</x:v>
      </x:c>
      <x:c r="AG457" s="58" t="n">
        <x:f>AG451*$B$505</x:f>
        <x:v>120330.68705660084</x:v>
      </x:c>
      <x:c r="AH457" s="58" t="n">
        <x:f>AH451*$B$505</x:f>
        <x:v>126534.23532099447</x:v>
      </x:c>
      <x:c r="AI457" s="58" t="n">
        <x:f>AI451*$B$505</x:f>
        <x:v>132723.364341443</x:v>
      </x:c>
      <x:c r="AJ457" s="58" t="n">
        <x:f>AJ451*$B$505</x:f>
        <x:v>138953.81190857769</x:v>
      </x:c>
      <x:c r="AK457" s="58" t="n">
        <x:f>AK451*$B$505</x:f>
        <x:v>145276.3734092805</x:v>
      </x:c>
    </x:row>
    <x:row r="458" ht="18" customHeight="1">
      <x:c r="A458" s="74" t="str">
        <x:v>EARNED REVENUE, NET OF SALES TAX / REFUNDS</x:v>
      </x:c>
      <x:c r="B458" s="75" t="n">
        <x:f>SUM(B456:B457)</x:f>
        <x:v>6230.840314618644</x:v>
      </x:c>
      <x:c r="C458" s="75" t="n">
        <x:f>SUM(C456:C457)</x:f>
        <x:v>11998.413039613562</x:v>
      </x:c>
      <x:c r="D458" s="75" t="n">
        <x:f>SUM(D456:D457)</x:f>
        <x:v>17876.930202437532</x:v>
      </x:c>
      <x:c r="E458" s="75" t="n">
        <x:f>SUM(E456:E457)</x:f>
        <x:v>26281.785225158877</x:v>
      </x:c>
      <x:c r="F458" s="75" t="n">
        <x:f>SUM(F456:F457)</x:f>
        <x:v>34784.60246814693</x:v>
      </x:c>
      <x:c r="G458" s="75" t="n">
        <x:f>SUM(G456:G457)</x:f>
        <x:v>43664.73012431804</x:v>
      </x:c>
      <x:c r="H458" s="75" t="n">
        <x:f>SUM(H456:H457)</x:f>
        <x:v>57773.98309315856</x:v>
      </x:c>
      <x:c r="I458" s="75" t="n">
        <x:f>SUM(I456:I457)</x:f>
        <x:v>71793.61353552033</x:v>
      </x:c>
      <x:c r="J458" s="75" t="n">
        <x:f>SUM(J456:J457)</x:f>
        <x:v>86268.82318833427</x:v>
      </x:c>
      <x:c r="K458" s="75" t="n">
        <x:f>SUM(K456:K457)</x:f>
        <x:v>101474.07794162307</x:v>
      </x:c>
      <x:c r="L458" s="75" t="n">
        <x:f>SUM(L456:L457)</x:f>
        <x:v>117543.68282102872</x:v>
      </x:c>
      <x:c r="M458" s="75" t="n">
        <x:f>SUM(M456:M457)</x:f>
        <x:v>134621.22263184143</x:v>
      </x:c>
      <x:c r="N458" s="75" t="n">
        <x:f>SUM(N456:N457)</x:f>
        <x:v>156879.8303780209</x:v>
      </x:c>
      <x:c r="O458" s="75" t="n">
        <x:f>SUM(O456:O457)</x:f>
        <x:v>178530.68465454326</x:v>
      </x:c>
      <x:c r="P458" s="75" t="n">
        <x:f>SUM(P456:P457)</x:f>
        <x:v>200351.48477861122</x:v>
      </x:c>
      <x:c r="Q458" s="75" t="n">
        <x:f>SUM(Q456:Q457)</x:f>
        <x:v>221690.25978841673</x:v>
      </x:c>
      <x:c r="R458" s="75" t="n">
        <x:f>SUM(R456:R457)</x:f>
        <x:v>243610.2657354788</x:v>
      </x:c>
      <x:c r="S458" s="75" t="n">
        <x:f>SUM(S456:S457)</x:f>
        <x:v>266196.2080508098</x:v>
      </x:c>
      <x:c r="T458" s="75" t="n">
        <x:f>SUM(T456:T457)</x:f>
        <x:v>295626.21894654</x:v>
      </x:c>
      <x:c r="U458" s="75" t="n">
        <x:f>SUM(U456:U457)</x:f>
        <x:v>324633.1739309878</x:v>
      </x:c>
      <x:c r="V458" s="75" t="n">
        <x:f>SUM(V456:V457)</x:f>
        <x:v>354075.04934160033</x:v>
      </x:c>
      <x:c r="W458" s="75" t="n">
        <x:f>SUM(W456:W457)</x:f>
        <x:v>384321.64454974676</x:v>
      </x:c>
      <x:c r="X458" s="75" t="n">
        <x:f>SUM(X456:X457)</x:f>
        <x:v>415480.56462560804</x:v>
      </x:c>
      <x:c r="Y458" s="75" t="n">
        <x:f>SUM(Y456:Y457)</x:f>
        <x:v>447655.9031677083</x:v>
      </x:c>
      <x:c r="Z458" s="75" t="n">
        <x:f>SUM(Z456:Z457)</x:f>
        <x:v>481852.8854828244</x:v>
      </x:c>
      <x:c r="AA458" s="75" t="n">
        <x:f>SUM(AA456:AA457)</x:f>
        <x:v>516030.165052252</x:v>
      </x:c>
      <x:c r="AB458" s="75" t="n">
        <x:f>SUM(AB456:AB457)</x:f>
        <x:v>550779.985246588</x:v>
      </x:c>
      <x:c r="AC458" s="75" t="n">
        <x:f>SUM(AC456:AC457)</x:f>
        <x:v>586174.8780927657</x:v>
      </x:c>
      <x:c r="AD458" s="75" t="n">
        <x:f>SUM(AD456:AD457)</x:f>
        <x:v>622491.7663956918</x:v>
      </x:c>
      <x:c r="AE458" s="75" t="n">
        <x:f>SUM(AE456:AE457)</x:f>
        <x:v>659816.5542351257</x:v>
      </x:c>
      <x:c r="AF458" s="75" t="n">
        <x:f>SUM(AF456:AF457)</x:f>
        <x:v>701594.6443121694</x:v>
      </x:c>
      <x:c r="AG458" s="75" t="n">
        <x:f>SUM(AG456:AG457)</x:f>
        <x:v>743403.9806837534</x:v>
      </x:c>
      <x:c r="AH458" s="75" t="n">
        <x:f>SUM(AH456:AH457)</x:f>
        <x:v>786028.9979168633</x:v>
      </x:c>
      <x:c r="AI458" s="75" t="n">
        <x:f>SUM(AI456:AI457)</x:f>
        <x:v>829808.8499090679</x:v>
      </x:c>
      <x:c r="AJ458" s="75" t="n">
        <x:f>SUM(AJ456:AJ457)</x:f>
        <x:v>874842.8346794837</x:v>
      </x:c>
      <x:c r="AK458" s="75" t="n">
        <x:f>SUM(AK456:AK457)</x:f>
        <x:v>921225.5441111445</x:v>
      </x:c>
    </x:row>
    <x:row r="459" ht="18" customHeight="1">
      <x:c r="A459" s="4" t="str">
        <x:v>Annual gross billings, ex-tax (INR)</x:v>
      </x:c>
      <x:c r="B459" s="58" t="n">
        <x:f>B445*$B$504</x:f>
        <x:v>48939.75279661018</x:v>
      </x:c>
      <x:c r="C459" s="58" t="n">
        <x:f>C445*$B$504</x:f>
        <x:v>52769.82040677967</x:v>
      </x:c>
      <x:c r="D459" s="58" t="n">
        <x:f>D445*$B$504</x:f>
        <x:v>57059.49613016949</x:v>
      </x:c>
      <x:c r="E459" s="58" t="n">
        <x:f>E445*$B$504</x:f>
        <x:v>78886.45565223054</x:v>
      </x:c>
      <x:c r="F459" s="58" t="n">
        <x:f>F445*$B$504</x:f>
        <x:v>84267.42487965073</x:v>
      </x:c>
      <x:c r="G459" s="58" t="n">
        <x:f>G445*$B$504</x:f>
        <x:v>90294.11041436136</x:v>
      </x:c>
      <x:c r="H459" s="58" t="n">
        <x:f>H445*$B$504</x:f>
        <x:v>133926.13075561018</x:v>
      </x:c>
      <x:c r="I459" s="58" t="n">
        <x:f>I445*$B$504</x:f>
        <x:v>141486.0050903512</x:v>
      </x:c>
      <x:c r="J459" s="58" t="n">
        <x:f>J445*$B$504</x:f>
        <x:v>149953.0643452611</x:v>
      </x:c>
      <x:c r="K459" s="58" t="n">
        <x:f>K445*$B$504</x:f>
        <x:v>159436.17071076029</x:v>
      </x:c>
      <x:c r="L459" s="58" t="n">
        <x:f>L445*$B$504</x:f>
        <x:v>170057.2498401193</x:v>
      </x:c>
      <x:c r="M459" s="58" t="n">
        <x:f>M445*$B$504</x:f>
        <x:v>181952.85846500142</x:v>
      </x:c>
      <x:c r="N459" s="58" t="n">
        <x:f>N445*$B$504</x:f>
        <x:v>263107.70839553745</x:v>
      </x:c>
      <x:c r="O459" s="58" t="n">
        <x:f>O445*$B$504</x:f>
        <x:v>273814.8768652017</x:v>
      </x:c>
      <x:c r="P459" s="58" t="n">
        <x:f>P445*$B$504</x:f>
        <x:v>285423.20079942147</x:v>
      </x:c>
      <x:c r="Q459" s="58" t="n">
        <x:f>Q445*$B$504</x:f>
        <x:v>302963.6765829517</x:v>
      </x:c>
      <x:c r="R459" s="58" t="n">
        <x:f>R445*$B$504</x:f>
        <x:v>316613.4756357502</x:v>
      </x:c>
      <x:c r="S459" s="58" t="n">
        <x:f>S445*$B$504</x:f>
        <x:v>331417.8930945798</x:v>
      </x:c>
      <x:c r="T459" s="58" t="n">
        <x:f>T445*$B$504</x:f>
        <x:v>422688.7678360264</x:v>
      </x:c>
      <x:c r="U459" s="58" t="n">
        <x:f>U445*$B$504</x:f>
        <x:v>440110.97172317805</x:v>
      </x:c>
      <x:c r="V459" s="58" t="n">
        <x:f>V445*$B$504</x:f>
        <x:v>459014.9488585582</x:v>
      </x:c>
      <x:c r="W459" s="58" t="n">
        <x:f>W445*$B$504</x:f>
        <x:v>479529.8007344961</x:v>
      </x:c>
      <x:c r="X459" s="58" t="n">
        <x:f>X445*$B$504</x:f>
        <x:v>501796.2241186033</x:v>
      </x:c>
      <x:c r="Y459" s="58" t="n">
        <x:f>Y445*$B$504</x:f>
        <x:v>525967.5907345047</x:v>
      </x:c>
      <x:c r="Z459" s="58" t="n">
        <x:f>Z445*$B$504</x:f>
        <x:v>610844.3528356014</x:v>
      </x:c>
      <x:c r="AA459" s="58" t="n">
        <x:f>AA445*$B$504</x:f>
        <x:v>632011.803789258</x:v>
      </x:c>
      <x:c r="AB459" s="58" t="n">
        <x:f>AB445*$B$504</x:f>
        <x:v>654540.8075766045</x:v>
      </x:c>
      <x:c r="AC459" s="58" t="n">
        <x:f>AC445*$B$504</x:f>
        <x:v>681164.5260164156</x:v>
      </x:c>
      <x:c r="AD459" s="58" t="n">
        <x:f>AD445*$B$504</x:f>
        <x:v>706694.2550687105</x:v>
      </x:c>
      <x:c r="AE459" s="58" t="n">
        <x:f>AE445*$B$504</x:f>
        <x:v>733876.2196215938</x:v>
      </x:c>
      <x:c r="AF459" s="58" t="n">
        <x:f>AF445*$B$504</x:f>
        <x:v>845928.0556154563</x:v>
      </x:c>
      <x:c r="AG459" s="58" t="n">
        <x:f>AG445*$B$504</x:f>
        <x:v>876754.6351599217</x:v>
      </x:c>
      <x:c r="AH459" s="58" t="n">
        <x:f>AH445*$B$504</x:f>
        <x:v>909589.8226983468</x:v>
      </x:c>
      <x:c r="AI459" s="58" t="n">
        <x:f>AI445*$B$504</x:f>
        <x:v>944569.6725500345</x:v>
      </x:c>
      <x:c r="AJ459" s="58" t="n">
        <x:f>AJ445*$B$504</x:f>
        <x:v>981839.9833344532</x:v>
      </x:c>
      <x:c r="AK459" s="58" t="n">
        <x:f>AK445*$B$504</x:f>
        <x:v>1021557.0496741908</x:v>
      </x:c>
    </x:row>
    <x:row r="460" ht="18" customHeight="1">
      <x:c r="A460" s="4" t="str">
        <x:v>Monthly gross billings, ex-tax (INR)</x:v>
      </x:c>
      <x:c r="B460" s="58" t="n">
        <x:f>B452*$B$505</x:f>
        <x:v>2345.2339830508477</x:v>
      </x:c>
      <x:c r="C460" s="58" t="n">
        <x:f>C452*$B$505</x:f>
        <x:v>3893.7002120338984</x:v>
      </x:c>
      <x:c r="D460" s="58" t="n">
        <x:f>D452*$B$505</x:f>
        <x:v>5199.069173169914</x:v>
      </x:c>
      <x:c r="E460" s="58" t="n">
        <x:f>E452*$B$505</x:f>
        <x:v>7289.996861313609</x:v>
      </x:c>
      <x:c r="F460" s="58" t="n">
        <x:f>F452*$B$505</x:f>
        <x:v>9033.502426828672</x:v>
      </x:c>
      <x:c r="G460" s="58" t="n">
        <x:f>G452*$B$505</x:f>
        <x:v>10663.764005189742</x:v>
      </x:c>
      <x:c r="H460" s="58" t="n">
        <x:f>H452*$B$505</x:f>
        <x:v>14048.874726250258</x:v>
      </x:c>
      <x:c r="I460" s="58" t="n">
        <x:f>I452*$B$505</x:f>
        <x:v>16711.60156222109</x:v>
      </x:c>
      <x:c r="J460" s="58" t="n">
        <x:f>J452*$B$505</x:f>
        <x:v>19138.40941607539</x:v>
      </x:c>
      <x:c r="K460" s="58" t="n">
        <x:f>K452*$B$505</x:f>
        <x:v>21527.58222106063</x:v>
      </x:c>
      <x:c r="L460" s="58" t="n">
        <x:f>L452*$B$505</x:f>
        <x:v>23922.74770284346</x:v>
      </x:c>
      <x:c r="M460" s="58" t="n">
        <x:f>M452*$B$505</x:f>
        <x:v>26365.720642594413</x:v>
      </x:c>
      <x:c r="N460" s="58" t="n">
        <x:f>N452*$B$505</x:f>
        <x:v>31465.409304380857</x:v>
      </x:c>
      <x:c r="O460" s="58" t="n">
        <x:f>O452*$B$505</x:f>
        <x:v>35365.45625915739</x:v>
      </x:c>
      <x:c r="P460" s="58" t="n">
        <x:f>P452*$B$505</x:f>
        <x:v>38830.81776771765</x:v>
      </x:c>
      <x:c r="Q460" s="58" t="n">
        <x:f>Q452*$B$505</x:f>
        <x:v>42156.45314700172</x:v>
      </x:c>
      <x:c r="R460" s="58" t="n">
        <x:f>R452*$B$505</x:f>
        <x:v>45392.22652598179</x:v>
      </x:c>
      <x:c r="S460" s="58" t="n">
        <x:f>S452*$B$505</x:f>
        <x:v>48583.05458304024</x:v>
      </x:c>
      <x:c r="T460" s="58" t="n">
        <x:f>T452*$B$505</x:f>
        <x:v>54859.71891128405</x:v>
      </x:c>
      <x:c r="U460" s="58" t="n">
        <x:f>U452*$B$505</x:f>
        <x:v>59878.38232876969</x:v>
      </x:c>
      <x:c r="V460" s="58" t="n">
        <x:f>V452*$B$505</x:f>
        <x:v>64475.67416291509</x:v>
      </x:c>
      <x:c r="W460" s="58" t="n">
        <x:f>W452*$B$505</x:f>
        <x:v>68983.26190988526</x:v>
      </x:c>
      <x:c r="X460" s="58" t="n">
        <x:f>X452*$B$505</x:f>
        <x:v>73460.9454030301</x:v>
      </x:c>
      <x:c r="Y460" s="58" t="n">
        <x:f>Y452*$B$505</x:f>
        <x:v>77963.50315249615</x:v>
      </x:c>
      <x:c r="Z460" s="58" t="n">
        <x:f>Z452*$B$505</x:f>
        <x:v>84240.07039257616</x:v>
      </x:c>
      <x:c r="AA460" s="58" t="n">
        <x:f>AA452*$B$505</x:f>
        <x:v>89624.63531669958</x:v>
      </x:c>
      <x:c r="AB460" s="58" t="n">
        <x:f>AB452*$B$505</x:f>
        <x:v>94689.39165331163</x:v>
      </x:c>
      <x:c r="AC460" s="58" t="n">
        <x:f>AC452*$B$505</x:f>
        <x:v>99662.23445431452</x:v>
      </x:c>
      <x:c r="AD460" s="58" t="n">
        <x:f>AD452*$B$505</x:f>
        <x:v>104595.59386884565</x:v>
      </x:c>
      <x:c r="AE460" s="58" t="n">
        <x:f>AE452*$B$505</x:f>
        <x:v>109536.56271266022</x:v>
      </x:c>
      <x:c r="AF460" s="58" t="n">
        <x:f>AF452*$B$505</x:f>
        <x:v>117336.81802008973</x:v>
      </x:c>
      <x:c r="AG460" s="58" t="n">
        <x:f>AG452*$B$505</x:f>
        <x:v>124052.25469752666</x:v>
      </x:c>
      <x:c r="AH460" s="58" t="n">
        <x:f>AH452*$B$505</x:f>
        <x:v>130447.66527937574</x:v>
      </x:c>
      <x:c r="AI460" s="58" t="n">
        <x:f>AI452*$B$505</x:f>
        <x:v>136828.21066128142</x:v>
      </x:c>
      <x:c r="AJ460" s="58" t="n">
        <x:f>AJ452*$B$505</x:f>
        <x:v>143251.35248306976</x:v>
      </x:c>
      <x:c r="AK460" s="58" t="n">
        <x:f>AK452*$B$505</x:f>
        <x:v>149769.4571229696</x:v>
      </x:c>
    </x:row>
    <x:row r="461" ht="18" customHeight="1">
      <x:c r="A461" s="4" t="str">
        <x:v>Total gross billings, ex-tax (INR)</x:v>
      </x:c>
      <x:c r="B461" s="58" t="n">
        <x:f>SUM(B459:B460)</x:f>
        <x:v>51284.98677966103</x:v>
      </x:c>
      <x:c r="C461" s="58" t="n">
        <x:f>SUM(C459:C460)</x:f>
        <x:v>56663.52061881356</x:v>
      </x:c>
      <x:c r="D461" s="58" t="n">
        <x:f>SUM(D459:D460)</x:f>
        <x:v>62258.565303339405</x:v>
      </x:c>
      <x:c r="E461" s="58" t="n">
        <x:f>SUM(E459:E460)</x:f>
        <x:v>86176.45251354415</x:v>
      </x:c>
      <x:c r="F461" s="58" t="n">
        <x:f>SUM(F459:F460)</x:f>
        <x:v>93300.9273064794</x:v>
      </x:c>
      <x:c r="G461" s="58" t="n">
        <x:f>SUM(G459:G460)</x:f>
        <x:v>100957.87441955111</x:v>
      </x:c>
      <x:c r="H461" s="58" t="n">
        <x:f>SUM(H459:H460)</x:f>
        <x:v>147975.00548186043</x:v>
      </x:c>
      <x:c r="I461" s="58" t="n">
        <x:f>SUM(I459:I460)</x:f>
        <x:v>158197.60665257229</x:v>
      </x:c>
      <x:c r="J461" s="58" t="n">
        <x:f>SUM(J459:J460)</x:f>
        <x:v>169091.4737613365</x:v>
      </x:c>
      <x:c r="K461" s="58" t="n">
        <x:f>SUM(K459:K460)</x:f>
        <x:v>180963.75293182093</x:v>
      </x:c>
      <x:c r="L461" s="58" t="n">
        <x:f>SUM(L459:L460)</x:f>
        <x:v>193979.99754296275</x:v>
      </x:c>
      <x:c r="M461" s="58" t="n">
        <x:f>SUM(M459:M460)</x:f>
        <x:v>208318.57910759584</x:v>
      </x:c>
      <x:c r="N461" s="58" t="n">
        <x:f>SUM(N459:N460)</x:f>
        <x:v>294573.11769991834</x:v>
      </x:c>
      <x:c r="O461" s="58" t="n">
        <x:f>SUM(O459:O460)</x:f>
        <x:v>309180.3331243591</x:v>
      </x:c>
      <x:c r="P461" s="58" t="n">
        <x:f>SUM(P459:P460)</x:f>
        <x:v>324254.0185671391</x:v>
      </x:c>
      <x:c r="Q461" s="58" t="n">
        <x:f>SUM(Q459:Q460)</x:f>
        <x:v>345120.1297299534</x:v>
      </x:c>
      <x:c r="R461" s="58" t="n">
        <x:f>SUM(R459:R460)</x:f>
        <x:v>362005.702161732</x:v>
      </x:c>
      <x:c r="S461" s="58" t="n">
        <x:f>SUM(S459:S460)</x:f>
        <x:v>380000.94767762005</x:v>
      </x:c>
      <x:c r="T461" s="58" t="n">
        <x:f>SUM(T459:T460)</x:f>
        <x:v>477548.48674731044</x:v>
      </x:c>
      <x:c r="U461" s="58" t="n">
        <x:f>SUM(U459:U460)</x:f>
        <x:v>499989.3540519477</x:v>
      </x:c>
      <x:c r="V461" s="58" t="n">
        <x:f>SUM(V459:V460)</x:f>
        <x:v>523490.6230214733</x:v>
      </x:c>
      <x:c r="W461" s="58" t="n">
        <x:f>SUM(W459:W460)</x:f>
        <x:v>548513.0626443813</x:v>
      </x:c>
      <x:c r="X461" s="58" t="n">
        <x:f>SUM(X459:X460)</x:f>
        <x:v>575257.1695216334</x:v>
      </x:c>
      <x:c r="Y461" s="58" t="n">
        <x:f>SUM(Y459:Y460)</x:f>
        <x:v>603931.0938870009</x:v>
      </x:c>
      <x:c r="Z461" s="58" t="n">
        <x:f>SUM(Z459:Z460)</x:f>
        <x:v>695084.4232281776</x:v>
      </x:c>
      <x:c r="AA461" s="58" t="n">
        <x:f>SUM(AA459:AA460)</x:f>
        <x:v>721636.4391059576</x:v>
      </x:c>
      <x:c r="AB461" s="58" t="n">
        <x:f>SUM(AB459:AB460)</x:f>
        <x:v>749230.1992299162</x:v>
      </x:c>
      <x:c r="AC461" s="58" t="n">
        <x:f>SUM(AC459:AC460)</x:f>
        <x:v>780826.76047073</x:v>
      </x:c>
      <x:c r="AD461" s="58" t="n">
        <x:f>SUM(AD459:AD460)</x:f>
        <x:v>811289.8489375561</x:v>
      </x:c>
      <x:c r="AE461" s="58" t="n">
        <x:f>SUM(AE459:AE460)</x:f>
        <x:v>843412.782334254</x:v>
      </x:c>
      <x:c r="AF461" s="58" t="n">
        <x:f>SUM(AF459:AF460)</x:f>
        <x:v>963264.8736355461</x:v>
      </x:c>
      <x:c r="AG461" s="58" t="n">
        <x:f>SUM(AG459:AG460)</x:f>
        <x:v>1000806.8898574484</x:v>
      </x:c>
      <x:c r="AH461" s="58" t="n">
        <x:f>SUM(AH459:AH460)</x:f>
        <x:v>1040037.4879777225</x:v>
      </x:c>
      <x:c r="AI461" s="58" t="n">
        <x:f>SUM(AI459:AI460)</x:f>
        <x:v>1081397.8832113158</x:v>
      </x:c>
      <x:c r="AJ461" s="58" t="n">
        <x:f>SUM(AJ459:AJ460)</x:f>
        <x:v>1125091.3358175228</x:v>
      </x:c>
      <x:c r="AK461" s="58" t="n">
        <x:f>SUM(AK459:AK460)</x:f>
        <x:v>1171326.5067971605</x:v>
      </x:c>
    </x:row>
    <x:row r="462" ht="18" customHeight="1">
      <x:c r="A462" s="4" t="str">
        <x:v>Refunds (INR)</x:v>
      </x:c>
      <x:c r="B462" s="58" t="n">
        <x:f>B461*'Scenario Inputs'!$C$29</x:f>
        <x:v>1538.5496033898307</x:v>
      </x:c>
      <x:c r="C462" s="58" t="n">
        <x:f>C461*'Scenario Inputs'!$C$29</x:f>
        <x:v>1699.905618564407</x:v>
      </x:c>
      <x:c r="D462" s="58" t="n">
        <x:f>D461*'Scenario Inputs'!$C$29</x:f>
        <x:v>1867.756959100182</x:v>
      </x:c>
      <x:c r="E462" s="58" t="n">
        <x:f>E461*'Scenario Inputs'!$C$29</x:f>
        <x:v>2585.2935754063246</x:v>
      </x:c>
      <x:c r="F462" s="58" t="n">
        <x:f>F461*'Scenario Inputs'!$C$29</x:f>
        <x:v>2799.0278191943817</x:v>
      </x:c>
      <x:c r="G462" s="58" t="n">
        <x:f>G461*'Scenario Inputs'!$C$29</x:f>
        <x:v>3028.7362325865333</x:v>
      </x:c>
      <x:c r="H462" s="58" t="n">
        <x:f>H461*'Scenario Inputs'!$C$29</x:f>
        <x:v>4439.250164455812</x:v>
      </x:c>
      <x:c r="I462" s="58" t="n">
        <x:f>I461*'Scenario Inputs'!$C$29</x:f>
        <x:v>4745.928199577168</x:v>
      </x:c>
      <x:c r="J462" s="58" t="n">
        <x:f>J461*'Scenario Inputs'!$C$29</x:f>
        <x:v>5072.744212840094</x:v>
      </x:c>
      <x:c r="K462" s="58" t="n">
        <x:f>K461*'Scenario Inputs'!$C$29</x:f>
        <x:v>5428.912587954627</x:v>
      </x:c>
      <x:c r="L462" s="58" t="n">
        <x:f>L461*'Scenario Inputs'!$C$29</x:f>
        <x:v>5819.399926288882</x:v>
      </x:c>
      <x:c r="M462" s="58" t="n">
        <x:f>M461*'Scenario Inputs'!$C$29</x:f>
        <x:v>6249.557373227875</x:v>
      </x:c>
      <x:c r="N462" s="58" t="n">
        <x:f>N461*'Scenario Inputs'!$C$29</x:f>
        <x:v>8837.19353099755</x:v>
      </x:c>
      <x:c r="O462" s="58" t="n">
        <x:f>O461*'Scenario Inputs'!$C$29</x:f>
        <x:v>9275.409993730773</x:v>
      </x:c>
      <x:c r="P462" s="58" t="n">
        <x:f>P461*'Scenario Inputs'!$C$29</x:f>
        <x:v>9727.620557014174</x:v>
      </x:c>
      <x:c r="Q462" s="58" t="n">
        <x:f>Q461*'Scenario Inputs'!$C$29</x:f>
        <x:v>10353.603891898601</x:v>
      </x:c>
      <x:c r="R462" s="58" t="n">
        <x:f>R461*'Scenario Inputs'!$C$29</x:f>
        <x:v>10860.17106485196</x:v>
      </x:c>
      <x:c r="S462" s="58" t="n">
        <x:f>S461*'Scenario Inputs'!$C$29</x:f>
        <x:v>11400.0284303286</x:v>
      </x:c>
      <x:c r="T462" s="58" t="n">
        <x:f>T461*'Scenario Inputs'!$C$29</x:f>
        <x:v>14326.454602419313</x:v>
      </x:c>
      <x:c r="U462" s="58" t="n">
        <x:f>U461*'Scenario Inputs'!$C$29</x:f>
        <x:v>14999.680621558431</x:v>
      </x:c>
      <x:c r="V462" s="58" t="n">
        <x:f>V461*'Scenario Inputs'!$C$29</x:f>
        <x:v>15704.718690644198</x:v>
      </x:c>
      <x:c r="W462" s="58" t="n">
        <x:f>W461*'Scenario Inputs'!$C$29</x:f>
        <x:v>16455.391879331437</x:v>
      </x:c>
      <x:c r="X462" s="58" t="n">
        <x:f>X461*'Scenario Inputs'!$C$29</x:f>
        <x:v>17257.715085649</x:v>
      </x:c>
      <x:c r="Y462" s="58" t="n">
        <x:f>Y461*'Scenario Inputs'!$C$29</x:f>
        <x:v>18117.932816610028</x:v>
      </x:c>
      <x:c r="Z462" s="58" t="n">
        <x:f>Z461*'Scenario Inputs'!$C$29</x:f>
        <x:v>20852.532696845326</x:v>
      </x:c>
      <x:c r="AA462" s="58" t="n">
        <x:f>AA461*'Scenario Inputs'!$C$29</x:f>
        <x:v>21649.093173178728</x:v>
      </x:c>
      <x:c r="AB462" s="58" t="n">
        <x:f>AB461*'Scenario Inputs'!$C$29</x:f>
        <x:v>22476.905976897484</x:v>
      </x:c>
      <x:c r="AC462" s="58" t="n">
        <x:f>AC461*'Scenario Inputs'!$C$29</x:f>
        <x:v>23424.8028141219</x:v>
      </x:c>
      <x:c r="AD462" s="58" t="n">
        <x:f>AD461*'Scenario Inputs'!$C$29</x:f>
        <x:v>24338.695468126683</x:v>
      </x:c>
      <x:c r="AE462" s="58" t="n">
        <x:f>AE461*'Scenario Inputs'!$C$29</x:f>
        <x:v>25302.38347002762</x:v>
      </x:c>
      <x:c r="AF462" s="58" t="n">
        <x:f>AF461*'Scenario Inputs'!$C$29</x:f>
        <x:v>28897.94620906638</x:v>
      </x:c>
      <x:c r="AG462" s="58" t="n">
        <x:f>AG461*'Scenario Inputs'!$C$29</x:f>
        <x:v>30024.20669572345</x:v>
      </x:c>
      <x:c r="AH462" s="58" t="n">
        <x:f>AH461*'Scenario Inputs'!$C$29</x:f>
        <x:v>31201.124639331676</x:v>
      </x:c>
      <x:c r="AI462" s="58" t="n">
        <x:f>AI461*'Scenario Inputs'!$C$29</x:f>
        <x:v>32441.936496339473</x:v>
      </x:c>
      <x:c r="AJ462" s="58" t="n">
        <x:f>AJ461*'Scenario Inputs'!$C$29</x:f>
        <x:v>33752.74007452568</x:v>
      </x:c>
      <x:c r="AK462" s="58" t="n">
        <x:f>AK461*'Scenario Inputs'!$C$29</x:f>
        <x:v>35139.795203914815</x:v>
      </x:c>
    </x:row>
    <x:row r="463" ht="18" customHeight="1">
      <x:c r="A463" s="4" t="str">
        <x:v>Net billings, ex-tax (INR)</x:v>
      </x:c>
      <x:c r="B463" s="58" t="n">
        <x:f>B461-B462</x:f>
        <x:v>49746.437176271196</x:v>
      </x:c>
      <x:c r="C463" s="58" t="n">
        <x:f>C461-C462</x:f>
        <x:v>54963.615000249156</x:v>
      </x:c>
      <x:c r="D463" s="58" t="n">
        <x:f>D461-D462</x:f>
        <x:v>60390.80834423922</x:v>
      </x:c>
      <x:c r="E463" s="58" t="n">
        <x:f>E461-E462</x:f>
        <x:v>83591.15893813783</x:v>
      </x:c>
      <x:c r="F463" s="58" t="n">
        <x:f>F461-F462</x:f>
        <x:v>90501.89948728502</x:v>
      </x:c>
      <x:c r="G463" s="58" t="n">
        <x:f>G461-G462</x:f>
        <x:v>97929.13818696457</x:v>
      </x:c>
      <x:c r="H463" s="58" t="n">
        <x:f>H461-H462</x:f>
        <x:v>143535.7553174046</x:v>
      </x:c>
      <x:c r="I463" s="58" t="n">
        <x:f>I461-I462</x:f>
        <x:v>153451.6784529951</x:v>
      </x:c>
      <x:c r="J463" s="58" t="n">
        <x:f>J461-J462</x:f>
        <x:v>164018.7295484964</x:v>
      </x:c>
      <x:c r="K463" s="58" t="n">
        <x:f>K461-K462</x:f>
        <x:v>175534.8403438663</x:v>
      </x:c>
      <x:c r="L463" s="58" t="n">
        <x:f>L461-L462</x:f>
        <x:v>188160.59761667388</x:v>
      </x:c>
      <x:c r="M463" s="58" t="n">
        <x:f>M461-M462</x:f>
        <x:v>202069.02173436797</x:v>
      </x:c>
      <x:c r="N463" s="58" t="n">
        <x:f>N461-N462</x:f>
        <x:v>285735.9241689208</x:v>
      </x:c>
      <x:c r="O463" s="58" t="n">
        <x:f>O461-O462</x:f>
        <x:v>299904.9231306283</x:v>
      </x:c>
      <x:c r="P463" s="58" t="n">
        <x:f>P461-P462</x:f>
        <x:v>314526.3980101249</x:v>
      </x:c>
      <x:c r="Q463" s="58" t="n">
        <x:f>Q461-Q462</x:f>
        <x:v>334766.52583805483</x:v>
      </x:c>
      <x:c r="R463" s="58" t="n">
        <x:f>R461-R462</x:f>
        <x:v>351145.53109688003</x:v>
      </x:c>
      <x:c r="S463" s="58" t="n">
        <x:f>S461-S462</x:f>
        <x:v>368600.91924729146</x:v>
      </x:c>
      <x:c r="T463" s="58" t="n">
        <x:f>T461-T462</x:f>
        <x:v>463222.0321448911</x:v>
      </x:c>
      <x:c r="U463" s="58" t="n">
        <x:f>U461-U462</x:f>
        <x:v>484989.67343038926</x:v>
      </x:c>
      <x:c r="V463" s="58" t="n">
        <x:f>V461-V462</x:f>
        <x:v>507785.9043308291</x:v>
      </x:c>
      <x:c r="W463" s="58" t="n">
        <x:f>W461-W462</x:f>
        <x:v>532057.6707650499</x:v>
      </x:c>
      <x:c r="X463" s="58" t="n">
        <x:f>X461-X462</x:f>
        <x:v>557999.4544359844</x:v>
      </x:c>
      <x:c r="Y463" s="58" t="n">
        <x:f>Y461-Y462</x:f>
        <x:v>585813.161070391</x:v>
      </x:c>
      <x:c r="Z463" s="58" t="n">
        <x:f>Z461-Z462</x:f>
        <x:v>674231.8905313322</x:v>
      </x:c>
      <x:c r="AA463" s="58" t="n">
        <x:f>AA461-AA462</x:f>
        <x:v>699987.3459327789</x:v>
      </x:c>
      <x:c r="AB463" s="58" t="n">
        <x:f>AB461-AB462</x:f>
        <x:v>726753.2932530188</x:v>
      </x:c>
      <x:c r="AC463" s="58" t="n">
        <x:f>AC461-AC462</x:f>
        <x:v>757401.9576566081</x:v>
      </x:c>
      <x:c r="AD463" s="58" t="n">
        <x:f>AD461-AD462</x:f>
        <x:v>786951.1534694295</x:v>
      </x:c>
      <x:c r="AE463" s="58" t="n">
        <x:f>AE461-AE462</x:f>
        <x:v>818110.3988642264</x:v>
      </x:c>
      <x:c r="AF463" s="58" t="n">
        <x:f>AF461-AF462</x:f>
        <x:v>934366.9274264796</x:v>
      </x:c>
      <x:c r="AG463" s="58" t="n">
        <x:f>AG461-AG462</x:f>
        <x:v>970782.6831617249</x:v>
      </x:c>
      <x:c r="AH463" s="58" t="n">
        <x:f>AH461-AH462</x:f>
        <x:v>1008836.3633383908</x:v>
      </x:c>
      <x:c r="AI463" s="58" t="n">
        <x:f>AI461-AI462</x:f>
        <x:v>1048955.9467149763</x:v>
      </x:c>
      <x:c r="AJ463" s="58" t="n">
        <x:f>AJ461-AJ462</x:f>
        <x:v>1091338.5957429972</x:v>
      </x:c>
      <x:c r="AK463" s="58" t="n">
        <x:f>AK461-AK462</x:f>
        <x:v>1136186.7115932456</x:v>
      </x:c>
    </x:row>
    <x:row r="464" ht="18" customHeight="1">
      <x:c r="A464" s="4" t="str">
        <x:v>Payment / store fees (INR)</x:v>
      </x:c>
      <x:c r="B464" s="58" t="n">
        <x:f>B445*$B$506+B452*$B$507</x:f>
        <x:v>5304.1549484745765</x:v>
      </x:c>
      <x:c r="C464" s="58" t="n">
        <x:f>C445*$B$506+C452*$B$507</x:f>
        <x:v>5897.804487181016</x:v>
      </x:c>
      <x:c r="D464" s="58" t="n">
        <x:f>D445*$B$506+D452*$B$507</x:f>
        <x:v>6506.58716308263</x:v>
      </x:c>
      <x:c r="E464" s="58" t="n">
        <x:f>E445*$B$506+E452*$B$507</x:f>
        <x:v>9008.909992367218</x:v>
      </x:c>
      <x:c r="F464" s="58" t="n">
        <x:f>F445*$B$506+F452*$B$507</x:f>
        <x:v>9786.4391494951</x:v>
      </x:c>
      <x:c r="G464" s="58" t="n">
        <x:f>G445*$B$506+G452*$B$507</x:f>
        <x:v>10615.09120405933</x:v>
      </x:c>
      <x:c r="H464" s="58" t="n">
        <x:f>H445*$B$506+H452*$B$507</x:f>
        <x:v>15513.28102434319</x:v>
      </x:c>
      <x:c r="I464" s="58" t="n">
        <x:f>I445*$B$506+I452*$B$507</x:f>
        <x:v>16633.54507695494</x:v>
      </x:c>
      <x:c r="J464" s="58" t="n">
        <x:f>J445*$B$506+J452*$B$507</x:f>
        <x:v>17815.584620820908</x:v>
      </x:c>
      <x:c r="K464" s="58" t="n">
        <x:f>K445*$B$506+K452*$B$507</x:f>
        <x:v>19096.452800878254</x:v>
      </x:c>
      <x:c r="L464" s="58" t="n">
        <x:f>L445*$B$506+L452*$B$507</x:f>
        <x:v>20494.306611838154</x:v>
      </x:c>
      <x:c r="M464" s="58" t="n">
        <x:f>M445*$B$506+M452*$B$507</x:f>
        <x:v>22028.55992523203</x:v>
      </x:c>
      <x:c r="N464" s="58" t="n">
        <x:f>N445*$B$506+N452*$B$507</x:f>
        <x:v>30982.594909696374</x:v>
      </x:c>
      <x:c r="O464" s="58" t="n">
        <x:f>O445*$B$506+O452*$B$507</x:f>
        <x:v>32586.088434703404</x:v>
      </x:c>
      <x:c r="P464" s="58" t="n">
        <x:f>P445*$B$506+P452*$B$507</x:f>
        <x:v>34224.74174080278</x:v>
      </x:c>
      <x:c r="Q464" s="58" t="n">
        <x:f>Q445*$B$506+Q452*$B$507</x:f>
        <x:v>36450.867386150276</x:v>
      </x:c>
      <x:c r="R464" s="58" t="n">
        <x:f>R445*$B$506+R452*$B$507</x:f>
        <x:v>38267.95001253182</x:v>
      </x:c>
      <x:c r="S464" s="58" t="n">
        <x:f>S445*$B$506+S452*$B$507</x:f>
        <x:v>40197.05496368683</x:v>
      </x:c>
      <x:c r="T464" s="58" t="n">
        <x:f>T445*$B$506+T452*$B$507</x:f>
        <x:v>50338.023544912416</x:v>
      </x:c>
      <x:c r="U464" s="58" t="n">
        <x:f>U445*$B$506+U452*$B$507</x:f>
        <x:v>52773.53184576045</x:v>
      </x:c>
      <x:c r="V464" s="58" t="n">
        <x:f>V445*$B$506+V452*$B$507</x:f>
        <x:v>55305.23006318757</x:v>
      </x:c>
      <x:c r="W464" s="58" t="n">
        <x:f>W445*$B$506+W452*$B$507</x:f>
        <x:v>57989.685526988185</x:v>
      </x:c>
      <x:c r="X464" s="58" t="n">
        <x:f>X445*$B$506+X452*$B$507</x:f>
        <x:v>60849.087428842686</x:v>
      </x:c>
      <x:c r="Y464" s="58" t="n">
        <x:f>Y445*$B$506+Y452*$B$507</x:f>
        <x:v>63906.262413771496</x:v>
      </x:c>
      <x:c r="Z464" s="58" t="n">
        <x:f>Z445*$B$506+Z452*$B$507</x:f>
        <x:v>73394.29663862199</x:v>
      </x:c>
      <x:c r="AA464" s="58" t="n">
        <x:f>AA445*$B$506+AA452*$B$507</x:f>
        <x:v>76260.10557919521</x:v>
      </x:c>
      <x:c r="AB464" s="58" t="n">
        <x:f>AB445*$B$506+AB452*$B$507</x:f>
        <x:v>79223.11351656</x:v>
      </x:c>
      <x:c r="AC464" s="58" t="n">
        <x:f>AC445*$B$506+AC452*$B$507</x:f>
        <x:v>82592.22189137903</x:v>
      </x:c>
      <x:c r="AD464" s="58" t="n">
        <x:f>AD445*$B$506+AD452*$B$507</x:f>
        <x:v>85844.4550914132</x:v>
      </x:c>
      <x:c r="AE464" s="58" t="n">
        <x:f>AE445*$B$506+AE452*$B$507</x:f>
        <x:v>89266.39828600913</x:v>
      </x:c>
      <x:c r="AF464" s="58" t="n">
        <x:f>AF445*$B$506+AF452*$B$507</x:f>
        <x:v>101728.66817998463</x:v>
      </x:c>
      <x:c r="AG464" s="58" t="n">
        <x:f>AG445*$B$506+AG452*$B$507</x:f>
        <x:v>105754.88636967646</x:v>
      </x:c>
      <x:c r="AH464" s="58" t="n">
        <x:f>AH445*$B$506+AH452*$B$507</x:f>
        <x:v>109944.34781099722</x:v>
      </x:c>
      <x:c r="AI464" s="58" t="n">
        <x:f>AI445*$B$506+AI452*$B$507</x:f>
        <x:v>114350.86256115702</x:v>
      </x:c>
      <x:c r="AJ464" s="58" t="n">
        <x:f>AJ445*$B$506+AJ452*$B$507</x:f>
        <x:v>118996.83492509858</x:v>
      </x:c>
      <x:c r="AK464" s="58" t="n">
        <x:f>AK445*$B$506+AK452*$B$507</x:f>
        <x:v>123905.07449016103</x:v>
      </x:c>
    </x:row>
    <x:row r="465" ht="18" customHeight="1">
      <x:c r="A465" s="4" t="str">
        <x:v>Billing / entitlement reserve (INR)</x:v>
      </x:c>
      <x:c r="B465" s="58" t="n">
        <x:f>B445*$B$508+B452*$B$509</x:f>
        <x:v>534.7638</x:v>
      </x:c>
      <x:c r="C465" s="58" t="n">
        <x:f>C445*$B$508+C452*$B$509</x:f>
        <x:v>590.7725829000001</x:v>
      </x:c>
      <x:c r="D465" s="58" t="n">
        <x:f>D445*$B$508+D452*$B$509</x:f>
        <x:v>649.0535154997499</x:v>
      </x:c>
      <x:c r="E465" s="58" t="n">
        <x:f>E445*$B$508+E452*$B$509</x:f>
        <x:v>898.3951779800827</x:v>
      </x:c>
      <x:c r="F465" s="58" t="n">
        <x:f>F445*$B$508+F452*$B$509</x:f>
        <x:v>972.6027916160629</x:v>
      </x:c>
      <x:c r="G465" s="58" t="n">
        <x:f>G445*$B$508+G452*$B$509</x:f>
        <x:v>1052.370552808996</x:v>
      </x:c>
      <x:c r="H465" s="58" t="n">
        <x:f>H445*$B$508+H452*$B$509</x:f>
        <x:v>1542.5612384792046</x:v>
      </x:c>
      <x:c r="I465" s="58" t="n">
        <x:f>I445*$B$508+I452*$B$509</x:f>
        <x:v>1649.0292912091256</x:v>
      </x:c>
      <x:c r="J465" s="58" t="n">
        <x:f>J445*$B$508+J452*$B$509</x:f>
        <x:v>1762.5121420425169</x:v>
      </x:c>
      <x:c r="K465" s="58" t="n">
        <x:f>K445*$B$508+K452*$B$509</x:f>
        <x:v>1886.201916221989</x:v>
      </x:c>
      <x:c r="L465" s="58" t="n">
        <x:f>L445*$B$508+L452*$B$509</x:f>
        <x:v>2021.8228176946457</x:v>
      </x:c>
      <x:c r="M465" s="58" t="n">
        <x:f>M445*$B$508+M452*$B$509</x:f>
        <x:v>2171.232846652732</x:v>
      </x:c>
      <x:c r="N465" s="58" t="n">
        <x:f>N445*$B$508+N452*$B$509</x:f>
        <x:v>3070.5682205198095</x:v>
      </x:c>
      <x:c r="O465" s="58" t="n">
        <x:f>O445*$B$508+O452*$B$509</x:f>
        <x:v>3222.6964170003157</x:v>
      </x:c>
      <x:c r="P465" s="58" t="n">
        <x:f>P445*$B$508+P452*$B$509</x:f>
        <x:v>3379.7148187872194</x:v>
      </x:c>
      <x:c r="Q465" s="58" t="n">
        <x:f>Q445*$B$508+Q452*$B$509</x:f>
        <x:v>3597.155797283665</x:v>
      </x:c>
      <x:c r="R465" s="58" t="n">
        <x:f>R445*$B$508+R452*$B$509</x:f>
        <x:v>3773.085223322752</x:v>
      </x:c>
      <x:c r="S465" s="58" t="n">
        <x:f>S445*$B$508+S452*$B$509</x:f>
        <x:v>3960.591034800022</x:v>
      </x:c>
      <x:c r="T465" s="58" t="n">
        <x:f>T445*$B$508+T452*$B$509</x:f>
        <x:v>4977.643953202543</x:v>
      </x:c>
      <x:c r="U465" s="58" t="n">
        <x:f>U445*$B$508+U452*$B$509</x:f>
        <x:v>5211.412305848703</x:v>
      </x:c>
      <x:c r="V465" s="58" t="n">
        <x:f>V445*$B$508+V452*$B$509</x:f>
        <x:v>5456.26476064051</x:v>
      </x:c>
      <x:c r="W465" s="58" t="n">
        <x:f>W445*$B$508+W452*$B$509</x:f>
        <x:v>5716.988058783845</x:v>
      </x:c>
      <x:c r="X465" s="58" t="n">
        <x:f>X445*$B$508+X452*$B$509</x:f>
        <x:v>5995.669930761171</x:v>
      </x:c>
      <x:c r="Y465" s="58" t="n">
        <x:f>Y445*$B$508+Y452*$B$509</x:f>
        <x:v>6294.478222171906</x:v>
      </x:c>
      <x:c r="Z465" s="58" t="n">
        <x:f>Z445*$B$508+Z452*$B$509</x:f>
        <x:v>7244.840031466994</x:v>
      </x:c>
      <x:c r="AA465" s="58" t="n">
        <x:f>AA445*$B$508+AA452*$B$509</x:f>
        <x:v>7521.466337397135</x:v>
      </x:c>
      <x:c r="AB465" s="58" t="n">
        <x:f>AB445*$B$508+AB452*$B$509</x:f>
        <x:v>7808.9763184438</x:v>
      </x:c>
      <x:c r="AC465" s="58" t="n">
        <x:f>AC445*$B$508+AC452*$B$509</x:f>
        <x:v>8138.24048418585</x:v>
      </x:c>
      <x:c r="AD465" s="58" t="n">
        <x:f>AD445*$B$508+AD452*$B$509</x:f>
        <x:v>8455.684883324097</x:v>
      </x:c>
      <x:c r="AE465" s="58" t="n">
        <x:f>AE445*$B$508+AE452*$B$509</x:f>
        <x:v>8790.440900239024</x:v>
      </x:c>
      <x:c r="AF465" s="58" t="n">
        <x:f>AF445*$B$508+AF452*$B$509</x:f>
        <x:v>10040.0410972257</x:v>
      </x:c>
      <x:c r="AG465" s="58" t="n">
        <x:f>AG445*$B$508+AG452*$B$509</x:f>
        <x:v>10431.215843178155</x:v>
      </x:c>
      <x:c r="AH465" s="58" t="n">
        <x:f>AH445*$B$508+AH452*$B$509</x:f>
        <x:v>10840.020743598268</x:v>
      </x:c>
      <x:c r="AI465" s="58" t="n">
        <x:f>AI445*$B$508+AI452*$B$509</x:f>
        <x:v>11271.040117308727</x:v>
      </x:c>
      <x:c r="AJ465" s="58" t="n">
        <x:f>AJ445*$B$508+AJ452*$B$509</x:f>
        <x:v>11726.390653790866</x:v>
      </x:c>
      <x:c r="AK465" s="58" t="n">
        <x:f>AK445*$B$508+AK452*$B$509</x:f>
        <x:v>12208.245664405895</x:v>
      </x:c>
    </x:row>
    <x:row r="466" ht="18" customHeight="1">
      <x:c r="A466" s="4" t="str">
        <x:v>Paid users: AI cost (INR)</x:v>
      </x:c>
      <x:c r="B466" s="58" t="n">
        <x:f>B454*'Commercial Inputs'!$B$24*$B$510</x:f>
        <x:v>143.56485</x:v>
      </x:c>
      <x:c r="C466" s="58" t="n">
        <x:f>C454*'Commercial Inputs'!$B$24*$B$510</x:f>
        <x:v>283.36268317500003</x:v>
      </x:c>
      <x:c r="D466" s="58" t="n">
        <x:f>D454*'Commercial Inputs'!$B$24*$B$510</x:f>
        <x:v>428.87800990856255</x:v>
      </x:c>
      <x:c r="E466" s="58" t="n">
        <x:f>E454*'Commercial Inputs'!$B$24*$B$510</x:f>
        <x:v>634.437512012111</x:v>
      </x:c>
      <x:c r="F466" s="58" t="n">
        <x:f>F454*'Commercial Inputs'!$B$24*$B$510</x:f>
        <x:v>846.5189146903331</x:v>
      </x:c>
      <x:c r="G466" s="58" t="n">
        <x:f>G454*'Commercial Inputs'!$B$24*$B$510</x:f>
        <x:v>1070.1267127608323</x:v>
      </x:c>
      <x:c r="H466" s="58" t="n">
        <x:f>H454*'Commercial Inputs'!$B$24*$B$510</x:f>
        <x:v>1416.5864919642177</x:v>
      </x:c>
      <x:c r="I466" s="58" t="n">
        <x:f>I454*'Commercial Inputs'!$B$24*$B$510</x:f>
        <x:v>1768.6236630838828</x:v>
      </x:c>
      <x:c r="J466" s="58" t="n">
        <x:f>J454*'Commercial Inputs'!$B$24*$B$510</x:f>
        <x:v>2135.6789548814936</x:v>
      </x:c>
      <x:c r="K466" s="58" t="n">
        <x:f>K454*'Commercial Inputs'!$B$24*$B$510</x:f>
        <x:v>2523.022315647195</x:v>
      </x:c>
      <x:c r="L466" s="58" t="n">
        <x:f>L454*'Commercial Inputs'!$B$24*$B$510</x:f>
        <x:v>2933.82510328653</x:v>
      </x:c>
      <x:c r="M466" s="58" t="n">
        <x:f>M454*'Commercial Inputs'!$B$24*$B$510</x:f>
        <x:v>3371.5313726519666</x:v>
      </x:c>
      <x:c r="N466" s="58" t="n">
        <x:f>N454*'Commercial Inputs'!$B$24*$B$510</x:f>
        <x:v>3920.773020693106</x:v>
      </x:c>
      <x:c r="O466" s="58" t="n">
        <x:f>O454*'Commercial Inputs'!$B$24*$B$510</x:f>
        <x:v>4466.785969605373</x:v>
      </x:c>
      <x:c r="P466" s="58" t="n">
        <x:f>P454*'Commercial Inputs'!$B$24*$B$510</x:f>
        <x:v>5022.24848893244</x:v>
      </x:c>
      <x:c r="Q466" s="58" t="n">
        <x:f>Q454*'Commercial Inputs'!$B$24*$B$510</x:f>
        <x:v>5566.141848744889</x:v>
      </x:c>
      <x:c r="R466" s="58" t="n">
        <x:f>R454*'Commercial Inputs'!$B$24*$B$510</x:f>
        <x:v>6126.852440034105</x:v>
      </x:c>
      <x:c r="S466" s="58" t="n">
        <x:f>S454*'Commercial Inputs'!$B$24*$B$510</x:f>
        <x:v>6706.187311783297</x:v>
      </x:c>
      <x:c r="T466" s="58" t="n">
        <x:f>T454*'Commercial Inputs'!$B$24*$B$510</x:f>
        <x:v>7437.558991732762</x:v>
      </x:c>
      <x:c r="U466" s="58" t="n">
        <x:f>U454*'Commercial Inputs'!$B$24*$B$510</x:f>
        <x:v>8171.37672965429</x:v>
      </x:c>
      <x:c r="V466" s="58" t="n">
        <x:f>V454*'Commercial Inputs'!$B$24*$B$510</x:f>
        <x:v>8921.708379065069</x:v>
      </x:c>
      <x:c r="W466" s="58" t="n">
        <x:f>W454*'Commercial Inputs'!$B$24*$B$510</x:f>
        <x:v>9694.93844011629</x:v>
      </x:c>
      <x:c r="X466" s="58" t="n">
        <x:f>X454*'Commercial Inputs'!$B$24*$B$510</x:f>
        <x:v>10493.332077862537</x:v>
      </x:c>
      <x:c r="Y466" s="58" t="n">
        <x:f>Y454*'Commercial Inputs'!$B$24*$B$510</x:f>
        <x:v>11319.11460666603</x:v>
      </x:c>
      <x:c r="Z466" s="58" t="n">
        <x:f>Z454*'Commercial Inputs'!$B$24*$B$510</x:f>
        <x:v>12180.23506570618</x:v>
      </x:c>
      <x:c r="AA466" s="58" t="n">
        <x:f>AA454*'Commercial Inputs'!$B$24*$B$510</x:f>
        <x:v>13050.718358425509</x:v>
      </x:c>
      <x:c r="AB466" s="58" t="n">
        <x:f>AB454*'Commercial Inputs'!$B$24*$B$510</x:f>
        <x:v>13940.334209407541</x:v>
      </x:c>
      <x:c r="AC466" s="58" t="n">
        <x:f>AC454*'Commercial Inputs'!$B$24*$B$510</x:f>
        <x:v>14848.527706479901</x:v>
      </x:c>
      <x:c r="AD466" s="58" t="n">
        <x:f>AD454*'Commercial Inputs'!$B$24*$B$510</x:f>
        <x:v>15782.25430048362</x:v>
      </x:c>
      <x:c r="AE466" s="58" t="n">
        <x:f>AE454*'Commercial Inputs'!$B$24*$B$510</x:f>
        <x:v>16743.329515343237</x:v>
      </x:c>
      <x:c r="AF466" s="58" t="n">
        <x:f>AF454*'Commercial Inputs'!$B$24*$B$510</x:f>
        <x:v>17793.883686923382</x:v>
      </x:c>
      <x:c r="AG466" s="58" t="n">
        <x:f>AG454*'Commercial Inputs'!$B$24*$B$510</x:f>
        <x:v>18857.327228569007</x:v>
      </x:c>
      <x:c r="AH466" s="58" t="n">
        <x:f>AH454*'Commercial Inputs'!$B$24*$B$510</x:f>
        <x:v>19946.52354721239</x:v>
      </x:c>
      <x:c r="AI466" s="58" t="n">
        <x:f>AI454*'Commercial Inputs'!$B$24*$B$510</x:f>
        <x:v>21067.31719296192</x:v>
      </x:c>
      <x:c r="AJ466" s="58" t="n">
        <x:f>AJ454*'Commercial Inputs'!$B$24*$B$510</x:f>
        <x:v>22221.77317746652</x:v>
      </x:c>
      <x:c r="AK466" s="58" t="n">
        <x:f>AK454*'Commercial Inputs'!$B$24*$B$510</x:f>
        <x:v>23411.884965778117</x:v>
      </x:c>
    </x:row>
    <x:row r="467" ht="18" customHeight="1">
      <x:c r="A467" s="4" t="str">
        <x:v>Free users: AI cost (INR)</x:v>
      </x:c>
      <x:c r="B467" s="58" t="n">
        <x:f>B455*'Commercial Inputs'!$B$25*$B$510</x:f>
        <x:v>861.3891000000001</x:v>
      </x:c>
      <x:c r="C467" s="58" t="n">
        <x:f>C455*'Commercial Inputs'!$B$25*$B$510</x:f>
        <x:v>1700.17609905</x:v>
      </x:c>
      <x:c r="D467" s="58" t="n">
        <x:f>D455*'Commercial Inputs'!$B$25*$B$510</x:f>
        <x:v>2573.268059451375</x:v>
      </x:c>
      <x:c r="E467" s="58" t="n">
        <x:f>E455*'Commercial Inputs'!$B$25*$B$510</x:f>
        <x:v>3806.6250720726657</x:v>
      </x:c>
      <x:c r="F467" s="58" t="n">
        <x:f>F455*'Commercial Inputs'!$B$25*$B$510</x:f>
        <x:v>5079.1134881419985</x:v>
      </x:c>
      <x:c r="G467" s="58" t="n">
        <x:f>G455*'Commercial Inputs'!$B$25*$B$510</x:f>
        <x:v>6420.7602765649945</x:v>
      </x:c>
      <x:c r="H467" s="58" t="n">
        <x:f>H455*'Commercial Inputs'!$B$25*$B$510</x:f>
        <x:v>8499.518951785305</x:v>
      </x:c>
      <x:c r="I467" s="58" t="n">
        <x:f>I455*'Commercial Inputs'!$B$25*$B$510</x:f>
        <x:v>10611.741978503296</x:v>
      </x:c>
      <x:c r="J467" s="58" t="n">
        <x:f>J455*'Commercial Inputs'!$B$25*$B$510</x:f>
        <x:v>12814.07372928896</x:v>
      </x:c>
      <x:c r="K467" s="58" t="n">
        <x:f>K455*'Commercial Inputs'!$B$25*$B$510</x:f>
        <x:v>15138.133893883167</x:v>
      </x:c>
      <x:c r="L467" s="58" t="n">
        <x:f>L455*'Commercial Inputs'!$B$25*$B$510</x:f>
        <x:v>17602.950619719177</x:v>
      </x:c>
      <x:c r="M467" s="58" t="n">
        <x:f>M455*'Commercial Inputs'!$B$25*$B$510</x:f>
        <x:v>20229.1882359118</x:v>
      </x:c>
      <x:c r="N467" s="58" t="n">
        <x:f>N455*'Commercial Inputs'!$B$25*$B$510</x:f>
        <x:v>23524.638124158635</x:v>
      </x:c>
      <x:c r="O467" s="58" t="n">
        <x:f>O455*'Commercial Inputs'!$B$25*$B$510</x:f>
        <x:v>26800.715817632234</x:v>
      </x:c>
      <x:c r="P467" s="58" t="n">
        <x:f>P455*'Commercial Inputs'!$B$25*$B$510</x:f>
        <x:v>30133.490933594636</x:v>
      </x:c>
      <x:c r="Q467" s="58" t="n">
        <x:f>Q455*'Commercial Inputs'!$B$25*$B$510</x:f>
        <x:v>33396.85109246934</x:v>
      </x:c>
      <x:c r="R467" s="58" t="n">
        <x:f>R455*'Commercial Inputs'!$B$25*$B$510</x:f>
        <x:v>36761.11464020463</x:v>
      </x:c>
      <x:c r="S467" s="58" t="n">
        <x:f>S455*'Commercial Inputs'!$B$25*$B$510</x:f>
        <x:v>40237.12387069978</x:v>
      </x:c>
      <x:c r="T467" s="58" t="n">
        <x:f>T455*'Commercial Inputs'!$B$25*$B$510</x:f>
        <x:v>44625.35395039657</x:v>
      </x:c>
      <x:c r="U467" s="58" t="n">
        <x:f>U455*'Commercial Inputs'!$B$25*$B$510</x:f>
        <x:v>49028.26037792574</x:v>
      </x:c>
      <x:c r="V467" s="58" t="n">
        <x:f>V455*'Commercial Inputs'!$B$25*$B$510</x:f>
        <x:v>53530.25027439042</x:v>
      </x:c>
      <x:c r="W467" s="58" t="n">
        <x:f>W455*'Commercial Inputs'!$B$25*$B$510</x:f>
        <x:v>58169.63064069773</x:v>
      </x:c>
      <x:c r="X467" s="58" t="n">
        <x:f>X455*'Commercial Inputs'!$B$25*$B$510</x:f>
        <x:v>62959.992467175216</x:v>
      </x:c>
      <x:c r="Y467" s="58" t="n">
        <x:f>Y455*'Commercial Inputs'!$B$25*$B$510</x:f>
        <x:v>67914.68763999618</x:v>
      </x:c>
      <x:c r="Z467" s="58" t="n">
        <x:f>Z455*'Commercial Inputs'!$B$25*$B$510</x:f>
        <x:v>73081.41039423709</x:v>
      </x:c>
      <x:c r="AA467" s="58" t="n">
        <x:f>AA455*'Commercial Inputs'!$B$25*$B$510</x:f>
        <x:v>78304.31015055305</x:v>
      </x:c>
      <x:c r="AB467" s="58" t="n">
        <x:f>AB455*'Commercial Inputs'!$B$25*$B$510</x:f>
        <x:v>83642.00525644525</x:v>
      </x:c>
      <x:c r="AC467" s="58" t="n">
        <x:f>AC455*'Commercial Inputs'!$B$25*$B$510</x:f>
        <x:v>89091.1662388794</x:v>
      </x:c>
      <x:c r="AD467" s="58" t="n">
        <x:f>AD455*'Commercial Inputs'!$B$25*$B$510</x:f>
        <x:v>94693.52580290173</x:v>
      </x:c>
      <x:c r="AE467" s="58" t="n">
        <x:f>AE455*'Commercial Inputs'!$B$25*$B$510</x:f>
        <x:v>100459.97709205942</x:v>
      </x:c>
      <x:c r="AF467" s="58" t="n">
        <x:f>AF455*'Commercial Inputs'!$B$25*$B$510</x:f>
        <x:v>106763.3021215403</x:v>
      </x:c>
      <x:c r="AG467" s="58" t="n">
        <x:f>AG455*'Commercial Inputs'!$B$25*$B$510</x:f>
        <x:v>113143.96337141404</x:v>
      </x:c>
      <x:c r="AH467" s="58" t="n">
        <x:f>AH455*'Commercial Inputs'!$B$25*$B$510</x:f>
        <x:v>119679.14128327432</x:v>
      </x:c>
      <x:c r="AI467" s="58" t="n">
        <x:f>AI455*'Commercial Inputs'!$B$25*$B$510</x:f>
        <x:v>126403.9031577715</x:v>
      </x:c>
      <x:c r="AJ467" s="58" t="n">
        <x:f>AJ455*'Commercial Inputs'!$B$25*$B$510</x:f>
        <x:v>133330.6390647991</x:v>
      </x:c>
      <x:c r="AK467" s="58" t="n">
        <x:f>AK455*'Commercial Inputs'!$B$25*$B$510</x:f>
        <x:v>140471.3097946687</x:v>
      </x:c>
    </x:row>
    <x:row r="468" ht="18" customHeight="1">
      <x:c r="A468" s="4" t="str">
        <x:v>Variable support/tools (INR)</x:v>
      </x:c>
      <x:c r="B468" s="58" t="n">
        <x:f>B454*'Commercial Inputs'!$B$28</x:f>
        <x:v>111.55</x:v>
      </x:c>
      <x:c r="C468" s="58" t="n">
        <x:f>C454*'Commercial Inputs'!$B$28</x:f>
        <x:v>220.173025</x:v>
      </x:c>
      <x:c r="D468" s="58" t="n">
        <x:f>D454*'Commercial Inputs'!$B$28</x:f>
        <x:v>333.2385469375</x:v>
      </x:c>
      <x:c r="E468" s="58" t="n">
        <x:f>E454*'Commercial Inputs'!$B$28</x:f>
        <x:v>492.95843979185</x:v>
      </x:c>
      <x:c r="F468" s="58" t="n">
        <x:f>F454*'Commercial Inputs'!$B$28</x:f>
        <x:v>657.7458544602432</x:v>
      </x:c>
      <x:c r="G468" s="58" t="n">
        <x:f>G454*'Commercial Inputs'!$B$28</x:f>
        <x:v>831.489287304454</x:v>
      </x:c>
      <x:c r="H468" s="58" t="n">
        <x:f>H454*'Commercial Inputs'!$B$28</x:f>
        <x:v>1100.688804945002</x:v>
      </x:c>
      <x:c r="I468" s="58" t="n">
        <x:f>I454*'Commercial Inputs'!$B$28</x:f>
        <x:v>1374.2219604381373</x:v>
      </x:c>
      <x:c r="J468" s="58" t="n">
        <x:f>J454*'Commercial Inputs'!$B$28</x:f>
        <x:v>1659.4242073671276</x:v>
      </x:c>
      <x:c r="K468" s="58" t="n">
        <x:f>K454*'Commercial Inputs'!$B$28</x:f>
        <x:v>1960.39029964817</x:v>
      </x:c>
      <x:c r="L468" s="58" t="n">
        <x:f>L454*'Commercial Inputs'!$B$28</x:f>
        <x:v>2279.584384838018</x:v>
      </x:c>
      <x:c r="M468" s="58" t="n">
        <x:f>M454*'Commercial Inputs'!$B$28</x:f>
        <x:v>2619.6824962330743</x:v>
      </x:c>
      <x:c r="N468" s="58" t="n">
        <x:f>N454*'Commercial Inputs'!$B$28</x:f>
        <x:v>3046.443683522227</x:v>
      </x:c>
      <x:c r="O468" s="58" t="n">
        <x:f>O454*'Commercial Inputs'!$B$28</x:f>
        <x:v>3470.696169079543</x:v>
      </x:c>
      <x:c r="P468" s="58" t="n">
        <x:f>P454*'Commercial Inputs'!$B$28</x:f>
        <x:v>3902.2909781914836</x:v>
      </x:c>
      <x:c r="Q468" s="58" t="n">
        <x:f>Q454*'Commercial Inputs'!$B$28</x:f>
        <x:v>4324.8965413713195</x:v>
      </x:c>
      <x:c r="R468" s="58" t="n">
        <x:f>R454*'Commercial Inputs'!$B$28</x:f>
        <x:v>4760.569106475606</x:v>
      </x:c>
      <x:c r="S468" s="58" t="n">
        <x:f>S454*'Commercial Inputs'!$B$28</x:f>
        <x:v>5210.7127519683745</x:v>
      </x:c>
      <x:c r="T468" s="58" t="n">
        <x:f>T454*'Commercial Inputs'!$B$28</x:f>
        <x:v>5778.989115565471</x:v>
      </x:c>
      <x:c r="U468" s="58" t="n">
        <x:f>U454*'Commercial Inputs'!$B$28</x:f>
        <x:v>6349.166068107452</x:v>
      </x:c>
      <x:c r="V468" s="58" t="n">
        <x:f>V454*'Commercial Inputs'!$B$28</x:f>
        <x:v>6932.174342707902</x:v>
      </x:c>
      <x:c r="W468" s="58" t="n">
        <x:f>W454*'Commercial Inputs'!$B$28</x:f>
        <x:v>7532.974700945057</x:v>
      </x:c>
      <x:c r="X468" s="58" t="n">
        <x:f>X454*'Commercial Inputs'!$B$28</x:f>
        <x:v>8153.327177826368</x:v>
      </x:c>
      <x:c r="Y468" s="58" t="n">
        <x:f>Y454*'Commercial Inputs'!$B$28</x:f>
        <x:v>8794.960844340349</x:v>
      </x:c>
      <x:c r="Z468" s="58" t="n">
        <x:f>Z454*'Commercial Inputs'!$B$28</x:f>
        <x:v>9464.052110105811</x:v>
      </x:c>
      <x:c r="AA468" s="58" t="n">
        <x:f>AA454*'Commercial Inputs'!$B$28</x:f>
        <x:v>10140.418304914925</x:v>
      </x:c>
      <x:c r="AB468" s="58" t="n">
        <x:f>AB454*'Commercial Inputs'!$B$28</x:f>
        <x:v>10831.650512360173</x:v>
      </x:c>
      <x:c r="AC468" s="58" t="n">
        <x:f>AC454*'Commercial Inputs'!$B$28</x:f>
        <x:v>11537.317565252448</x:v>
      </x:c>
      <x:c r="AD468" s="58" t="n">
        <x:f>AD454*'Commercial Inputs'!$B$28</x:f>
        <x:v>12262.823854299626</x:v>
      </x:c>
      <x:c r="AE468" s="58" t="n">
        <x:f>AE454*'Commercial Inputs'!$B$28</x:f>
        <x:v>13009.580043001737</x:v>
      </x:c>
      <x:c r="AF468" s="58" t="n">
        <x:f>AF454*'Commercial Inputs'!$B$28</x:f>
        <x:v>13825.861450600916</x:v>
      </x:c>
      <x:c r="AG468" s="58" t="n">
        <x:f>AG454*'Commercial Inputs'!$B$28</x:f>
        <x:v>14652.157908756026</x:v>
      </x:c>
      <x:c r="AH468" s="58" t="n">
        <x:f>AH454*'Commercial Inputs'!$B$28</x:f>
        <x:v>15498.464294648318</x:v>
      </x:c>
      <x:c r="AI468" s="58" t="n">
        <x:f>AI454*'Commercial Inputs'!$B$28</x:f>
        <x:v>16369.32182825324</x:v>
      </x:c>
      <x:c r="AJ468" s="58" t="n">
        <x:f>AJ454*'Commercial Inputs'!$B$28</x:f>
        <x:v>17266.335025226508</x:v>
      </x:c>
      <x:c r="AK468" s="58" t="n">
        <x:f>AK454*'Commercial Inputs'!$B$28</x:f>
        <x:v>18191.052809462406</x:v>
      </x:c>
    </x:row>
    <x:row r="469" ht="18" customHeight="1">
      <x:c r="A469" s="4" t="str">
        <x:v>Total direct costs (INR)</x:v>
      </x:c>
      <x:c r="B469" s="58" t="n">
        <x:f>SUM(B464:B468)</x:f>
        <x:v>6955.4226984745765</x:v>
      </x:c>
      <x:c r="C469" s="58" t="n">
        <x:f>SUM(C464:C468)</x:f>
        <x:v>8692.288877306017</x:v>
      </x:c>
      <x:c r="D469" s="58" t="n">
        <x:f>SUM(D464:D468)</x:f>
        <x:v>10491.025294879817</x:v>
      </x:c>
      <x:c r="E469" s="58" t="n">
        <x:f>SUM(E464:E468)</x:f>
        <x:v>14841.326194223928</x:v>
      </x:c>
      <x:c r="F469" s="58" t="n">
        <x:f>SUM(F464:F468)</x:f>
        <x:v>17342.420198403735</x:v>
      </x:c>
      <x:c r="G469" s="58" t="n">
        <x:f>SUM(G464:G468)</x:f>
        <x:v>19989.838033498607</x:v>
      </x:c>
      <x:c r="H469" s="58" t="n">
        <x:f>SUM(H464:H468)</x:f>
        <x:v>28072.63651151692</x:v>
      </x:c>
      <x:c r="I469" s="58" t="n">
        <x:f>SUM(I464:I468)</x:f>
        <x:v>32037.16197018938</x:v>
      </x:c>
      <x:c r="J469" s="58" t="n">
        <x:f>SUM(J464:J468)</x:f>
        <x:v>36187.273654401004</x:v>
      </x:c>
      <x:c r="K469" s="58" t="n">
        <x:f>SUM(K464:K468)</x:f>
        <x:v>40604.201226278776</x:v>
      </x:c>
      <x:c r="L469" s="58" t="n">
        <x:f>SUM(L464:L468)</x:f>
        <x:v>45332.489537376525</x:v>
      </x:c>
      <x:c r="M469" s="58" t="n">
        <x:f>SUM(M464:M468)</x:f>
        <x:v>50420.194876681606</x:v>
      </x:c>
      <x:c r="N469" s="58" t="n">
        <x:f>SUM(N464:N468)</x:f>
        <x:v>64545.01795859016</x:v>
      </x:c>
      <x:c r="O469" s="58" t="n">
        <x:f>SUM(O464:O468)</x:f>
        <x:v>70546.98280802087</x:v>
      </x:c>
      <x:c r="P469" s="58" t="n">
        <x:f>SUM(P464:P468)</x:f>
        <x:v>76662.48696030857</x:v>
      </x:c>
      <x:c r="Q469" s="58" t="n">
        <x:f>SUM(Q464:Q468)</x:f>
        <x:v>83335.91266601949</x:v>
      </x:c>
      <x:c r="R469" s="58" t="n">
        <x:f>SUM(R464:R468)</x:f>
        <x:v>89689.57142256892</x:v>
      </x:c>
      <x:c r="S469" s="58" t="n">
        <x:f>SUM(S464:S468)</x:f>
        <x:v>96311.66993293831</x:v>
      </x:c>
      <x:c r="T469" s="58" t="n">
        <x:f>SUM(T464:T468)</x:f>
        <x:v>113157.56955580977</x:v>
      </x:c>
      <x:c r="U469" s="58" t="n">
        <x:f>SUM(U464:U468)</x:f>
        <x:v>121533.74732729663</x:v>
      </x:c>
      <x:c r="V469" s="58" t="n">
        <x:f>SUM(V464:V468)</x:f>
        <x:v>130145.62781999147</x:v>
      </x:c>
      <x:c r="W469" s="58" t="n">
        <x:f>SUM(W464:W468)</x:f>
        <x:v>139104.2173675311</x:v>
      </x:c>
      <x:c r="X469" s="58" t="n">
        <x:f>SUM(X464:X468)</x:f>
        <x:v>148451.409082468</x:v>
      </x:c>
      <x:c r="Y469" s="58" t="n">
        <x:f>SUM(Y464:Y468)</x:f>
        <x:v>158229.50372694596</x:v>
      </x:c>
      <x:c r="Z469" s="58" t="n">
        <x:f>SUM(Z464:Z468)</x:f>
        <x:v>175364.83424013807</x:v>
      </x:c>
      <x:c r="AA469" s="58" t="n">
        <x:f>SUM(AA464:AA468)</x:f>
        <x:v>185277.01873048584</x:v>
      </x:c>
      <x:c r="AB469" s="58" t="n">
        <x:f>SUM(AB464:AB468)</x:f>
        <x:v>195446.07981321678</x:v>
      </x:c>
      <x:c r="AC469" s="58" t="n">
        <x:f>SUM(AC464:AC468)</x:f>
        <x:v>206207.47388617662</x:v>
      </x:c>
      <x:c r="AD469" s="58" t="n">
        <x:f>SUM(AD464:AD468)</x:f>
        <x:v>217038.74393242225</x:v>
      </x:c>
      <x:c r="AE469" s="58" t="n">
        <x:f>SUM(AE464:AE468)</x:f>
        <x:v>228269.72583665256</x:v>
      </x:c>
      <x:c r="AF469" s="58" t="n">
        <x:f>SUM(AF464:AF468)</x:f>
        <x:v>250151.75653627492</x:v>
      </x:c>
      <x:c r="AG469" s="58" t="n">
        <x:f>SUM(AG464:AG468)</x:f>
        <x:v>262839.5507215937</x:v>
      </x:c>
      <x:c r="AH469" s="58" t="n">
        <x:f>SUM(AH464:AH468)</x:f>
        <x:v>275908.4976797305</x:v>
      </x:c>
      <x:c r="AI469" s="58" t="n">
        <x:f>SUM(AI464:AI468)</x:f>
        <x:v>289462.4448574524</x:v>
      </x:c>
      <x:c r="AJ469" s="58" t="n">
        <x:f>SUM(AJ464:AJ468)</x:f>
        <x:v>303541.97284638154</x:v>
      </x:c>
      <x:c r="AK469" s="58" t="n">
        <x:f>SUM(AK464:AK468)</x:f>
        <x:v>318187.56772447616</x:v>
      </x:c>
    </x:row>
    <x:row r="470" ht="18" customHeight="1">
      <x:c r="A470" s="74" t="str">
        <x:v>CONTRIBUTION BEFORE ACQUISITION / FIXED</x:v>
      </x:c>
      <x:c r="B470" s="75" t="n">
        <x:f>B458-B469</x:f>
        <x:v>-724.5823838559327</x:v>
      </x:c>
      <x:c r="C470" s="75" t="n">
        <x:f>C458-C469</x:f>
        <x:v>3306.1241623075457</x:v>
      </x:c>
      <x:c r="D470" s="75" t="n">
        <x:f>D458-D469</x:f>
        <x:v>7385.904907557715</x:v>
      </x:c>
      <x:c r="E470" s="75" t="n">
        <x:f>E458-E469</x:f>
        <x:v>11440.45903093495</x:v>
      </x:c>
      <x:c r="F470" s="75" t="n">
        <x:f>F458-F469</x:f>
        <x:v>17442.182269743193</x:v>
      </x:c>
      <x:c r="G470" s="75" t="n">
        <x:f>G458-G469</x:f>
        <x:v>23674.892090819434</x:v>
      </x:c>
      <x:c r="H470" s="75" t="n">
        <x:f>H458-H469</x:f>
        <x:v>29701.34658164164</x:v>
      </x:c>
      <x:c r="I470" s="75" t="n">
        <x:f>I458-I469</x:f>
        <x:v>39756.45156533095</x:v>
      </x:c>
      <x:c r="J470" s="75" t="n">
        <x:f>J458-J469</x:f>
        <x:v>50081.54953393326</x:v>
      </x:c>
      <x:c r="K470" s="75" t="n">
        <x:f>K458-K469</x:f>
        <x:v>60869.87671534429</x:v>
      </x:c>
      <x:c r="L470" s="75" t="n">
        <x:f>L458-L469</x:f>
        <x:v>72211.19328365219</x:v>
      </x:c>
      <x:c r="M470" s="75" t="n">
        <x:f>M458-M469</x:f>
        <x:v>84201.02775515983</x:v>
      </x:c>
      <x:c r="N470" s="75" t="n">
        <x:f>N458-N469</x:f>
        <x:v>92334.81241943076</x:v>
      </x:c>
      <x:c r="O470" s="75" t="n">
        <x:f>O458-O469</x:f>
        <x:v>107983.7018465224</x:v>
      </x:c>
      <x:c r="P470" s="75" t="n">
        <x:f>P458-P469</x:f>
        <x:v>123688.99781830265</x:v>
      </x:c>
      <x:c r="Q470" s="75" t="n">
        <x:f>Q458-Q469</x:f>
        <x:v>138354.34712239724</x:v>
      </x:c>
      <x:c r="R470" s="75" t="n">
        <x:f>R458-R469</x:f>
        <x:v>153920.6943129099</x:v>
      </x:c>
      <x:c r="S470" s="75" t="n">
        <x:f>S458-S469</x:f>
        <x:v>169884.5381178715</x:v>
      </x:c>
      <x:c r="T470" s="75" t="n">
        <x:f>T458-T469</x:f>
        <x:v>182468.6493907302</x:v>
      </x:c>
      <x:c r="U470" s="75" t="n">
        <x:f>U458-U469</x:f>
        <x:v>203099.42660369113</x:v>
      </x:c>
      <x:c r="V470" s="75" t="n">
        <x:f>V458-V469</x:f>
        <x:v>223929.42152160886</x:v>
      </x:c>
      <x:c r="W470" s="75" t="n">
        <x:f>W458-W469</x:f>
        <x:v>245217.42718221567</x:v>
      </x:c>
      <x:c r="X470" s="75" t="n">
        <x:f>X458-X469</x:f>
        <x:v>267029.15554314</x:v>
      </x:c>
      <x:c r="Y470" s="75" t="n">
        <x:f>Y458-Y469</x:f>
        <x:v>289426.39944076235</x:v>
      </x:c>
      <x:c r="Z470" s="75" t="n">
        <x:f>Z458-Z469</x:f>
        <x:v>306488.05124268634</x:v>
      </x:c>
      <x:c r="AA470" s="75" t="n">
        <x:f>AA458-AA469</x:f>
        <x:v>330753.1463217662</x:v>
      </x:c>
      <x:c r="AB470" s="75" t="n">
        <x:f>AB458-AB469</x:f>
        <x:v>355333.9054333712</x:v>
      </x:c>
      <x:c r="AC470" s="75" t="n">
        <x:f>AC458-AC469</x:f>
        <x:v>379967.4042065891</x:v>
      </x:c>
      <x:c r="AD470" s="75" t="n">
        <x:f>AD458-AD469</x:f>
        <x:v>405453.02246326953</x:v>
      </x:c>
      <x:c r="AE470" s="75" t="n">
        <x:f>AE458-AE469</x:f>
        <x:v>431546.8283984731</x:v>
      </x:c>
      <x:c r="AF470" s="75" t="n">
        <x:f>AF458-AF469</x:f>
        <x:v>451442.8877758945</x:v>
      </x:c>
      <x:c r="AG470" s="75" t="n">
        <x:f>AG458-AG469</x:f>
        <x:v>480564.42996215966</x:v>
      </x:c>
      <x:c r="AH470" s="75" t="n">
        <x:f>AH458-AH469</x:f>
        <x:v>510120.5002371328</x:v>
      </x:c>
      <x:c r="AI470" s="75" t="n">
        <x:f>AI458-AI469</x:f>
        <x:v>540346.4050516154</x:v>
      </x:c>
      <x:c r="AJ470" s="75" t="n">
        <x:f>AJ458-AJ469</x:f>
        <x:v>571300.8618331021</x:v>
      </x:c>
      <x:c r="AK470" s="75" t="n">
        <x:f>AK458-AK469</x:f>
        <x:v>603037.9763866684</x:v>
      </x:c>
    </x:row>
    <x:row r="471" ht="18" customHeight="1">
      <x:c r="A471" s="4" t="str">
        <x:v>Contribution margin (%)</x:v>
      </x:c>
      <x:c r="B471" s="62" t="n">
        <x:f>IFERROR(B470/B458,0)</x:f>
        <x:v>-0.11628967318516177</x:v>
      </x:c>
      <x:c r="C471" s="62" t="n">
        <x:f>IFERROR(C470/C458,0)</x:f>
        <x:v>0.27554678701192864</x:v>
      </x:c>
      <x:c r="D471" s="62" t="n">
        <x:f>IFERROR(D470/D458,0)</x:f>
        <x:v>0.4131528637142993</x:v>
      </x:c>
      <x:c r="E471" s="62" t="n">
        <x:f>IFERROR(E470/E458,0)</x:f>
        <x:v>0.4352999209499396</x:v>
      </x:c>
      <x:c r="F471" s="62" t="n">
        <x:f>IFERROR(F470/F458,0)</x:f>
        <x:v>0.501433997577388</x:v>
      </x:c>
      <x:c r="G471" s="62" t="n">
        <x:f>IFERROR(G470/G458,0)</x:f>
        <x:v>0.5421971468371509</x:v>
      </x:c>
      <x:c r="H471" s="62" t="n">
        <x:f>IFERROR(H470/H458,0)</x:f>
        <x:v>0.5140955321316385</x:v>
      </x:c>
      <x:c r="I471" s="62" t="n">
        <x:f>IFERROR(I470/I458,0)</x:f>
        <x:v>0.5537602804413961</x:v>
      </x:c>
      <x:c r="J471" s="62" t="n">
        <x:f>IFERROR(J470/J458,0)</x:f>
        <x:v>0.5805289522102297</x:v>
      </x:c>
      <x:c r="K471" s="62" t="n">
        <x:f>IFERROR(K470/K458,0)</x:f>
        <x:v>0.5998564160431403</x:v>
      </x:c>
      <x:c r="L471" s="62" t="n">
        <x:f>IFERROR(L470/L458,0)</x:f>
        <x:v>0.6143349565931204</x:v>
      </x:c>
      <x:c r="M471" s="62" t="n">
        <x:f>IFERROR(M470/M458,0)</x:f>
        <x:v>0.6254662237426752</x:v>
      </x:c>
      <x:c r="N471" s="62" t="n">
        <x:f>IFERROR(N470/N458,0)</x:f>
        <x:v>0.5885703228830556</x:v>
      </x:c>
      <x:c r="O471" s="62" t="n">
        <x:f>IFERROR(O470/O458,0)</x:f>
        <x:v>0.6048467357612546</x:v>
      </x:c>
      <x:c r="P471" s="62" t="n">
        <x:f>IFERROR(P470/P458,0)</x:f>
        <x:v>0.6173600258314993</x:v>
      </x:c>
      <x:c r="Q471" s="62" t="n">
        <x:f>IFERROR(Q470/Q458,0)</x:f>
        <x:v>0.6240885244775478</x:v>
      </x:c>
      <x:c r="R471" s="62" t="n">
        <x:f>IFERROR(R470/R458,0)</x:f>
        <x:v>0.6318317245302084</x:v>
      </x:c>
      <x:c r="S471" s="62" t="n">
        <x:f>IFERROR(S470/S458,0)</x:f>
        <x:v>0.638192930552358</x:v>
      </x:c>
      <x:c r="T471" s="62" t="n">
        <x:f>IFERROR(T470/T458,0)</x:f>
        <x:v>0.6172275586412963</x:v>
      </x:c>
      <x:c r="U471" s="62" t="n">
        <x:f>IFERROR(U470/U458,0)</x:f>
        <x:v>0.6256274555811941</x:v>
      </x:c>
      <x:c r="V471" s="62" t="n">
        <x:f>IFERROR(V470/V458,0)</x:f>
        <x:v>0.6324349087517005</x:v>
      </x:c>
      <x:c r="W471" s="62" t="n">
        <x:f>IFERROR(W470/W458,0)</x:f>
        <x:v>0.6380526068717803</x:v>
      </x:c>
      <x:c r="X471" s="62" t="n">
        <x:f>IFERROR(X470/X458,0)</x:f>
        <x:v>0.6426995105866421</x:v>
      </x:c>
      <x:c r="Y471" s="62" t="n">
        <x:f>IFERROR(Y470/Y458,0)</x:f>
        <x:v>0.6465376584843842</x:v>
      </x:c>
      <x:c r="Z471" s="62" t="n">
        <x:f>IFERROR(Z470/Z458,0)</x:f>
        <x:v>0.6360614628997818</x:v>
      </x:c>
      <x:c r="AA471" s="62" t="n">
        <x:f>IFERROR(AA470/AA458,0)</x:f>
        <x:v>0.6409569996519</x:v>
      </x:c>
      <x:c r="AB471" s="62" t="n">
        <x:f>IFERROR(AB470/AB458,0)</x:f>
        <x:v>0.6451467281881816</x:v>
      </x:c>
      <x:c r="AC471" s="62" t="n">
        <x:f>IFERROR(AC470/AC458,0)</x:f>
        <x:v>0.6482150948585296</x:v>
      </x:c>
      <x:c r="AD471" s="62" t="n">
        <x:f>IFERROR(AD470/AD458,0)</x:f>
        <x:v>0.6513387716128283</x:v>
      </x:c>
      <x:c r="AE471" s="62" t="n">
        <x:f>IFERROR(AE470/AE458,0)</x:f>
        <x:v>0.6540406202732091</x:v>
      </x:c>
      <x:c r="AF471" s="62" t="n">
        <x:f>IFERROR(AF470/AF458,0)</x:f>
        <x:v>0.6434525853863677</x:v>
      </x:c>
      <x:c r="AG471" s="62" t="n">
        <x:f>IFERROR(AG470/AG458,0)</x:f>
        <x:v>0.6464377948583967</x:v>
      </x:c>
      <x:c r="AH471" s="62" t="n">
        <x:f>IFERROR(AH470/AH458,0)</x:f>
        <x:v>0.6489843270274454</x:v>
      </x:c>
      <x:c r="AI471" s="62" t="n">
        <x:f>IFERROR(AI470/AI458,0)</x:f>
        <x:v>0.6511697303672137</x:v>
      </x:c>
      <x:c r="AJ471" s="62" t="n">
        <x:f>IFERROR(AJ470/AJ458,0)</x:f>
        <x:v>0.6530325667494432</x:v>
      </x:c>
      <x:c r="AK471" s="62" t="n">
        <x:f>IFERROR(AK470/AK458,0)</x:f>
        <x:v>0.6546040546113132</x:v>
      </x:c>
    </x:row>
    <x:row r="472" ht="18" customHeight="1">
      <x:c r="A472" s="4" t="str">
        <x:v>Core operating overhead (INR)</x:v>
      </x:c>
      <x:c r="B472" s="60" t="n">
        <x:f>'Scenario Inputs'!$C$24</x:f>
        <x:v>10000</x:v>
      </x:c>
      <x:c r="C472" s="60" t="n">
        <x:f>'Scenario Inputs'!$C$24</x:f>
        <x:v>10000</x:v>
      </x:c>
      <x:c r="D472" s="60" t="n">
        <x:f>'Scenario Inputs'!$C$24</x:f>
        <x:v>10000</x:v>
      </x:c>
      <x:c r="E472" s="60" t="n">
        <x:f>'Scenario Inputs'!$C$24</x:f>
        <x:v>10000</x:v>
      </x:c>
      <x:c r="F472" s="60" t="n">
        <x:f>'Scenario Inputs'!$C$24</x:f>
        <x:v>10000</x:v>
      </x:c>
      <x:c r="G472" s="60" t="n">
        <x:f>'Scenario Inputs'!$C$24</x:f>
        <x:v>10000</x:v>
      </x:c>
      <x:c r="H472" s="60" t="n">
        <x:f>'Scenario Inputs'!$C$24</x:f>
        <x:v>10000</x:v>
      </x:c>
      <x:c r="I472" s="60" t="n">
        <x:f>'Scenario Inputs'!$C$24</x:f>
        <x:v>10000</x:v>
      </x:c>
      <x:c r="J472" s="60" t="n">
        <x:f>'Scenario Inputs'!$C$24</x:f>
        <x:v>10000</x:v>
      </x:c>
      <x:c r="K472" s="60" t="n">
        <x:f>'Scenario Inputs'!$C$24</x:f>
        <x:v>10000</x:v>
      </x:c>
      <x:c r="L472" s="60" t="n">
        <x:f>'Scenario Inputs'!$C$24</x:f>
        <x:v>10000</x:v>
      </x:c>
      <x:c r="M472" s="60" t="n">
        <x:f>'Scenario Inputs'!$C$24</x:f>
        <x:v>10000</x:v>
      </x:c>
      <x:c r="N472" s="60" t="n">
        <x:f>'Scenario Inputs'!$C$25</x:f>
        <x:v>15000</x:v>
      </x:c>
      <x:c r="O472" s="60" t="n">
        <x:f>'Scenario Inputs'!$C$25</x:f>
        <x:v>15000</x:v>
      </x:c>
      <x:c r="P472" s="60" t="n">
        <x:f>'Scenario Inputs'!$C$25</x:f>
        <x:v>15000</x:v>
      </x:c>
      <x:c r="Q472" s="60" t="n">
        <x:f>'Scenario Inputs'!$C$25</x:f>
        <x:v>15000</x:v>
      </x:c>
      <x:c r="R472" s="60" t="n">
        <x:f>'Scenario Inputs'!$C$25</x:f>
        <x:v>15000</x:v>
      </x:c>
      <x:c r="S472" s="60" t="n">
        <x:f>'Scenario Inputs'!$C$25</x:f>
        <x:v>15000</x:v>
      </x:c>
      <x:c r="T472" s="60" t="n">
        <x:f>'Scenario Inputs'!$C$25</x:f>
        <x:v>15000</x:v>
      </x:c>
      <x:c r="U472" s="60" t="n">
        <x:f>'Scenario Inputs'!$C$25</x:f>
        <x:v>15000</x:v>
      </x:c>
      <x:c r="V472" s="60" t="n">
        <x:f>'Scenario Inputs'!$C$25</x:f>
        <x:v>15000</x:v>
      </x:c>
      <x:c r="W472" s="60" t="n">
        <x:f>'Scenario Inputs'!$C$25</x:f>
        <x:v>15000</x:v>
      </x:c>
      <x:c r="X472" s="60" t="n">
        <x:f>'Scenario Inputs'!$C$25</x:f>
        <x:v>15000</x:v>
      </x:c>
      <x:c r="Y472" s="60" t="n">
        <x:f>'Scenario Inputs'!$C$25</x:f>
        <x:v>15000</x:v>
      </x:c>
      <x:c r="Z472" s="60" t="n">
        <x:f>'Scenario Inputs'!$C$26</x:f>
        <x:v>25000</x:v>
      </x:c>
      <x:c r="AA472" s="60" t="n">
        <x:f>'Scenario Inputs'!$C$26</x:f>
        <x:v>25000</x:v>
      </x:c>
      <x:c r="AB472" s="60" t="n">
        <x:f>'Scenario Inputs'!$C$26</x:f>
        <x:v>25000</x:v>
      </x:c>
      <x:c r="AC472" s="60" t="n">
        <x:f>'Scenario Inputs'!$C$26</x:f>
        <x:v>25000</x:v>
      </x:c>
      <x:c r="AD472" s="60" t="n">
        <x:f>'Scenario Inputs'!$C$26</x:f>
        <x:v>25000</x:v>
      </x:c>
      <x:c r="AE472" s="60" t="n">
        <x:f>'Scenario Inputs'!$C$26</x:f>
        <x:v>25000</x:v>
      </x:c>
      <x:c r="AF472" s="60" t="n">
        <x:f>'Scenario Inputs'!$C$26</x:f>
        <x:v>25000</x:v>
      </x:c>
      <x:c r="AG472" s="60" t="n">
        <x:f>'Scenario Inputs'!$C$26</x:f>
        <x:v>25000</x:v>
      </x:c>
      <x:c r="AH472" s="60" t="n">
        <x:f>'Scenario Inputs'!$C$26</x:f>
        <x:v>25000</x:v>
      </x:c>
      <x:c r="AI472" s="60" t="n">
        <x:f>'Scenario Inputs'!$C$26</x:f>
        <x:v>25000</x:v>
      </x:c>
      <x:c r="AJ472" s="60" t="n">
        <x:f>'Scenario Inputs'!$C$26</x:f>
        <x:v>25000</x:v>
      </x:c>
      <x:c r="AK472" s="60" t="n">
        <x:f>'Scenario Inputs'!$C$26</x:f>
        <x:v>25000</x:v>
      </x:c>
    </x:row>
    <x:row r="473" ht="18" customHeight="1">
      <x:c r="A473" s="4" t="str">
        <x:v>Scaled technical QA reserve (INR)</x:v>
      </x:c>
      <x:c r="B473" s="58" t="n">
        <x:f>IF(B454&gt;='Commercial Inputs'!$B$38,'Commercial Inputs'!$B$42,IF(B454&gt;='Commercial Inputs'!$B$37,'Commercial Inputs'!$B$41,IF(B454&gt;='Commercial Inputs'!$B$36,'Commercial Inputs'!$B$40,IF(B454&gt;='Commercial Inputs'!$B$35,'Commercial Inputs'!$B$39,0))))</x:f>
        <x:v>0</x:v>
      </x:c>
      <x:c r="C473" s="58" t="n">
        <x:f>IF(C454&gt;='Commercial Inputs'!$B$38,'Commercial Inputs'!$B$42,IF(C454&gt;='Commercial Inputs'!$B$37,'Commercial Inputs'!$B$41,IF(C454&gt;='Commercial Inputs'!$B$36,'Commercial Inputs'!$B$40,IF(C454&gt;='Commercial Inputs'!$B$35,'Commercial Inputs'!$B$39,0))))</x:f>
        <x:v>0</x:v>
      </x:c>
      <x:c r="D473" s="58" t="n">
        <x:f>IF(D454&gt;='Commercial Inputs'!$B$38,'Commercial Inputs'!$B$42,IF(D454&gt;='Commercial Inputs'!$B$37,'Commercial Inputs'!$B$41,IF(D454&gt;='Commercial Inputs'!$B$36,'Commercial Inputs'!$B$40,IF(D454&gt;='Commercial Inputs'!$B$35,'Commercial Inputs'!$B$39,0))))</x:f>
        <x:v>0</x:v>
      </x:c>
      <x:c r="E473" s="58" t="n">
        <x:f>IF(E454&gt;='Commercial Inputs'!$B$38,'Commercial Inputs'!$B$42,IF(E454&gt;='Commercial Inputs'!$B$37,'Commercial Inputs'!$B$41,IF(E454&gt;='Commercial Inputs'!$B$36,'Commercial Inputs'!$B$40,IF(E454&gt;='Commercial Inputs'!$B$35,'Commercial Inputs'!$B$39,0))))</x:f>
        <x:v>0</x:v>
      </x:c>
      <x:c r="F473" s="58" t="n">
        <x:f>IF(F454&gt;='Commercial Inputs'!$B$38,'Commercial Inputs'!$B$42,IF(F454&gt;='Commercial Inputs'!$B$37,'Commercial Inputs'!$B$41,IF(F454&gt;='Commercial Inputs'!$B$36,'Commercial Inputs'!$B$40,IF(F454&gt;='Commercial Inputs'!$B$35,'Commercial Inputs'!$B$39,0))))</x:f>
        <x:v>0</x:v>
      </x:c>
      <x:c r="G473" s="58" t="n">
        <x:f>IF(G454&gt;='Commercial Inputs'!$B$38,'Commercial Inputs'!$B$42,IF(G454&gt;='Commercial Inputs'!$B$37,'Commercial Inputs'!$B$41,IF(G454&gt;='Commercial Inputs'!$B$36,'Commercial Inputs'!$B$40,IF(G454&gt;='Commercial Inputs'!$B$35,'Commercial Inputs'!$B$39,0))))</x:f>
        <x:v>0</x:v>
      </x:c>
      <x:c r="H473" s="58" t="n">
        <x:f>IF(H454&gt;='Commercial Inputs'!$B$38,'Commercial Inputs'!$B$42,IF(H454&gt;='Commercial Inputs'!$B$37,'Commercial Inputs'!$B$41,IF(H454&gt;='Commercial Inputs'!$B$36,'Commercial Inputs'!$B$40,IF(H454&gt;='Commercial Inputs'!$B$35,'Commercial Inputs'!$B$39,0))))</x:f>
        <x:v>0</x:v>
      </x:c>
      <x:c r="I473" s="58" t="n">
        <x:f>IF(I454&gt;='Commercial Inputs'!$B$38,'Commercial Inputs'!$B$42,IF(I454&gt;='Commercial Inputs'!$B$37,'Commercial Inputs'!$B$41,IF(I454&gt;='Commercial Inputs'!$B$36,'Commercial Inputs'!$B$40,IF(I454&gt;='Commercial Inputs'!$B$35,'Commercial Inputs'!$B$39,0))))</x:f>
        <x:v>0</x:v>
      </x:c>
      <x:c r="J473" s="58" t="n">
        <x:f>IF(J454&gt;='Commercial Inputs'!$B$38,'Commercial Inputs'!$B$42,IF(J454&gt;='Commercial Inputs'!$B$37,'Commercial Inputs'!$B$41,IF(J454&gt;='Commercial Inputs'!$B$36,'Commercial Inputs'!$B$40,IF(J454&gt;='Commercial Inputs'!$B$35,'Commercial Inputs'!$B$39,0))))</x:f>
        <x:v>0</x:v>
      </x:c>
      <x:c r="K473" s="58" t="n">
        <x:f>IF(K454&gt;='Commercial Inputs'!$B$38,'Commercial Inputs'!$B$42,IF(K454&gt;='Commercial Inputs'!$B$37,'Commercial Inputs'!$B$41,IF(K454&gt;='Commercial Inputs'!$B$36,'Commercial Inputs'!$B$40,IF(K454&gt;='Commercial Inputs'!$B$35,'Commercial Inputs'!$B$39,0))))</x:f>
        <x:v>0</x:v>
      </x:c>
      <x:c r="L473" s="58" t="n">
        <x:f>IF(L454&gt;='Commercial Inputs'!$B$38,'Commercial Inputs'!$B$42,IF(L454&gt;='Commercial Inputs'!$B$37,'Commercial Inputs'!$B$41,IF(L454&gt;='Commercial Inputs'!$B$36,'Commercial Inputs'!$B$40,IF(L454&gt;='Commercial Inputs'!$B$35,'Commercial Inputs'!$B$39,0))))</x:f>
        <x:v>0</x:v>
      </x:c>
      <x:c r="M473" s="58" t="n">
        <x:f>IF(M454&gt;='Commercial Inputs'!$B$38,'Commercial Inputs'!$B$42,IF(M454&gt;='Commercial Inputs'!$B$37,'Commercial Inputs'!$B$41,IF(M454&gt;='Commercial Inputs'!$B$36,'Commercial Inputs'!$B$40,IF(M454&gt;='Commercial Inputs'!$B$35,'Commercial Inputs'!$B$39,0))))</x:f>
        <x:v>10000</x:v>
      </x:c>
      <x:c r="N473" s="58" t="n">
        <x:f>IF(N454&gt;='Commercial Inputs'!$B$38,'Commercial Inputs'!$B$42,IF(N454&gt;='Commercial Inputs'!$B$37,'Commercial Inputs'!$B$41,IF(N454&gt;='Commercial Inputs'!$B$36,'Commercial Inputs'!$B$40,IF(N454&gt;='Commercial Inputs'!$B$35,'Commercial Inputs'!$B$39,0))))</x:f>
        <x:v>10000</x:v>
      </x:c>
      <x:c r="O473" s="58" t="n">
        <x:f>IF(O454&gt;='Commercial Inputs'!$B$38,'Commercial Inputs'!$B$42,IF(O454&gt;='Commercial Inputs'!$B$37,'Commercial Inputs'!$B$41,IF(O454&gt;='Commercial Inputs'!$B$36,'Commercial Inputs'!$B$40,IF(O454&gt;='Commercial Inputs'!$B$35,'Commercial Inputs'!$B$39,0))))</x:f>
        <x:v>10000</x:v>
      </x:c>
      <x:c r="P473" s="58" t="n">
        <x:f>IF(P454&gt;='Commercial Inputs'!$B$38,'Commercial Inputs'!$B$42,IF(P454&gt;='Commercial Inputs'!$B$37,'Commercial Inputs'!$B$41,IF(P454&gt;='Commercial Inputs'!$B$36,'Commercial Inputs'!$B$40,IF(P454&gt;='Commercial Inputs'!$B$35,'Commercial Inputs'!$B$39,0))))</x:f>
        <x:v>10000</x:v>
      </x:c>
      <x:c r="Q473" s="58" t="n">
        <x:f>IF(Q454&gt;='Commercial Inputs'!$B$38,'Commercial Inputs'!$B$42,IF(Q454&gt;='Commercial Inputs'!$B$37,'Commercial Inputs'!$B$41,IF(Q454&gt;='Commercial Inputs'!$B$36,'Commercial Inputs'!$B$40,IF(Q454&gt;='Commercial Inputs'!$B$35,'Commercial Inputs'!$B$39,0))))</x:f>
        <x:v>10000</x:v>
      </x:c>
      <x:c r="R473" s="58" t="n">
        <x:f>IF(R454&gt;='Commercial Inputs'!$B$38,'Commercial Inputs'!$B$42,IF(R454&gt;='Commercial Inputs'!$B$37,'Commercial Inputs'!$B$41,IF(R454&gt;='Commercial Inputs'!$B$36,'Commercial Inputs'!$B$40,IF(R454&gt;='Commercial Inputs'!$B$35,'Commercial Inputs'!$B$39,0))))</x:f>
        <x:v>10000</x:v>
      </x:c>
      <x:c r="S473" s="58" t="n">
        <x:f>IF(S454&gt;='Commercial Inputs'!$B$38,'Commercial Inputs'!$B$42,IF(S454&gt;='Commercial Inputs'!$B$37,'Commercial Inputs'!$B$41,IF(S454&gt;='Commercial Inputs'!$B$36,'Commercial Inputs'!$B$40,IF(S454&gt;='Commercial Inputs'!$B$35,'Commercial Inputs'!$B$39,0))))</x:f>
        <x:v>10000</x:v>
      </x:c>
      <x:c r="T473" s="58" t="n">
        <x:f>IF(T454&gt;='Commercial Inputs'!$B$38,'Commercial Inputs'!$B$42,IF(T454&gt;='Commercial Inputs'!$B$37,'Commercial Inputs'!$B$41,IF(T454&gt;='Commercial Inputs'!$B$36,'Commercial Inputs'!$B$40,IF(T454&gt;='Commercial Inputs'!$B$35,'Commercial Inputs'!$B$39,0))))</x:f>
        <x:v>10000</x:v>
      </x:c>
      <x:c r="U473" s="58" t="n">
        <x:f>IF(U454&gt;='Commercial Inputs'!$B$38,'Commercial Inputs'!$B$42,IF(U454&gt;='Commercial Inputs'!$B$37,'Commercial Inputs'!$B$41,IF(U454&gt;='Commercial Inputs'!$B$36,'Commercial Inputs'!$B$40,IF(U454&gt;='Commercial Inputs'!$B$35,'Commercial Inputs'!$B$39,0))))</x:f>
        <x:v>10000</x:v>
      </x:c>
      <x:c r="V473" s="58" t="n">
        <x:f>IF(V454&gt;='Commercial Inputs'!$B$38,'Commercial Inputs'!$B$42,IF(V454&gt;='Commercial Inputs'!$B$37,'Commercial Inputs'!$B$41,IF(V454&gt;='Commercial Inputs'!$B$36,'Commercial Inputs'!$B$40,IF(V454&gt;='Commercial Inputs'!$B$35,'Commercial Inputs'!$B$39,0))))</x:f>
        <x:v>10000</x:v>
      </x:c>
      <x:c r="W473" s="58" t="n">
        <x:f>IF(W454&gt;='Commercial Inputs'!$B$38,'Commercial Inputs'!$B$42,IF(W454&gt;='Commercial Inputs'!$B$37,'Commercial Inputs'!$B$41,IF(W454&gt;='Commercial Inputs'!$B$36,'Commercial Inputs'!$B$40,IF(W454&gt;='Commercial Inputs'!$B$35,'Commercial Inputs'!$B$39,0))))</x:f>
        <x:v>25000</x:v>
      </x:c>
      <x:c r="X473" s="58" t="n">
        <x:f>IF(X454&gt;='Commercial Inputs'!$B$38,'Commercial Inputs'!$B$42,IF(X454&gt;='Commercial Inputs'!$B$37,'Commercial Inputs'!$B$41,IF(X454&gt;='Commercial Inputs'!$B$36,'Commercial Inputs'!$B$40,IF(X454&gt;='Commercial Inputs'!$B$35,'Commercial Inputs'!$B$39,0))))</x:f>
        <x:v>25000</x:v>
      </x:c>
      <x:c r="Y473" s="58" t="n">
        <x:f>IF(Y454&gt;='Commercial Inputs'!$B$38,'Commercial Inputs'!$B$42,IF(Y454&gt;='Commercial Inputs'!$B$37,'Commercial Inputs'!$B$41,IF(Y454&gt;='Commercial Inputs'!$B$36,'Commercial Inputs'!$B$40,IF(Y454&gt;='Commercial Inputs'!$B$35,'Commercial Inputs'!$B$39,0))))</x:f>
        <x:v>25000</x:v>
      </x:c>
      <x:c r="Z473" s="58" t="n">
        <x:f>IF(Z454&gt;='Commercial Inputs'!$B$38,'Commercial Inputs'!$B$42,IF(Z454&gt;='Commercial Inputs'!$B$37,'Commercial Inputs'!$B$41,IF(Z454&gt;='Commercial Inputs'!$B$36,'Commercial Inputs'!$B$40,IF(Z454&gt;='Commercial Inputs'!$B$35,'Commercial Inputs'!$B$39,0))))</x:f>
        <x:v>25000</x:v>
      </x:c>
      <x:c r="AA473" s="58" t="n">
        <x:f>IF(AA454&gt;='Commercial Inputs'!$B$38,'Commercial Inputs'!$B$42,IF(AA454&gt;='Commercial Inputs'!$B$37,'Commercial Inputs'!$B$41,IF(AA454&gt;='Commercial Inputs'!$B$36,'Commercial Inputs'!$B$40,IF(AA454&gt;='Commercial Inputs'!$B$35,'Commercial Inputs'!$B$39,0))))</x:f>
        <x:v>25000</x:v>
      </x:c>
      <x:c r="AB473" s="58" t="n">
        <x:f>IF(AB454&gt;='Commercial Inputs'!$B$38,'Commercial Inputs'!$B$42,IF(AB454&gt;='Commercial Inputs'!$B$37,'Commercial Inputs'!$B$41,IF(AB454&gt;='Commercial Inputs'!$B$36,'Commercial Inputs'!$B$40,IF(AB454&gt;='Commercial Inputs'!$B$35,'Commercial Inputs'!$B$39,0))))</x:f>
        <x:v>25000</x:v>
      </x:c>
      <x:c r="AC473" s="58" t="n">
        <x:f>IF(AC454&gt;='Commercial Inputs'!$B$38,'Commercial Inputs'!$B$42,IF(AC454&gt;='Commercial Inputs'!$B$37,'Commercial Inputs'!$B$41,IF(AC454&gt;='Commercial Inputs'!$B$36,'Commercial Inputs'!$B$40,IF(AC454&gt;='Commercial Inputs'!$B$35,'Commercial Inputs'!$B$39,0))))</x:f>
        <x:v>25000</x:v>
      </x:c>
      <x:c r="AD473" s="58" t="n">
        <x:f>IF(AD454&gt;='Commercial Inputs'!$B$38,'Commercial Inputs'!$B$42,IF(AD454&gt;='Commercial Inputs'!$B$37,'Commercial Inputs'!$B$41,IF(AD454&gt;='Commercial Inputs'!$B$36,'Commercial Inputs'!$B$40,IF(AD454&gt;='Commercial Inputs'!$B$35,'Commercial Inputs'!$B$39,0))))</x:f>
        <x:v>25000</x:v>
      </x:c>
      <x:c r="AE473" s="58" t="n">
        <x:f>IF(AE454&gt;='Commercial Inputs'!$B$38,'Commercial Inputs'!$B$42,IF(AE454&gt;='Commercial Inputs'!$B$37,'Commercial Inputs'!$B$41,IF(AE454&gt;='Commercial Inputs'!$B$36,'Commercial Inputs'!$B$40,IF(AE454&gt;='Commercial Inputs'!$B$35,'Commercial Inputs'!$B$39,0))))</x:f>
        <x:v>25000</x:v>
      </x:c>
      <x:c r="AF473" s="58" t="n">
        <x:f>IF(AF454&gt;='Commercial Inputs'!$B$38,'Commercial Inputs'!$B$42,IF(AF454&gt;='Commercial Inputs'!$B$37,'Commercial Inputs'!$B$41,IF(AF454&gt;='Commercial Inputs'!$B$36,'Commercial Inputs'!$B$40,IF(AF454&gt;='Commercial Inputs'!$B$35,'Commercial Inputs'!$B$39,0))))</x:f>
        <x:v>25000</x:v>
      </x:c>
      <x:c r="AG473" s="58" t="n">
        <x:f>IF(AG454&gt;='Commercial Inputs'!$B$38,'Commercial Inputs'!$B$42,IF(AG454&gt;='Commercial Inputs'!$B$37,'Commercial Inputs'!$B$41,IF(AG454&gt;='Commercial Inputs'!$B$36,'Commercial Inputs'!$B$40,IF(AG454&gt;='Commercial Inputs'!$B$35,'Commercial Inputs'!$B$39,0))))</x:f>
        <x:v>25000</x:v>
      </x:c>
      <x:c r="AH473" s="58" t="n">
        <x:f>IF(AH454&gt;='Commercial Inputs'!$B$38,'Commercial Inputs'!$B$42,IF(AH454&gt;='Commercial Inputs'!$B$37,'Commercial Inputs'!$B$41,IF(AH454&gt;='Commercial Inputs'!$B$36,'Commercial Inputs'!$B$40,IF(AH454&gt;='Commercial Inputs'!$B$35,'Commercial Inputs'!$B$39,0))))</x:f>
        <x:v>25000</x:v>
      </x:c>
      <x:c r="AI473" s="58" t="n">
        <x:f>IF(AI454&gt;='Commercial Inputs'!$B$38,'Commercial Inputs'!$B$42,IF(AI454&gt;='Commercial Inputs'!$B$37,'Commercial Inputs'!$B$41,IF(AI454&gt;='Commercial Inputs'!$B$36,'Commercial Inputs'!$B$40,IF(AI454&gt;='Commercial Inputs'!$B$35,'Commercial Inputs'!$B$39,0))))</x:f>
        <x:v>25000</x:v>
      </x:c>
      <x:c r="AJ473" s="58" t="n">
        <x:f>IF(AJ454&gt;='Commercial Inputs'!$B$38,'Commercial Inputs'!$B$42,IF(AJ454&gt;='Commercial Inputs'!$B$37,'Commercial Inputs'!$B$41,IF(AJ454&gt;='Commercial Inputs'!$B$36,'Commercial Inputs'!$B$40,IF(AJ454&gt;='Commercial Inputs'!$B$35,'Commercial Inputs'!$B$39,0))))</x:f>
        <x:v>25000</x:v>
      </x:c>
      <x:c r="AK473" s="58" t="n">
        <x:f>IF(AK454&gt;='Commercial Inputs'!$B$38,'Commercial Inputs'!$B$42,IF(AK454&gt;='Commercial Inputs'!$B$37,'Commercial Inputs'!$B$41,IF(AK454&gt;='Commercial Inputs'!$B$36,'Commercial Inputs'!$B$40,IF(AK454&gt;='Commercial Inputs'!$B$35,'Commercial Inputs'!$B$39,0))))</x:f>
        <x:v>25000</x:v>
      </x:c>
    </x:row>
    <x:row r="474" ht="18" customHeight="1">
      <x:c r="A474" s="4" t="str">
        <x:v>Founder cash pay (INR)</x:v>
      </x:c>
      <x:c r="B474" s="60" t="n">
        <x:f>'Commercial Inputs'!$B$32</x:f>
        <x:v>0</x:v>
      </x:c>
      <x:c r="C474" s="60" t="n">
        <x:f>'Commercial Inputs'!$B$32</x:f>
        <x:v>0</x:v>
      </x:c>
      <x:c r="D474" s="60" t="n">
        <x:f>'Commercial Inputs'!$B$32</x:f>
        <x:v>0</x:v>
      </x:c>
      <x:c r="E474" s="60" t="n">
        <x:f>'Commercial Inputs'!$B$32</x:f>
        <x:v>0</x:v>
      </x:c>
      <x:c r="F474" s="60" t="n">
        <x:f>'Commercial Inputs'!$B$32</x:f>
        <x:v>0</x:v>
      </x:c>
      <x:c r="G474" s="60" t="n">
        <x:f>'Commercial Inputs'!$B$32</x:f>
        <x:v>0</x:v>
      </x:c>
      <x:c r="H474" s="60" t="n">
        <x:f>'Commercial Inputs'!$B$32</x:f>
        <x:v>0</x:v>
      </x:c>
      <x:c r="I474" s="60" t="n">
        <x:f>'Commercial Inputs'!$B$32</x:f>
        <x:v>0</x:v>
      </x:c>
      <x:c r="J474" s="60" t="n">
        <x:f>'Commercial Inputs'!$B$32</x:f>
        <x:v>0</x:v>
      </x:c>
      <x:c r="K474" s="60" t="n">
        <x:f>'Commercial Inputs'!$B$32</x:f>
        <x:v>0</x:v>
      </x:c>
      <x:c r="L474" s="60" t="n">
        <x:f>'Commercial Inputs'!$B$32</x:f>
        <x:v>0</x:v>
      </x:c>
      <x:c r="M474" s="60" t="n">
        <x:f>'Commercial Inputs'!$B$32</x:f>
        <x:v>0</x:v>
      </x:c>
      <x:c r="N474" s="60" t="n">
        <x:f>'Commercial Inputs'!$B$32</x:f>
        <x:v>0</x:v>
      </x:c>
      <x:c r="O474" s="60" t="n">
        <x:f>'Commercial Inputs'!$B$32</x:f>
        <x:v>0</x:v>
      </x:c>
      <x:c r="P474" s="60" t="n">
        <x:f>'Commercial Inputs'!$B$32</x:f>
        <x:v>0</x:v>
      </x:c>
      <x:c r="Q474" s="60" t="n">
        <x:f>'Commercial Inputs'!$B$32</x:f>
        <x:v>0</x:v>
      </x:c>
      <x:c r="R474" s="60" t="n">
        <x:f>'Commercial Inputs'!$B$32</x:f>
        <x:v>0</x:v>
      </x:c>
      <x:c r="S474" s="60" t="n">
        <x:f>'Commercial Inputs'!$B$32</x:f>
        <x:v>0</x:v>
      </x:c>
      <x:c r="T474" s="60" t="n">
        <x:f>'Commercial Inputs'!$B$32</x:f>
        <x:v>0</x:v>
      </x:c>
      <x:c r="U474" s="60" t="n">
        <x:f>'Commercial Inputs'!$B$32</x:f>
        <x:v>0</x:v>
      </x:c>
      <x:c r="V474" s="60" t="n">
        <x:f>'Commercial Inputs'!$B$32</x:f>
        <x:v>0</x:v>
      </x:c>
      <x:c r="W474" s="60" t="n">
        <x:f>'Commercial Inputs'!$B$32</x:f>
        <x:v>0</x:v>
      </x:c>
      <x:c r="X474" s="60" t="n">
        <x:f>'Commercial Inputs'!$B$32</x:f>
        <x:v>0</x:v>
      </x:c>
      <x:c r="Y474" s="60" t="n">
        <x:f>'Commercial Inputs'!$B$32</x:f>
        <x:v>0</x:v>
      </x:c>
      <x:c r="Z474" s="60" t="n">
        <x:f>'Commercial Inputs'!$B$32</x:f>
        <x:v>0</x:v>
      </x:c>
      <x:c r="AA474" s="60" t="n">
        <x:f>'Commercial Inputs'!$B$32</x:f>
        <x:v>0</x:v>
      </x:c>
      <x:c r="AB474" s="60" t="n">
        <x:f>'Commercial Inputs'!$B$32</x:f>
        <x:v>0</x:v>
      </x:c>
      <x:c r="AC474" s="60" t="n">
        <x:f>'Commercial Inputs'!$B$32</x:f>
        <x:v>0</x:v>
      </x:c>
      <x:c r="AD474" s="60" t="n">
        <x:f>'Commercial Inputs'!$B$32</x:f>
        <x:v>0</x:v>
      </x:c>
      <x:c r="AE474" s="60" t="n">
        <x:f>'Commercial Inputs'!$B$32</x:f>
        <x:v>0</x:v>
      </x:c>
      <x:c r="AF474" s="60" t="n">
        <x:f>'Commercial Inputs'!$B$32</x:f>
        <x:v>0</x:v>
      </x:c>
      <x:c r="AG474" s="60" t="n">
        <x:f>'Commercial Inputs'!$B$32</x:f>
        <x:v>0</x:v>
      </x:c>
      <x:c r="AH474" s="60" t="n">
        <x:f>'Commercial Inputs'!$B$32</x:f>
        <x:v>0</x:v>
      </x:c>
      <x:c r="AI474" s="60" t="n">
        <x:f>'Commercial Inputs'!$B$32</x:f>
        <x:v>0</x:v>
      </x:c>
      <x:c r="AJ474" s="60" t="n">
        <x:f>'Commercial Inputs'!$B$32</x:f>
        <x:v>0</x:v>
      </x:c>
      <x:c r="AK474" s="60" t="n">
        <x:f>'Commercial Inputs'!$B$32</x:f>
        <x:v>0</x:v>
      </x:c>
    </x:row>
    <x:row r="475" ht="18" customHeight="1">
      <x:c r="A475" s="4" t="str">
        <x:v>One-time launch expense (INR)</x:v>
      </x:c>
      <x:c r="B475" s="60" t="n">
        <x:f>'Commercial Inputs'!$B$30</x:f>
        <x:v>20000</x:v>
      </x:c>
      <x:c r="C475" s="60" t="n">
        <x:f>0</x:f>
        <x:v>0</x:v>
      </x:c>
      <x:c r="D475" s="60" t="n">
        <x:f>0</x:f>
        <x:v>0</x:v>
      </x:c>
      <x:c r="E475" s="60" t="n">
        <x:f>0</x:f>
        <x:v>0</x:v>
      </x:c>
      <x:c r="F475" s="60" t="n">
        <x:f>0</x:f>
        <x:v>0</x:v>
      </x:c>
      <x:c r="G475" s="60" t="n">
        <x:f>0</x:f>
        <x:v>0</x:v>
      </x:c>
      <x:c r="H475" s="60" t="n">
        <x:f>0</x:f>
        <x:v>0</x:v>
      </x:c>
      <x:c r="I475" s="60" t="n">
        <x:f>0</x:f>
        <x:v>0</x:v>
      </x:c>
      <x:c r="J475" s="60" t="n">
        <x:f>0</x:f>
        <x:v>0</x:v>
      </x:c>
      <x:c r="K475" s="60" t="n">
        <x:f>0</x:f>
        <x:v>0</x:v>
      </x:c>
      <x:c r="L475" s="60" t="n">
        <x:f>0</x:f>
        <x:v>0</x:v>
      </x:c>
      <x:c r="M475" s="60" t="n">
        <x:f>0</x:f>
        <x:v>0</x:v>
      </x:c>
      <x:c r="N475" s="60" t="n">
        <x:f>0</x:f>
        <x:v>0</x:v>
      </x:c>
      <x:c r="O475" s="60" t="n">
        <x:f>0</x:f>
        <x:v>0</x:v>
      </x:c>
      <x:c r="P475" s="60" t="n">
        <x:f>0</x:f>
        <x:v>0</x:v>
      </x:c>
      <x:c r="Q475" s="60" t="n">
        <x:f>0</x:f>
        <x:v>0</x:v>
      </x:c>
      <x:c r="R475" s="60" t="n">
        <x:f>0</x:f>
        <x:v>0</x:v>
      </x:c>
      <x:c r="S475" s="60" t="n">
        <x:f>0</x:f>
        <x:v>0</x:v>
      </x:c>
      <x:c r="T475" s="60" t="n">
        <x:f>0</x:f>
        <x:v>0</x:v>
      </x:c>
      <x:c r="U475" s="60" t="n">
        <x:f>0</x:f>
        <x:v>0</x:v>
      </x:c>
      <x:c r="V475" s="60" t="n">
        <x:f>0</x:f>
        <x:v>0</x:v>
      </x:c>
      <x:c r="W475" s="60" t="n">
        <x:f>0</x:f>
        <x:v>0</x:v>
      </x:c>
      <x:c r="X475" s="60" t="n">
        <x:f>0</x:f>
        <x:v>0</x:v>
      </x:c>
      <x:c r="Y475" s="60" t="n">
        <x:f>0</x:f>
        <x:v>0</x:v>
      </x:c>
      <x:c r="Z475" s="60" t="n">
        <x:f>0</x:f>
        <x:v>0</x:v>
      </x:c>
      <x:c r="AA475" s="60" t="n">
        <x:f>0</x:f>
        <x:v>0</x:v>
      </x:c>
      <x:c r="AB475" s="60" t="n">
        <x:f>0</x:f>
        <x:v>0</x:v>
      </x:c>
      <x:c r="AC475" s="60" t="n">
        <x:f>0</x:f>
        <x:v>0</x:v>
      </x:c>
      <x:c r="AD475" s="60" t="n">
        <x:f>0</x:f>
        <x:v>0</x:v>
      </x:c>
      <x:c r="AE475" s="60" t="n">
        <x:f>0</x:f>
        <x:v>0</x:v>
      </x:c>
      <x:c r="AF475" s="60" t="n">
        <x:f>0</x:f>
        <x:v>0</x:v>
      </x:c>
      <x:c r="AG475" s="60" t="n">
        <x:f>0</x:f>
        <x:v>0</x:v>
      </x:c>
      <x:c r="AH475" s="60" t="n">
        <x:f>0</x:f>
        <x:v>0</x:v>
      </x:c>
      <x:c r="AI475" s="60" t="n">
        <x:f>0</x:f>
        <x:v>0</x:v>
      </x:c>
      <x:c r="AJ475" s="60" t="n">
        <x:f>0</x:f>
        <x:v>0</x:v>
      </x:c>
      <x:c r="AK475" s="60" t="n">
        <x:f>0</x:f>
        <x:v>0</x:v>
      </x:c>
    </x:row>
    <x:row r="476" ht="18" customHeight="1">
      <x:c r="A476" s="74" t="str">
        <x:v>OPERATING PROFIT BEFORE INCOME TAX</x:v>
      </x:c>
      <x:c r="B476" s="75" t="n">
        <x:f>B470-B436-SUM(B472:B475)</x:f>
        <x:v>-43224.58238385593</x:v>
      </x:c>
      <x:c r="C476" s="75" t="n">
        <x:f>C470-C436-SUM(C472:C475)</x:f>
        <x:v>-19193.875837692452</x:v>
      </x:c>
      <x:c r="D476" s="75" t="n">
        <x:f>D470-D436-SUM(D472:D475)</x:f>
        <x:v>-15114.095092442285</x:v>
      </x:c>
      <x:c r="E476" s="75" t="n">
        <x:f>E470-E436-SUM(E472:E475)</x:f>
        <x:v>-18559.54096906505</x:v>
      </x:c>
      <x:c r="F476" s="75" t="n">
        <x:f>F470-F436-SUM(F472:F475)</x:f>
        <x:v>-12557.817730256807</x:v>
      </x:c>
      <x:c r="G476" s="75" t="n">
        <x:f>G470-G436-SUM(G472:G475)</x:f>
        <x:v>-6325.107909180566</x:v>
      </x:c>
      <x:c r="H476" s="75" t="n">
        <x:f>H470-H436-SUM(H472:H475)</x:f>
        <x:v>-16548.65341835836</x:v>
      </x:c>
      <x:c r="I476" s="75" t="n">
        <x:f>I470-I436-SUM(I472:I475)</x:f>
        <x:v>-6493.54843466905</x:v>
      </x:c>
      <x:c r="J476" s="75" t="n">
        <x:f>J470-J436-SUM(J472:J475)</x:f>
        <x:v>3831.549533933263</x:v>
      </x:c>
      <x:c r="K476" s="75" t="n">
        <x:f>K470-K436-SUM(K472:K475)</x:f>
        <x:v>14619.87671534429</x:v>
      </x:c>
      <x:c r="L476" s="75" t="n">
        <x:f>L470-L436-SUM(L472:L475)</x:f>
        <x:v>25961.19328365219</x:v>
      </x:c>
      <x:c r="M476" s="75" t="n">
        <x:f>M470-M436-SUM(M472:M475)</x:f>
        <x:v>27951.027755159826</x:v>
      </x:c>
      <x:c r="N476" s="75" t="n">
        <x:f>N470-N436-SUM(N472:N475)</x:f>
        <x:v>-5165.18758056924</x:v>
      </x:c>
      <x:c r="O476" s="75" t="n">
        <x:f>O470-O436-SUM(O472:O475)</x:f>
        <x:v>10483.701846522395</x:v>
      </x:c>
      <x:c r="P476" s="75" t="n">
        <x:f>P470-P436-SUM(P472:P475)</x:f>
        <x:v>26188.997818302654</x:v>
      </x:c>
      <x:c r="Q476" s="75" t="n">
        <x:f>Q470-Q436-SUM(Q472:Q475)</x:f>
        <x:v>40854.347122397245</x:v>
      </x:c>
      <x:c r="R476" s="75" t="n">
        <x:f>R470-R436-SUM(R472:R475)</x:f>
        <x:v>56420.69431290991</x:v>
      </x:c>
      <x:c r="S476" s="75" t="n">
        <x:f>S470-S436-SUM(S472:S475)</x:f>
        <x:v>72384.5381178715</x:v>
      </x:c>
      <x:c r="T476" s="75" t="n">
        <x:f>T470-T436-SUM(T472:T475)</x:f>
        <x:v>53718.64939073019</x:v>
      </x:c>
      <x:c r="U476" s="75" t="n">
        <x:f>U470-U436-SUM(U472:U475)</x:f>
        <x:v>74349.42660369113</x:v>
      </x:c>
      <x:c r="V476" s="75" t="n">
        <x:f>V470-V436-SUM(V472:V475)</x:f>
        <x:v>95179.42152160886</x:v>
      </x:c>
      <x:c r="W476" s="75" t="n">
        <x:f>W470-W436-SUM(W472:W475)</x:f>
        <x:v>101467.42718221567</x:v>
      </x:c>
      <x:c r="X476" s="75" t="n">
        <x:f>X470-X436-SUM(X472:X475)</x:f>
        <x:v>123279.15554314002</x:v>
      </x:c>
      <x:c r="Y476" s="75" t="n">
        <x:f>Y470-Y436-SUM(Y472:Y475)</x:f>
        <x:v>145676.39944076235</x:v>
      </x:c>
      <x:c r="Z476" s="75" t="n">
        <x:f>Z470-Z436-SUM(Z472:Z475)</x:f>
        <x:v>116488.05124268634</x:v>
      </x:c>
      <x:c r="AA476" s="75" t="n">
        <x:f>AA470-AA436-SUM(AA472:AA475)</x:f>
        <x:v>140753.1463217662</x:v>
      </x:c>
      <x:c r="AB476" s="75" t="n">
        <x:f>AB470-AB436-SUM(AB472:AB475)</x:f>
        <x:v>165333.9054333712</x:v>
      </x:c>
      <x:c r="AC476" s="75" t="n">
        <x:f>AC470-AC436-SUM(AC472:AC475)</x:f>
        <x:v>189967.4042065891</x:v>
      </x:c>
      <x:c r="AD476" s="75" t="n">
        <x:f>AD470-AD436-SUM(AD472:AD475)</x:f>
        <x:v>215453.02246326953</x:v>
      </x:c>
      <x:c r="AE476" s="75" t="n">
        <x:f>AE470-AE436-SUM(AE472:AE475)</x:f>
        <x:v>241546.8283984731</x:v>
      </x:c>
      <x:c r="AF476" s="75" t="n">
        <x:f>AF470-AF436-SUM(AF472:AF475)</x:f>
        <x:v>230192.8877758945</x:v>
      </x:c>
      <x:c r="AG476" s="75" t="n">
        <x:f>AG470-AG436-SUM(AG472:AG475)</x:f>
        <x:v>259314.42996215966</x:v>
      </x:c>
      <x:c r="AH476" s="75" t="n">
        <x:f>AH470-AH436-SUM(AH472:AH475)</x:f>
        <x:v>288870.5002371328</x:v>
      </x:c>
      <x:c r="AI476" s="75" t="n">
        <x:f>AI470-AI436-SUM(AI472:AI475)</x:f>
        <x:v>319096.40505161544</x:v>
      </x:c>
      <x:c r="AJ476" s="75" t="n">
        <x:f>AJ470-AJ436-SUM(AJ472:AJ475)</x:f>
        <x:v>350050.86183310207</x:v>
      </x:c>
      <x:c r="AK476" s="75" t="n">
        <x:f>AK470-AK436-SUM(AK472:AK475)</x:f>
        <x:v>381787.9763866684</x:v>
      </x:c>
    </x:row>
    <x:row r="477" ht="18" customHeight="1">
      <x:c r="A477" s="4" t="str">
        <x:v>Operating margin (%)</x:v>
      </x:c>
      <x:c r="B477" s="62" t="n">
        <x:f>IFERROR(B476/B458,0)</x:f>
        <x:v>-6.937199511026383</x:v>
      </x:c>
      <x:c r="C477" s="62" t="n">
        <x:f>IFERROR(C476/C458,0)</x:f>
        <x:v>-1.5997012083450193</x:v>
      </x:c>
      <x:c r="D477" s="62" t="n">
        <x:f>IFERROR(D476/D458,0)</x:f>
        <x:v>-0.8454524866009415</x:v>
      </x:c>
      <x:c r="E477" s="62" t="n">
        <x:f>IFERROR(E476/E458,0)</x:f>
        <x:v>-0.7061750489954722</x:v>
      </x:c>
      <x:c r="F477" s="62" t="n">
        <x:f>IFERROR(F476/F458,0)</x:f>
        <x:v>-0.36101656592902837</x:v>
      </x:c>
      <x:c r="G477" s="62" t="n">
        <x:f>IFERROR(G476/G458,0)</x:f>
        <x:v>-0.1448562235738621</x:v>
      </x:c>
      <x:c r="H477" s="62" t="n">
        <x:f>IFERROR(H476/H458,0)</x:f>
        <x:v>-0.286437813914859</x:v>
      </x:c>
      <x:c r="I477" s="62" t="n">
        <x:f>IFERROR(I476/I458,0)</x:f>
        <x:v>-0.09044743835684392</x:v>
      </x:c>
      <x:c r="J477" s="62" t="n">
        <x:f>IFERROR(J476/J458,0)</x:f>
        <x:v>0.0444140697916856</x:v>
      </x:c>
      <x:c r="K477" s="62" t="n">
        <x:f>IFERROR(K476/K458,0)</x:f>
        <x:v>0.14407498951362677</x:v>
      </x:c>
      <x:c r="L477" s="62" t="n">
        <x:f>IFERROR(L476/L458,0)</x:f>
        <x:v>0.22086421541836954</x:v>
      </x:c>
      <x:c r="M477" s="62" t="n">
        <x:f>IFERROR(M476/M458,0)</x:f>
        <x:v>0.20762720177931795</x:v>
      </x:c>
      <x:c r="N477" s="62" t="n">
        <x:f>IFERROR(N476/N458,0)</x:f>
        <x:v>-0.032924484735374175</x:v>
      </x:c>
      <x:c r="O477" s="62" t="n">
        <x:f>IFERROR(O476/O458,0)</x:f>
        <x:v>0.058722128729906294</x:v>
      </x:c>
      <x:c r="P477" s="62" t="n">
        <x:f>IFERROR(P476/P458,0)</x:f>
        <x:v>0.13071526695817376</x:v>
      </x:c>
      <x:c r="Q477" s="62" t="n">
        <x:f>IFERROR(Q476/Q458,0)</x:f>
        <x:v>0.18428571088954931</x:v>
      </x:c>
      <x:c r="R477" s="62" t="n">
        <x:f>IFERROR(R476/R458,0)</x:f>
        <x:v>0.23160228548896056</x:v>
      </x:c>
      <x:c r="S477" s="62" t="n">
        <x:f>IFERROR(S476/S458,0)</x:f>
        <x:v>0.27192174767589183</x:v>
      </x:c>
      <x:c r="T477" s="62" t="n">
        <x:f>IFERROR(T476/T458,0)</x:f>
        <x:v>0.18171138399752185</x:v>
      </x:c>
      <x:c r="U477" s="62" t="n">
        <x:f>IFERROR(U476/U458,0)</x:f>
        <x:v>0.22902596707352132</x:v>
      </x:c>
      <x:c r="V477" s="62" t="n">
        <x:f>IFERROR(V476/V458,0)</x:f>
        <x:v>0.26881143333480917</x:v>
      </x:c>
      <x:c r="W477" s="62" t="n">
        <x:f>IFERROR(W476/W458,0)</x:f>
        <x:v>0.26401694679749343</x:v>
      </x:c>
      <x:c r="X477" s="62" t="n">
        <x:f>IFERROR(X476/X458,0)</x:f>
        <x:v>0.2967146144470743</x:v>
      </x:c>
      <x:c r="Y477" s="62" t="n">
        <x:f>IFERROR(Y476/Y458,0)</x:f>
        <x:v>0.32542048124446743</x:v>
      </x:c>
      <x:c r="Z477" s="62" t="n">
        <x:f>IFERROR(Z476/Z458,0)</x:f>
        <x:v>0.24175024110515272</x:v>
      </x:c>
      <x:c r="AA477" s="62" t="n">
        <x:f>IFERROR(AA476/AA458,0)</x:f>
        <x:v>0.2727614698794088</x:v>
      </x:c>
      <x:c r="AB477" s="62" t="n">
        <x:f>IFERROR(AB476/AB458,0)</x:f>
        <x:v>0.3001813970406896</x:v>
      </x:c>
      <x:c r="AC477" s="62" t="n">
        <x:f>IFERROR(AC476/AC458,0)</x:f>
        <x:v>0.3240797436162483</x:v>
      </x:c>
      <x:c r="AD477" s="62" t="n">
        <x:f>IFERROR(AD476/AD458,0)</x:f>
        <x:v>0.34611385096829556</x:v>
      </x:c>
      <x:c r="AE477" s="62" t="n">
        <x:f>IFERROR(AE476/AE458,0)</x:f>
        <x:v>0.36608179477776165</x:v>
      </x:c>
      <x:c r="AF477" s="62" t="n">
        <x:f>IFERROR(AF476/AF458,0)</x:f>
        <x:v>0.3280995509901182</x:v>
      </x:c>
      <x:c r="AG477" s="62" t="n">
        <x:f>IFERROR(AG476/AG458,0)</x:f>
        <x:v>0.3488203408914391</x:v>
      </x:c>
      <x:c r="AH477" s="62" t="n">
        <x:f>IFERROR(AH476/AH458,0)</x:f>
        <x:v>0.3675061619898227</x:v>
      </x:c>
      <x:c r="AI477" s="62" t="n">
        <x:f>IFERROR(AI476/AI458,0)</x:f>
        <x:v>0.3845420606041773</x:v>
      </x:c>
      <x:c r="AJ477" s="62" t="n">
        <x:f>IFERROR(AJ476/AJ458,0)</x:f>
        <x:v>0.4001299981628703</x:v>
      </x:c>
      <x:c r="AK477" s="62" t="n">
        <x:f>IFERROR(AK476/AK458,0)</x:f>
        <x:v>0.4144348567266891</x:v>
      </x:c>
    </x:row>
    <x:row r="478" ht="18" customHeight="1">
      <x:c r="A478" s="4" t="str">
        <x:v>After imputed founder time (INR)</x:v>
      </x:c>
      <x:c r="B478" s="58" t="n">
        <x:f>B476-'Commercial Inputs'!$B$33</x:f>
        <x:v>-143224.58238385594</x:v>
      </x:c>
      <x:c r="C478" s="58" t="n">
        <x:f>C476-'Commercial Inputs'!$B$33</x:f>
        <x:v>-119193.87583769245</x:v>
      </x:c>
      <x:c r="D478" s="58" t="n">
        <x:f>D476-'Commercial Inputs'!$B$33</x:f>
        <x:v>-115114.09509244228</x:v>
      </x:c>
      <x:c r="E478" s="58" t="n">
        <x:f>E476-'Commercial Inputs'!$B$33</x:f>
        <x:v>-118559.54096906504</x:v>
      </x:c>
      <x:c r="F478" s="58" t="n">
        <x:f>F476-'Commercial Inputs'!$B$33</x:f>
        <x:v>-112557.81773025681</x:v>
      </x:c>
      <x:c r="G478" s="58" t="n">
        <x:f>G476-'Commercial Inputs'!$B$33</x:f>
        <x:v>-106325.10790918057</x:v>
      </x:c>
      <x:c r="H478" s="58" t="n">
        <x:f>H476-'Commercial Inputs'!$B$33</x:f>
        <x:v>-116548.65341835836</x:v>
      </x:c>
      <x:c r="I478" s="58" t="n">
        <x:f>I476-'Commercial Inputs'!$B$33</x:f>
        <x:v>-106493.54843466905</x:v>
      </x:c>
      <x:c r="J478" s="58" t="n">
        <x:f>J476-'Commercial Inputs'!$B$33</x:f>
        <x:v>-96168.45046606674</x:v>
      </x:c>
      <x:c r="K478" s="58" t="n">
        <x:f>K476-'Commercial Inputs'!$B$33</x:f>
        <x:v>-85380.12328465571</x:v>
      </x:c>
      <x:c r="L478" s="58" t="n">
        <x:f>L476-'Commercial Inputs'!$B$33</x:f>
        <x:v>-74038.80671634781</x:v>
      </x:c>
      <x:c r="M478" s="58" t="n">
        <x:f>M476-'Commercial Inputs'!$B$33</x:f>
        <x:v>-72048.97224484017</x:v>
      </x:c>
      <x:c r="N478" s="58" t="n">
        <x:f>N476-'Commercial Inputs'!$B$33</x:f>
        <x:v>-105165.18758056924</x:v>
      </x:c>
      <x:c r="O478" s="58" t="n">
        <x:f>O476-'Commercial Inputs'!$B$33</x:f>
        <x:v>-89516.2981534776</x:v>
      </x:c>
      <x:c r="P478" s="58" t="n">
        <x:f>P476-'Commercial Inputs'!$B$33</x:f>
        <x:v>-73811.00218169735</x:v>
      </x:c>
      <x:c r="Q478" s="58" t="n">
        <x:f>Q476-'Commercial Inputs'!$B$33</x:f>
        <x:v>-59145.652877602755</x:v>
      </x:c>
      <x:c r="R478" s="58" t="n">
        <x:f>R476-'Commercial Inputs'!$B$33</x:f>
        <x:v>-43579.30568709009</x:v>
      </x:c>
      <x:c r="S478" s="58" t="n">
        <x:f>S476-'Commercial Inputs'!$B$33</x:f>
        <x:v>-27615.461882128497</x:v>
      </x:c>
      <x:c r="T478" s="58" t="n">
        <x:f>T476-'Commercial Inputs'!$B$33</x:f>
        <x:v>-46281.35060926981</x:v>
      </x:c>
      <x:c r="U478" s="58" t="n">
        <x:f>U476-'Commercial Inputs'!$B$33</x:f>
        <x:v>-25650.57339630887</x:v>
      </x:c>
      <x:c r="V478" s="58" t="n">
        <x:f>V476-'Commercial Inputs'!$B$33</x:f>
        <x:v>-4820.578478391137</x:v>
      </x:c>
      <x:c r="W478" s="58" t="n">
        <x:f>W476-'Commercial Inputs'!$B$33</x:f>
        <x:v>1467.4271822156734</x:v>
      </x:c>
      <x:c r="X478" s="58" t="n">
        <x:f>X476-'Commercial Inputs'!$B$33</x:f>
        <x:v>23279.15554314002</x:v>
      </x:c>
      <x:c r="Y478" s="58" t="n">
        <x:f>Y476-'Commercial Inputs'!$B$33</x:f>
        <x:v>45676.399440762354</x:v>
      </x:c>
      <x:c r="Z478" s="58" t="n">
        <x:f>Z476-'Commercial Inputs'!$B$33</x:f>
        <x:v>16488.051242686342</x:v>
      </x:c>
      <x:c r="AA478" s="58" t="n">
        <x:f>AA476-'Commercial Inputs'!$B$33</x:f>
        <x:v>40753.146321766195</x:v>
      </x:c>
      <x:c r="AB478" s="58" t="n">
        <x:f>AB476-'Commercial Inputs'!$B$33</x:f>
        <x:v>65333.9054333712</x:v>
      </x:c>
      <x:c r="AC478" s="58" t="n">
        <x:f>AC476-'Commercial Inputs'!$B$33</x:f>
        <x:v>89967.4042065891</x:v>
      </x:c>
      <x:c r="AD478" s="58" t="n">
        <x:f>AD476-'Commercial Inputs'!$B$33</x:f>
        <x:v>115453.02246326953</x:v>
      </x:c>
      <x:c r="AE478" s="58" t="n">
        <x:f>AE476-'Commercial Inputs'!$B$33</x:f>
        <x:v>141546.8283984731</x:v>
      </x:c>
      <x:c r="AF478" s="58" t="n">
        <x:f>AF476-'Commercial Inputs'!$B$33</x:f>
        <x:v>130192.88777589449</x:v>
      </x:c>
      <x:c r="AG478" s="58" t="n">
        <x:f>AG476-'Commercial Inputs'!$B$33</x:f>
        <x:v>159314.42996215966</x:v>
      </x:c>
      <x:c r="AH478" s="58" t="n">
        <x:f>AH476-'Commercial Inputs'!$B$33</x:f>
        <x:v>188870.50023713277</x:v>
      </x:c>
      <x:c r="AI478" s="58" t="n">
        <x:f>AI476-'Commercial Inputs'!$B$33</x:f>
        <x:v>219096.40505161544</x:v>
      </x:c>
      <x:c r="AJ478" s="58" t="n">
        <x:f>AJ476-'Commercial Inputs'!$B$33</x:f>
        <x:v>250050.86183310207</x:v>
      </x:c>
      <x:c r="AK478" s="58" t="n">
        <x:f>AK476-'Commercial Inputs'!$B$33</x:f>
        <x:v>281787.9763866684</x:v>
      </x:c>
    </x:row>
    <x:row r="479" ht="18" customHeight="1">
      <x:c r="A479" s="4" t="str">
        <x:v>Net proceeds awaiting payout (INR)</x:v>
      </x:c>
      <x:c r="B479" s="58" t="n">
        <x:f>B463-B464</x:f>
        <x:v>44442.28222779662</x:v>
      </x:c>
      <x:c r="C479" s="58" t="n">
        <x:f>C463-C464</x:f>
        <x:v>49065.810513068136</x:v>
      </x:c>
      <x:c r="D479" s="58" t="n">
        <x:f>D463-D464</x:f>
        <x:v>53884.221181156594</x:v>
      </x:c>
      <x:c r="E479" s="58" t="n">
        <x:f>E463-E464</x:f>
        <x:v>74582.24894577061</x:v>
      </x:c>
      <x:c r="F479" s="58" t="n">
        <x:f>F463-F464</x:f>
        <x:v>80715.46033778992</x:v>
      </x:c>
      <x:c r="G479" s="58" t="n">
        <x:f>G463-G464</x:f>
        <x:v>87314.04698290525</x:v>
      </x:c>
      <x:c r="H479" s="58" t="n">
        <x:f>H463-H464</x:f>
        <x:v>128022.47429306142</x:v>
      </x:c>
      <x:c r="I479" s="58" t="n">
        <x:f>I463-I464</x:f>
        <x:v>136818.13337604018</x:v>
      </x:c>
      <x:c r="J479" s="58" t="n">
        <x:f>J463-J464</x:f>
        <x:v>146203.1449276755</x:v>
      </x:c>
      <x:c r="K479" s="58" t="n">
        <x:f>K463-K464</x:f>
        <x:v>156438.38754298803</x:v>
      </x:c>
      <x:c r="L479" s="58" t="n">
        <x:f>L463-L464</x:f>
        <x:v>167666.29100483574</x:v>
      </x:c>
      <x:c r="M479" s="58" t="n">
        <x:f>M463-M464</x:f>
        <x:v>180040.46180913594</x:v>
      </x:c>
      <x:c r="N479" s="58" t="n">
        <x:f>N463-N464</x:f>
        <x:v>254753.3292592244</x:v>
      </x:c>
      <x:c r="O479" s="58" t="n">
        <x:f>O463-O464</x:f>
        <x:v>267318.8346959249</x:v>
      </x:c>
      <x:c r="P479" s="58" t="n">
        <x:f>P463-P464</x:f>
        <x:v>280301.65626932215</x:v>
      </x:c>
      <x:c r="Q479" s="58" t="n">
        <x:f>Q463-Q464</x:f>
        <x:v>298315.65845190454</x:v>
      </x:c>
      <x:c r="R479" s="58" t="n">
        <x:f>R463-R464</x:f>
        <x:v>312877.5810843482</x:v>
      </x:c>
      <x:c r="S479" s="58" t="n">
        <x:f>S463-S464</x:f>
        <x:v>328403.8642836046</x:v>
      </x:c>
      <x:c r="T479" s="58" t="n">
        <x:f>T463-T464</x:f>
        <x:v>412884.0085999787</x:v>
      </x:c>
      <x:c r="U479" s="58" t="n">
        <x:f>U463-U464</x:f>
        <x:v>432216.1415846288</x:v>
      </x:c>
      <x:c r="V479" s="58" t="n">
        <x:f>V463-V464</x:f>
        <x:v>452480.6742676415</x:v>
      </x:c>
      <x:c r="W479" s="58" t="n">
        <x:f>W463-W464</x:f>
        <x:v>474067.9852380617</x:v>
      </x:c>
      <x:c r="X479" s="58" t="n">
        <x:f>X463-X464</x:f>
        <x:v>497150.3670071417</x:v>
      </x:c>
      <x:c r="Y479" s="58" t="n">
        <x:f>Y463-Y464</x:f>
        <x:v>521906.8986566195</x:v>
      </x:c>
      <x:c r="Z479" s="58" t="n">
        <x:f>Z463-Z464</x:f>
        <x:v>600837.5938927103</x:v>
      </x:c>
      <x:c r="AA479" s="58" t="n">
        <x:f>AA463-AA464</x:f>
        <x:v>623727.2403535837</x:v>
      </x:c>
      <x:c r="AB479" s="58" t="n">
        <x:f>AB463-AB464</x:f>
        <x:v>647530.1797364587</x:v>
      </x:c>
      <x:c r="AC479" s="58" t="n">
        <x:f>AC463-AC464</x:f>
        <x:v>674809.7357652291</x:v>
      </x:c>
      <x:c r="AD479" s="58" t="n">
        <x:f>AD463-AD464</x:f>
        <x:v>701106.6983780162</x:v>
      </x:c>
      <x:c r="AE479" s="58" t="n">
        <x:f>AE463-AE464</x:f>
        <x:v>728844.0005782173</x:v>
      </x:c>
      <x:c r="AF479" s="58" t="n">
        <x:f>AF463-AF464</x:f>
        <x:v>832638.259246495</x:v>
      </x:c>
      <x:c r="AG479" s="58" t="n">
        <x:f>AG463-AG464</x:f>
        <x:v>865027.7967920485</x:v>
      </x:c>
      <x:c r="AH479" s="58" t="n">
        <x:f>AH463-AH464</x:f>
        <x:v>898892.0155273937</x:v>
      </x:c>
      <x:c r="AI479" s="58" t="n">
        <x:f>AI463-AI464</x:f>
        <x:v>934605.0841538194</x:v>
      </x:c>
      <x:c r="AJ479" s="58" t="n">
        <x:f>AJ463-AJ464</x:f>
        <x:v>972341.7608178987</x:v>
      </x:c>
      <x:c r="AK479" s="58" t="n">
        <x:f>AK463-AK464</x:f>
        <x:v>1012281.6371030846</x:v>
      </x:c>
    </x:row>
    <x:row r="480" ht="18" customHeight="1">
      <x:c r="A480" s="4" t="str">
        <x:v>Payouts received this month (INR)</x:v>
      </x:c>
      <x:c r="B480" s="58" t="n">
        <x:f>B479*(1-'Commercial Inputs'!$B$31)+0*'Commercial Inputs'!$B$31</x:f>
        <x:v>22221.14111389831</x:v>
      </x:c>
      <x:c r="C480" s="58" t="n">
        <x:f>C479*(1-'Commercial Inputs'!$B$31)+B479*'Commercial Inputs'!$B$31</x:f>
        <x:v>46754.04637043238</x:v>
      </x:c>
      <x:c r="D480" s="58" t="n">
        <x:f>D479*(1-'Commercial Inputs'!$B$31)+C479*'Commercial Inputs'!$B$31</x:f>
        <x:v>51475.015847112365</x:v>
      </x:c>
      <x:c r="E480" s="58" t="n">
        <x:f>E479*(1-'Commercial Inputs'!$B$31)+D479*'Commercial Inputs'!$B$31</x:f>
        <x:v>64233.2350634636</x:v>
      </x:c>
      <x:c r="F480" s="58" t="n">
        <x:f>F479*(1-'Commercial Inputs'!$B$31)+E479*'Commercial Inputs'!$B$31</x:f>
        <x:v>77648.85464178026</x:v>
      </x:c>
      <x:c r="G480" s="58" t="n">
        <x:f>G479*(1-'Commercial Inputs'!$B$31)+F479*'Commercial Inputs'!$B$31</x:f>
        <x:v>84014.75366034757</x:v>
      </x:c>
      <x:c r="H480" s="58" t="n">
        <x:f>H479*(1-'Commercial Inputs'!$B$31)+G479*'Commercial Inputs'!$B$31</x:f>
        <x:v>107668.26063798333</x:v>
      </x:c>
      <x:c r="I480" s="58" t="n">
        <x:f>I479*(1-'Commercial Inputs'!$B$31)+H479*'Commercial Inputs'!$B$31</x:f>
        <x:v>132420.30383455078</x:v>
      </x:c>
      <x:c r="J480" s="58" t="n">
        <x:f>J479*(1-'Commercial Inputs'!$B$31)+I479*'Commercial Inputs'!$B$31</x:f>
        <x:v>141510.63915185782</x:v>
      </x:c>
      <x:c r="K480" s="58" t="n">
        <x:f>K479*(1-'Commercial Inputs'!$B$31)+J479*'Commercial Inputs'!$B$31</x:f>
        <x:v>151320.76623533177</x:v>
      </x:c>
      <x:c r="L480" s="58" t="n">
        <x:f>L479*(1-'Commercial Inputs'!$B$31)+K479*'Commercial Inputs'!$B$31</x:f>
        <x:v>162052.3392739119</x:v>
      </x:c>
      <x:c r="M480" s="58" t="n">
        <x:f>M479*(1-'Commercial Inputs'!$B$31)+L479*'Commercial Inputs'!$B$31</x:f>
        <x:v>173853.37640698586</x:v>
      </x:c>
      <x:c r="N480" s="58" t="n">
        <x:f>N479*(1-'Commercial Inputs'!$B$31)+M479*'Commercial Inputs'!$B$31</x:f>
        <x:v>217396.89553418016</x:v>
      </x:c>
      <x:c r="O480" s="58" t="n">
        <x:f>O479*(1-'Commercial Inputs'!$B$31)+N479*'Commercial Inputs'!$B$31</x:f>
        <x:v>261036.08197757465</x:v>
      </x:c>
      <x:c r="P480" s="58" t="n">
        <x:f>P479*(1-'Commercial Inputs'!$B$31)+O479*'Commercial Inputs'!$B$31</x:f>
        <x:v>273810.2454826235</x:v>
      </x:c>
      <x:c r="Q480" s="58" t="n">
        <x:f>Q479*(1-'Commercial Inputs'!$B$31)+P479*'Commercial Inputs'!$B$31</x:f>
        <x:v>289308.65736061335</x:v>
      </x:c>
      <x:c r="R480" s="58" t="n">
        <x:f>R479*(1-'Commercial Inputs'!$B$31)+Q479*'Commercial Inputs'!$B$31</x:f>
        <x:v>305596.6197681264</x:v>
      </x:c>
      <x:c r="S480" s="58" t="n">
        <x:f>S479*(1-'Commercial Inputs'!$B$31)+R479*'Commercial Inputs'!$B$31</x:f>
        <x:v>320640.7226839764</x:v>
      </x:c>
      <x:c r="T480" s="58" t="n">
        <x:f>T479*(1-'Commercial Inputs'!$B$31)+S479*'Commercial Inputs'!$B$31</x:f>
        <x:v>370643.93644179165</x:v>
      </x:c>
      <x:c r="U480" s="58" t="n">
        <x:f>U479*(1-'Commercial Inputs'!$B$31)+T479*'Commercial Inputs'!$B$31</x:f>
        <x:v>422550.07509230374</x:v>
      </x:c>
      <x:c r="V480" s="58" t="n">
        <x:f>V479*(1-'Commercial Inputs'!$B$31)+U479*'Commercial Inputs'!$B$31</x:f>
        <x:v>442348.4079261351</x:v>
      </x:c>
      <x:c r="W480" s="58" t="n">
        <x:f>W479*(1-'Commercial Inputs'!$B$31)+V479*'Commercial Inputs'!$B$31</x:f>
        <x:v>463274.3297528516</x:v>
      </x:c>
      <x:c r="X480" s="58" t="n">
        <x:f>X479*(1-'Commercial Inputs'!$B$31)+W479*'Commercial Inputs'!$B$31</x:f>
        <x:v>485609.1761226017</x:v>
      </x:c>
      <x:c r="Y480" s="58" t="n">
        <x:f>Y479*(1-'Commercial Inputs'!$B$31)+X479*'Commercial Inputs'!$B$31</x:f>
        <x:v>509528.6328318806</x:v>
      </x:c>
      <x:c r="Z480" s="58" t="n">
        <x:f>Z479*(1-'Commercial Inputs'!$B$31)+Y479*'Commercial Inputs'!$B$31</x:f>
        <x:v>561372.2462746649</x:v>
      </x:c>
      <x:c r="AA480" s="58" t="n">
        <x:f>AA479*(1-'Commercial Inputs'!$B$31)+Z479*'Commercial Inputs'!$B$31</x:f>
        <x:v>612282.417123147</x:v>
      </x:c>
      <x:c r="AB480" s="58" t="n">
        <x:f>AB479*(1-'Commercial Inputs'!$B$31)+AA479*'Commercial Inputs'!$B$31</x:f>
        <x:v>635628.7100450213</x:v>
      </x:c>
      <x:c r="AC480" s="58" t="n">
        <x:f>AC479*(1-'Commercial Inputs'!$B$31)+AB479*'Commercial Inputs'!$B$31</x:f>
        <x:v>661169.9577508438</x:v>
      </x:c>
      <x:c r="AD480" s="58" t="n">
        <x:f>AD479*(1-'Commercial Inputs'!$B$31)+AC479*'Commercial Inputs'!$B$31</x:f>
        <x:v>687958.2170716226</x:v>
      </x:c>
      <x:c r="AE480" s="58" t="n">
        <x:f>AE479*(1-'Commercial Inputs'!$B$31)+AD479*'Commercial Inputs'!$B$31</x:f>
        <x:v>714975.3494781167</x:v>
      </x:c>
      <x:c r="AF480" s="58" t="n">
        <x:f>AF479*(1-'Commercial Inputs'!$B$31)+AE479*'Commercial Inputs'!$B$31</x:f>
        <x:v>780741.1299123561</x:v>
      </x:c>
      <x:c r="AG480" s="58" t="n">
        <x:f>AG479*(1-'Commercial Inputs'!$B$31)+AF479*'Commercial Inputs'!$B$31</x:f>
        <x:v>848833.0280192718</x:v>
      </x:c>
      <x:c r="AH480" s="58" t="n">
        <x:f>AH479*(1-'Commercial Inputs'!$B$31)+AG479*'Commercial Inputs'!$B$31</x:f>
        <x:v>881959.9061597211</x:v>
      </x:c>
      <x:c r="AI480" s="58" t="n">
        <x:f>AI479*(1-'Commercial Inputs'!$B$31)+AH479*'Commercial Inputs'!$B$31</x:f>
        <x:v>916748.5498406065</x:v>
      </x:c>
      <x:c r="AJ480" s="58" t="n">
        <x:f>AJ479*(1-'Commercial Inputs'!$B$31)+AI479*'Commercial Inputs'!$B$31</x:f>
        <x:v>953473.422485859</x:v>
      </x:c>
      <x:c r="AK480" s="58" t="n">
        <x:f>AK479*(1-'Commercial Inputs'!$B$31)+AJ479*'Commercial Inputs'!$B$31</x:f>
        <x:v>992311.6989604917</x:v>
      </x:c>
    </x:row>
    <x:row r="481" ht="18" customHeight="1">
      <x:c r="A481" s="4" t="str">
        <x:v>Cash outgo other than withheld fees (INR)</x:v>
      </x:c>
      <x:c r="B481" s="58" t="n">
        <x:f>SUM(B465:B468)+B436+SUM(B472:B475)</x:f>
        <x:v>44151.26775</x:v>
      </x:c>
      <x:c r="C481" s="58" t="n">
        <x:f>SUM(C465:C468)+C436+SUM(C472:C475)</x:f>
        <x:v>25294.484390125</x:v>
      </x:c>
      <x:c r="D481" s="58" t="n">
        <x:f>SUM(D465:D468)+D436+SUM(D472:D475)</x:f>
        <x:v>26484.438131797186</x:v>
      </x:c>
      <x:c r="E481" s="58" t="n">
        <x:f>SUM(E465:E468)+E436+SUM(E472:E475)</x:f>
        <x:v>35832.41620185671</x:v>
      </x:c>
      <x:c r="F481" s="58" t="n">
        <x:f>SUM(F465:F468)+F436+SUM(F472:F475)</x:f>
        <x:v>37555.98104890864</x:v>
      </x:c>
      <x:c r="G481" s="58" t="n">
        <x:f>SUM(G465:G468)+G436+SUM(G472:G475)</x:f>
        <x:v>39374.746829439275</x:v>
      </x:c>
      <x:c r="H481" s="58" t="n">
        <x:f>SUM(H465:H468)+H436+SUM(H472:H475)</x:f>
        <x:v>58809.35548717373</x:v>
      </x:c>
      <x:c r="I481" s="58" t="n">
        <x:f>SUM(I465:I468)+I436+SUM(I472:I475)</x:f>
        <x:v>61653.616893234444</x:v>
      </x:c>
      <x:c r="J481" s="58" t="n">
        <x:f>SUM(J465:J468)+J436+SUM(J472:J475)</x:f>
        <x:v>64621.6890335801</x:v>
      </x:c>
      <x:c r="K481" s="58" t="n">
        <x:f>SUM(K465:K468)+K436+SUM(K472:K475)</x:f>
        <x:v>67757.74842540052</x:v>
      </x:c>
      <x:c r="L481" s="58" t="n">
        <x:f>SUM(L465:L468)+L436+SUM(L472:L475)</x:f>
        <x:v>71088.18292553836</x:v>
      </x:c>
      <x:c r="M481" s="58" t="n">
        <x:f>SUM(M465:M468)+M436+SUM(M472:M475)</x:f>
        <x:v>84641.63495144958</x:v>
      </x:c>
      <x:c r="N481" s="58" t="n">
        <x:f>SUM(N465:N468)+N436+SUM(N472:N475)</x:f>
        <x:v>131062.42304889378</x:v>
      </x:c>
      <x:c r="O481" s="58" t="n">
        <x:f>SUM(O465:O468)+O436+SUM(O472:O475)</x:f>
        <x:v>135460.89437331748</x:v>
      </x:c>
      <x:c r="P481" s="58" t="n">
        <x:f>SUM(P465:P468)+P436+SUM(P472:P475)</x:f>
        <x:v>139937.74521950577</x:v>
      </x:c>
      <x:c r="Q481" s="58" t="n">
        <x:f>SUM(Q465:Q468)+Q436+SUM(Q472:Q475)</x:f>
        <x:v>144385.04527986923</x:v>
      </x:c>
      <x:c r="R481" s="58" t="n">
        <x:f>SUM(R465:R468)+R436+SUM(R472:R475)</x:f>
        <x:v>148921.6214100371</x:v>
      </x:c>
      <x:c r="S481" s="58" t="n">
        <x:f>SUM(S465:S468)+S436+SUM(S472:S475)</x:f>
        <x:v>153614.61496925147</x:v>
      </x:c>
      <x:c r="T481" s="58" t="n">
        <x:f>SUM(T465:T468)+T436+SUM(T472:T475)</x:f>
        <x:v>191569.54601089735</x:v>
      </x:c>
      <x:c r="U481" s="58" t="n">
        <x:f>SUM(U465:U468)+U436+SUM(U472:U475)</x:f>
        <x:v>197510.21548153617</x:v>
      </x:c>
      <x:c r="V481" s="58" t="n">
        <x:f>SUM(V465:V468)+V436+SUM(V472:V475)</x:f>
        <x:v>203590.3977568039</x:v>
      </x:c>
      <x:c r="W481" s="58" t="n">
        <x:f>SUM(W465:W468)+W436+SUM(W472:W475)</x:f>
        <x:v>224864.5318405429</x:v>
      </x:c>
      <x:c r="X481" s="58" t="n">
        <x:f>SUM(X465:X468)+X436+SUM(X472:X475)</x:f>
        <x:v>231352.3216536253</x:v>
      </x:c>
      <x:c r="Y481" s="58" t="n">
        <x:f>SUM(Y465:Y468)+Y436+SUM(Y472:Y475)</x:f>
        <x:v>238073.24131317445</x:v>
      </x:c>
      <x:c r="Z481" s="58" t="n">
        <x:f>SUM(Z465:Z468)+Z436+SUM(Z472:Z475)</x:f>
        <x:v>291970.53760151606</x:v>
      </x:c>
      <x:c r="AA481" s="58" t="n">
        <x:f>SUM(AA465:AA468)+AA436+SUM(AA472:AA475)</x:f>
        <x:v>299016.9131512906</x:v>
      </x:c>
      <x:c r="AB481" s="58" t="n">
        <x:f>SUM(AB465:AB468)+AB436+SUM(AB472:AB475)</x:f>
        <x:v>306222.96629665676</x:v>
      </x:c>
      <x:c r="AC481" s="58" t="n">
        <x:f>SUM(AC465:AC468)+AC436+SUM(AC472:AC475)</x:f>
        <x:v>313615.2519947976</x:v>
      </x:c>
      <x:c r="AD481" s="58" t="n">
        <x:f>SUM(AD465:AD468)+AD436+SUM(AD472:AD475)</x:f>
        <x:v>321194.2888410091</x:v>
      </x:c>
      <x:c r="AE481" s="58" t="n">
        <x:f>SUM(AE465:AE468)+AE436+SUM(AE472:AE475)</x:f>
        <x:v>329003.3275506434</x:v>
      </x:c>
      <x:c r="AF481" s="58" t="n">
        <x:f>SUM(AF465:AF468)+AF436+SUM(AF472:AF475)</x:f>
        <x:v>369673.08835629025</x:v>
      </x:c>
      <x:c r="AG481" s="58" t="n">
        <x:f>SUM(AG465:AG468)+AG436+SUM(AG472:AG475)</x:f>
        <x:v>378334.6643519172</x:v>
      </x:c>
      <x:c r="AH481" s="58" t="n">
        <x:f>SUM(AH465:AH468)+AH436+SUM(AH472:AH475)</x:f>
        <x:v>387214.1498687333</x:v>
      </x:c>
      <x:c r="AI481" s="58" t="n">
        <x:f>SUM(AI465:AI468)+AI436+SUM(AI472:AI475)</x:f>
        <x:v>396361.58229629544</x:v>
      </x:c>
      <x:c r="AJ481" s="58" t="n">
        <x:f>SUM(AJ465:AJ468)+AJ436+SUM(AJ472:AJ475)</x:f>
        <x:v>405795.13792128296</x:v>
      </x:c>
      <x:c r="AK481" s="58" t="n">
        <x:f>SUM(AK465:AK468)+AK436+SUM(AK472:AK475)</x:f>
        <x:v>415532.49323431513</x:v>
      </x:c>
    </x:row>
    <x:row r="482" ht="18" customHeight="1">
      <x:c r="A482" s="74" t="str">
        <x:v>NET CASH MOVEMENT (INR)</x:v>
      </x:c>
      <x:c r="B482" s="75" t="n">
        <x:f>B480-B481</x:f>
        <x:v>-21930.12663610169</x:v>
      </x:c>
      <x:c r="C482" s="75" t="n">
        <x:f>C480-C481</x:f>
        <x:v>21459.56198030738</x:v>
      </x:c>
      <x:c r="D482" s="75" t="n">
        <x:f>D480-D481</x:f>
        <x:v>24990.57771531518</x:v>
      </x:c>
      <x:c r="E482" s="75" t="n">
        <x:f>E480-E481</x:f>
        <x:v>28400.818861606895</x:v>
      </x:c>
      <x:c r="F482" s="75" t="n">
        <x:f>F480-F481</x:f>
        <x:v>40092.87359287162</x:v>
      </x:c>
      <x:c r="G482" s="75" t="n">
        <x:f>G480-G481</x:f>
        <x:v>44640.0068309083</x:v>
      </x:c>
      <x:c r="H482" s="75" t="n">
        <x:f>H480-H481</x:f>
        <x:v>48858.9051508096</x:v>
      </x:c>
      <x:c r="I482" s="75" t="n">
        <x:f>I480-I481</x:f>
        <x:v>70766.68694131634</x:v>
      </x:c>
      <x:c r="J482" s="75" t="n">
        <x:f>J480-J481</x:f>
        <x:v>76888.95011827772</x:v>
      </x:c>
      <x:c r="K482" s="75" t="n">
        <x:f>K480-K481</x:f>
        <x:v>83563.01780993125</x:v>
      </x:c>
      <x:c r="L482" s="75" t="n">
        <x:f>L480-L481</x:f>
        <x:v>90964.15634837354</x:v>
      </x:c>
      <x:c r="M482" s="75" t="n">
        <x:f>M480-M481</x:f>
        <x:v>89211.74145553628</x:v>
      </x:c>
      <x:c r="N482" s="75" t="n">
        <x:f>N480-N481</x:f>
        <x:v>86334.47248528639</x:v>
      </x:c>
      <x:c r="O482" s="75" t="n">
        <x:f>O480-O481</x:f>
        <x:v>125575.18760425717</x:v>
      </x:c>
      <x:c r="P482" s="75" t="n">
        <x:f>P480-P481</x:f>
        <x:v>133872.50026311775</x:v>
      </x:c>
      <x:c r="Q482" s="75" t="n">
        <x:f>Q480-Q481</x:f>
        <x:v>144923.61208074412</x:v>
      </x:c>
      <x:c r="R482" s="75" t="n">
        <x:f>R480-R481</x:f>
        <x:v>156674.9983580893</x:v>
      </x:c>
      <x:c r="S482" s="75" t="n">
        <x:f>S480-S481</x:f>
        <x:v>167026.10771472493</x:v>
      </x:c>
      <x:c r="T482" s="75" t="n">
        <x:f>T480-T481</x:f>
        <x:v>179074.3904308943</x:v>
      </x:c>
      <x:c r="U482" s="75" t="n">
        <x:f>U480-U481</x:f>
        <x:v>225039.85961076757</x:v>
      </x:c>
      <x:c r="V482" s="75" t="n">
        <x:f>V480-V481</x:f>
        <x:v>238758.01016933122</x:v>
      </x:c>
      <x:c r="W482" s="75" t="n">
        <x:f>W480-W481</x:f>
        <x:v>238409.7979123087</x:v>
      </x:c>
      <x:c r="X482" s="75" t="n">
        <x:f>X480-X481</x:f>
        <x:v>254256.85446897644</x:v>
      </x:c>
      <x:c r="Y482" s="75" t="n">
        <x:f>Y480-Y481</x:f>
        <x:v>271455.3915187061</x:v>
      </x:c>
      <x:c r="Z482" s="75" t="n">
        <x:f>Z480-Z481</x:f>
        <x:v>269401.7086731488</x:v>
      </x:c>
      <x:c r="AA482" s="75" t="n">
        <x:f>AA480-AA481</x:f>
        <x:v>313265.50397185644</x:v>
      </x:c>
      <x:c r="AB482" s="75" t="n">
        <x:f>AB480-AB481</x:f>
        <x:v>329405.7437483645</x:v>
      </x:c>
      <x:c r="AC482" s="75" t="n">
        <x:f>AC480-AC481</x:f>
        <x:v>347554.7057560462</x:v>
      </x:c>
      <x:c r="AD482" s="75" t="n">
        <x:f>AD480-AD481</x:f>
        <x:v>366763.9282306135</x:v>
      </x:c>
      <x:c r="AE482" s="75" t="n">
        <x:f>AE480-AE481</x:f>
        <x:v>385972.0219274733</x:v>
      </x:c>
      <x:c r="AF482" s="75" t="n">
        <x:f>AF480-AF481</x:f>
        <x:v>411068.0415560659</x:v>
      </x:c>
      <x:c r="AG482" s="75" t="n">
        <x:f>AG480-AG481</x:f>
        <x:v>470498.36366735457</x:v>
      </x:c>
      <x:c r="AH482" s="75" t="n">
        <x:f>AH480-AH481</x:f>
        <x:v>494745.7562909878</x:v>
      </x:c>
      <x:c r="AI482" s="75" t="n">
        <x:f>AI480-AI481</x:f>
        <x:v>520386.9675443111</x:v>
      </x:c>
      <x:c r="AJ482" s="75" t="n">
        <x:f>AJ480-AJ481</x:f>
        <x:v>547678.2845645761</x:v>
      </x:c>
      <x:c r="AK482" s="75" t="n">
        <x:f>AK480-AK481</x:f>
        <x:v>576779.2057261765</x:v>
      </x:c>
    </x:row>
    <x:row r="483" ht="18" customHeight="1">
      <x:c r="A483" s="4" t="str">
        <x:v>Cumulative cash movement (INR)</x:v>
      </x:c>
      <x:c r="B483" s="58" t="n">
        <x:f>0+B482</x:f>
        <x:v>-21930.12663610169</x:v>
      </x:c>
      <x:c r="C483" s="58" t="n">
        <x:f>B483+C482</x:f>
        <x:v>-470.56465579431097</x:v>
      </x:c>
      <x:c r="D483" s="58" t="n">
        <x:f>C483+D482</x:f>
        <x:v>24520.01305952087</x:v>
      </x:c>
      <x:c r="E483" s="58" t="n">
        <x:f>D483+E482</x:f>
        <x:v>52920.83192112776</x:v>
      </x:c>
      <x:c r="F483" s="58" t="n">
        <x:f>E483+F482</x:f>
        <x:v>93013.70551399939</x:v>
      </x:c>
      <x:c r="G483" s="58" t="n">
        <x:f>F483+G482</x:f>
        <x:v>137653.7123449077</x:v>
      </x:c>
      <x:c r="H483" s="58" t="n">
        <x:f>G483+H482</x:f>
        <x:v>186512.6174957173</x:v>
      </x:c>
      <x:c r="I483" s="58" t="n">
        <x:f>H483+I482</x:f>
        <x:v>257279.30443703366</x:v>
      </x:c>
      <x:c r="J483" s="58" t="n">
        <x:f>I483+J482</x:f>
        <x:v>334168.2545553114</x:v>
      </x:c>
      <x:c r="K483" s="58" t="n">
        <x:f>J483+K482</x:f>
        <x:v>417731.27236524265</x:v>
      </x:c>
      <x:c r="L483" s="58" t="n">
        <x:f>K483+L482</x:f>
        <x:v>508695.4287136162</x:v>
      </x:c>
      <x:c r="M483" s="58" t="n">
        <x:f>L483+M482</x:f>
        <x:v>597907.1701691526</x:v>
      </x:c>
      <x:c r="N483" s="58" t="n">
        <x:f>M483+N482</x:f>
        <x:v>684241.642654439</x:v>
      </x:c>
      <x:c r="O483" s="58" t="n">
        <x:f>N483+O482</x:f>
        <x:v>809816.8302586961</x:v>
      </x:c>
      <x:c r="P483" s="58" t="n">
        <x:f>O483+P482</x:f>
        <x:v>943689.3305218138</x:v>
      </x:c>
      <x:c r="Q483" s="58" t="n">
        <x:f>P483+Q482</x:f>
        <x:v>1088612.942602558</x:v>
      </x:c>
      <x:c r="R483" s="58" t="n">
        <x:f>Q483+R482</x:f>
        <x:v>1245287.9409606473</x:v>
      </x:c>
      <x:c r="S483" s="58" t="n">
        <x:f>R483+S482</x:f>
        <x:v>1412314.0486753723</x:v>
      </x:c>
      <x:c r="T483" s="58" t="n">
        <x:f>S483+T482</x:f>
        <x:v>1591388.4391062665</x:v>
      </x:c>
      <x:c r="U483" s="58" t="n">
        <x:f>T483+U482</x:f>
        <x:v>1816428.298717034</x:v>
      </x:c>
      <x:c r="V483" s="58" t="n">
        <x:f>U483+V482</x:f>
        <x:v>2055186.3088863653</x:v>
      </x:c>
      <x:c r="W483" s="58" t="n">
        <x:f>V483+W482</x:f>
        <x:v>2293596.106798674</x:v>
      </x:c>
      <x:c r="X483" s="58" t="n">
        <x:f>W483+X482</x:f>
        <x:v>2547852.9612676506</x:v>
      </x:c>
      <x:c r="Y483" s="58" t="n">
        <x:f>X483+Y482</x:f>
        <x:v>2819308.3527863566</x:v>
      </x:c>
      <x:c r="Z483" s="58" t="n">
        <x:f>Y483+Z482</x:f>
        <x:v>3088710.0614595055</x:v>
      </x:c>
      <x:c r="AA483" s="58" t="n">
        <x:f>Z483+AA482</x:f>
        <x:v>3401975.565431362</x:v>
      </x:c>
      <x:c r="AB483" s="58" t="n">
        <x:f>AA483+AB482</x:f>
        <x:v>3731381.3091797265</x:v>
      </x:c>
      <x:c r="AC483" s="58" t="n">
        <x:f>AB483+AC482</x:f>
        <x:v>4078936.014935773</x:v>
      </x:c>
      <x:c r="AD483" s="58" t="n">
        <x:f>AC483+AD482</x:f>
        <x:v>4445699.943166386</x:v>
      </x:c>
      <x:c r="AE483" s="58" t="n">
        <x:f>AD483+AE482</x:f>
        <x:v>4831671.9650938595</x:v>
      </x:c>
      <x:c r="AF483" s="58" t="n">
        <x:f>AE483+AF482</x:f>
        <x:v>5242740.006649925</x:v>
      </x:c>
      <x:c r="AG483" s="58" t="n">
        <x:f>AF483+AG482</x:f>
        <x:v>5713238.37031728</x:v>
      </x:c>
      <x:c r="AH483" s="58" t="n">
        <x:f>AG483+AH482</x:f>
        <x:v>6207984.126608268</x:v>
      </x:c>
      <x:c r="AI483" s="58" t="n">
        <x:f>AH483+AI482</x:f>
        <x:v>6728371.094152579</x:v>
      </x:c>
      <x:c r="AJ483" s="58" t="n">
        <x:f>AI483+AJ482</x:f>
        <x:v>7276049.378717155</x:v>
      </x:c>
      <x:c r="AK483" s="58" t="n">
        <x:f>AJ483+AK482</x:f>
        <x:v>7852828.584443332</x:v>
      </x:c>
    </x:row>
    <x:row r="484" ht="18" customHeight="1">
      <x:c r="A484" s="74" t="str">
        <x:v>CLOSING CASH, BEFORE TAX / OWNER DRAWS</x:v>
      </x:c>
      <x:c r="B484" s="75" t="n">
        <x:f>'Commercial Inputs'!$B$29+B483</x:f>
        <x:v>78069.87336389831</x:v>
      </x:c>
      <x:c r="C484" s="75" t="n">
        <x:f>'Commercial Inputs'!$B$29+C483</x:f>
        <x:v>99529.43534420569</x:v>
      </x:c>
      <x:c r="D484" s="75" t="n">
        <x:f>'Commercial Inputs'!$B$29+D483</x:f>
        <x:v>124520.01305952086</x:v>
      </x:c>
      <x:c r="E484" s="75" t="n">
        <x:f>'Commercial Inputs'!$B$29+E483</x:f>
        <x:v>152920.83192112777</x:v>
      </x:c>
      <x:c r="F484" s="75" t="n">
        <x:f>'Commercial Inputs'!$B$29+F483</x:f>
        <x:v>193013.7055139994</x:v>
      </x:c>
      <x:c r="G484" s="75" t="n">
        <x:f>'Commercial Inputs'!$B$29+G483</x:f>
        <x:v>237653.7123449077</x:v>
      </x:c>
      <x:c r="H484" s="75" t="n">
        <x:f>'Commercial Inputs'!$B$29+H483</x:f>
        <x:v>286512.6174957173</x:v>
      </x:c>
      <x:c r="I484" s="75" t="n">
        <x:f>'Commercial Inputs'!$B$29+I483</x:f>
        <x:v>357279.30443703366</x:v>
      </x:c>
      <x:c r="J484" s="75" t="n">
        <x:f>'Commercial Inputs'!$B$29+J483</x:f>
        <x:v>434168.2545553114</x:v>
      </x:c>
      <x:c r="K484" s="75" t="n">
        <x:f>'Commercial Inputs'!$B$29+K483</x:f>
        <x:v>517731.27236524265</x:v>
      </x:c>
      <x:c r="L484" s="75" t="n">
        <x:f>'Commercial Inputs'!$B$29+L483</x:f>
        <x:v>608695.4287136162</x:v>
      </x:c>
      <x:c r="M484" s="75" t="n">
        <x:f>'Commercial Inputs'!$B$29+M483</x:f>
        <x:v>697907.1701691526</x:v>
      </x:c>
      <x:c r="N484" s="75" t="n">
        <x:f>'Commercial Inputs'!$B$29+N483</x:f>
        <x:v>784241.642654439</x:v>
      </x:c>
      <x:c r="O484" s="75" t="n">
        <x:f>'Commercial Inputs'!$B$29+O483</x:f>
        <x:v>909816.8302586961</x:v>
      </x:c>
      <x:c r="P484" s="75" t="n">
        <x:f>'Commercial Inputs'!$B$29+P483</x:f>
        <x:v>1043689.3305218138</x:v>
      </x:c>
      <x:c r="Q484" s="75" t="n">
        <x:f>'Commercial Inputs'!$B$29+Q483</x:f>
        <x:v>1188612.942602558</x:v>
      </x:c>
      <x:c r="R484" s="75" t="n">
        <x:f>'Commercial Inputs'!$B$29+R483</x:f>
        <x:v>1345287.9409606473</x:v>
      </x:c>
      <x:c r="S484" s="75" t="n">
        <x:f>'Commercial Inputs'!$B$29+S483</x:f>
        <x:v>1512314.0486753723</x:v>
      </x:c>
      <x:c r="T484" s="75" t="n">
        <x:f>'Commercial Inputs'!$B$29+T483</x:f>
        <x:v>1691388.4391062665</x:v>
      </x:c>
      <x:c r="U484" s="75" t="n">
        <x:f>'Commercial Inputs'!$B$29+U483</x:f>
        <x:v>1916428.298717034</x:v>
      </x:c>
      <x:c r="V484" s="75" t="n">
        <x:f>'Commercial Inputs'!$B$29+V483</x:f>
        <x:v>2155186.308886365</x:v>
      </x:c>
      <x:c r="W484" s="75" t="n">
        <x:f>'Commercial Inputs'!$B$29+W483</x:f>
        <x:v>2393596.106798674</x:v>
      </x:c>
      <x:c r="X484" s="75" t="n">
        <x:f>'Commercial Inputs'!$B$29+X483</x:f>
        <x:v>2647852.9612676506</x:v>
      </x:c>
      <x:c r="Y484" s="75" t="n">
        <x:f>'Commercial Inputs'!$B$29+Y483</x:f>
        <x:v>2919308.3527863566</x:v>
      </x:c>
      <x:c r="Z484" s="75" t="n">
        <x:f>'Commercial Inputs'!$B$29+Z483</x:f>
        <x:v>3188710.0614595055</x:v>
      </x:c>
      <x:c r="AA484" s="75" t="n">
        <x:f>'Commercial Inputs'!$B$29+AA483</x:f>
        <x:v>3501975.565431362</x:v>
      </x:c>
      <x:c r="AB484" s="75" t="n">
        <x:f>'Commercial Inputs'!$B$29+AB483</x:f>
        <x:v>3831381.3091797265</x:v>
      </x:c>
      <x:c r="AC484" s="75" t="n">
        <x:f>'Commercial Inputs'!$B$29+AC483</x:f>
        <x:v>4178936.014935773</x:v>
      </x:c>
      <x:c r="AD484" s="75" t="n">
        <x:f>'Commercial Inputs'!$B$29+AD483</x:f>
        <x:v>4545699.943166386</x:v>
      </x:c>
      <x:c r="AE484" s="75" t="n">
        <x:f>'Commercial Inputs'!$B$29+AE483</x:f>
        <x:v>4931671.9650938595</x:v>
      </x:c>
      <x:c r="AF484" s="75" t="n">
        <x:f>'Commercial Inputs'!$B$29+AF483</x:f>
        <x:v>5342740.006649925</x:v>
      </x:c>
      <x:c r="AG484" s="75" t="n">
        <x:f>'Commercial Inputs'!$B$29+AG483</x:f>
        <x:v>5813238.37031728</x:v>
      </x:c>
      <x:c r="AH484" s="75" t="n">
        <x:f>'Commercial Inputs'!$B$29+AH483</x:f>
        <x:v>6307984.126608268</x:v>
      </x:c>
      <x:c r="AI484" s="75" t="n">
        <x:f>'Commercial Inputs'!$B$29+AI483</x:f>
        <x:v>6828371.094152579</x:v>
      </x:c>
      <x:c r="AJ484" s="75" t="n">
        <x:f>'Commercial Inputs'!$B$29+AJ483</x:f>
        <x:v>7376049.378717155</x:v>
      </x:c>
      <x:c r="AK484" s="75" t="n">
        <x:f>'Commercial Inputs'!$B$29+AK483</x:f>
        <x:v>7952828.584443332</x:v>
      </x:c>
    </x:row>
    <x:row r="485" ht="18" customHeight="1">
      <x:c r="A485" s="74" t="str">
        <x:v>Unearned annual subscription revenue (INR)</x:v>
      </x:c>
      <x:c r="B485" s="75" t="n">
        <x:f>0+B463-B458</x:f>
        <x:v>43515.59686165255</x:v>
      </x:c>
      <x:c r="C485" s="75" t="n">
        <x:f>B485+C463-C458</x:f>
        <x:v>86480.79882228815</x:v>
      </x:c>
      <x:c r="D485" s="75" t="n">
        <x:f>C485+D463-D458</x:f>
        <x:v>128994.67696408983</x:v>
      </x:c>
      <x:c r="E485" s="75" t="n">
        <x:f>D485+E463-E458</x:f>
        <x:v>186304.0506770688</x:v>
      </x:c>
      <x:c r="F485" s="75" t="n">
        <x:f>E485+F463-F458</x:f>
        <x:v>242021.34769620688</x:v>
      </x:c>
      <x:c r="G485" s="75" t="n">
        <x:f>F485+G463-G458</x:f>
        <x:v>296285.7557588534</x:v>
      </x:c>
      <x:c r="H485" s="75" t="n">
        <x:f>G485+H463-H458</x:f>
        <x:v>382047.52798309946</x:v>
      </x:c>
      <x:c r="I485" s="75" t="n">
        <x:f>H485+I463-I458</x:f>
        <x:v>463705.59290057427</x:v>
      </x:c>
      <x:c r="J485" s="75" t="n">
        <x:f>I485+J463-J458</x:f>
        <x:v>541455.4992607364</x:v>
      </x:c>
      <x:c r="K485" s="75" t="n">
        <x:f>J485+K463-K458</x:f>
        <x:v>615516.2616629796</x:v>
      </x:c>
      <x:c r="L485" s="75" t="n">
        <x:f>K485+L463-L458</x:f>
        <x:v>686133.1764586248</x:v>
      </x:c>
      <x:c r="M485" s="75" t="n">
        <x:f>L485+M463-M458</x:f>
        <x:v>753580.9755611513</x:v>
      </x:c>
      <x:c r="N485" s="75" t="n">
        <x:f>M485+N463-N458</x:f>
        <x:v>882437.0693520512</x:v>
      </x:c>
      <x:c r="O485" s="75" t="n">
        <x:f>N485+O463-O458</x:f>
        <x:v>1003811.3078281361</x:v>
      </x:c>
      <x:c r="P485" s="75" t="n">
        <x:f>O485+P463-P458</x:f>
        <x:v>1117986.22105965</x:v>
      </x:c>
      <x:c r="Q485" s="75" t="n">
        <x:f>P485+Q463-Q458</x:f>
        <x:v>1231062.487109288</x:v>
      </x:c>
      <x:c r="R485" s="75" t="n">
        <x:f>Q485+R463-R458</x:f>
        <x:v>1338597.7524706894</x:v>
      </x:c>
      <x:c r="S485" s="75" t="n">
        <x:f>R485+S463-S458</x:f>
        <x:v>1441002.463667171</x:v>
      </x:c>
      <x:c r="T485" s="75" t="n">
        <x:f>S485+T463-T458</x:f>
        <x:v>1608598.2768655221</x:v>
      </x:c>
      <x:c r="U485" s="75" t="n">
        <x:f>T485+U463-U458</x:f>
        <x:v>1768954.7763649237</x:v>
      </x:c>
      <x:c r="V485" s="75" t="n">
        <x:f>U485+V463-V458</x:f>
        <x:v>1922665.6313541522</x:v>
      </x:c>
      <x:c r="W485" s="75" t="n">
        <x:f>V485+W463-W458</x:f>
        <x:v>2070401.6575694552</x:v>
      </x:c>
      <x:c r="X485" s="75" t="n">
        <x:f>W485+X463-X458</x:f>
        <x:v>2212920.547379832</x:v>
      </x:c>
      <x:c r="Y485" s="75" t="n">
        <x:f>X485+Y463-Y458</x:f>
        <x:v>2351077.8052825145</x:v>
      </x:c>
      <x:c r="Z485" s="75" t="n">
        <x:f>Y485+Z463-Z458</x:f>
        <x:v>2543456.8103310224</x:v>
      </x:c>
      <x:c r="AA485" s="75" t="n">
        <x:f>Z485+AA463-AA458</x:f>
        <x:v>2727413.9912115494</x:v>
      </x:c>
      <x:c r="AB485" s="75" t="n">
        <x:f>AA485+AB463-AB458</x:f>
        <x:v>2903387.29921798</x:v>
      </x:c>
      <x:c r="AC485" s="75" t="n">
        <x:f>AB485+AC463-AC458</x:f>
        <x:v>3074614.378781822</x:v>
      </x:c>
      <x:c r="AD485" s="75" t="n">
        <x:f>AC485+AD463-AD458</x:f>
        <x:v>3239073.7658555596</x:v>
      </x:c>
      <x:c r="AE485" s="75" t="n">
        <x:f>AD485+AE463-AE458</x:f>
        <x:v>3397367.6104846606</x:v>
      </x:c>
      <x:c r="AF485" s="75" t="n">
        <x:f>AE485+AF463-AF458</x:f>
        <x:v>3630139.893598971</x:v>
      </x:c>
      <x:c r="AG485" s="75" t="n">
        <x:f>AF485+AG463-AG458</x:f>
        <x:v>3857518.596076943</x:v>
      </x:c>
      <x:c r="AH485" s="75" t="n">
        <x:f>AG485+AH463-AH458</x:f>
        <x:v>4080325.96149847</x:v>
      </x:c>
      <x:c r="AI485" s="75" t="n">
        <x:f>AH485+AI463-AI458</x:f>
        <x:v>4299473.058304378</x:v>
      </x:c>
      <x:c r="AJ485" s="75" t="n">
        <x:f>AI485+AJ463-AJ458</x:f>
        <x:v>4515968.819367892</x:v>
      </x:c>
      <x:c r="AK485" s="75" t="n">
        <x:f>AJ485+AK463-AK458</x:f>
        <x:v>4730929.986849993</x:v>
      </x:c>
    </x:row>
    <x:row r="486" ht="18" customHeight="1">
      <x:c r="A486" s="4" t="str">
        <x:v>Payout receivable (INR)</x:v>
      </x:c>
      <x:c r="B486" s="58" t="n">
        <x:f>'Commercial Inputs'!$B$31*B479</x:f>
        <x:v>22221.14111389831</x:v>
      </x:c>
      <x:c r="C486" s="58" t="n">
        <x:f>'Commercial Inputs'!$B$31*C479</x:f>
        <x:v>24532.905256534068</x:v>
      </x:c>
      <x:c r="D486" s="58" t="n">
        <x:f>'Commercial Inputs'!$B$31*D479</x:f>
        <x:v>26942.110590578297</x:v>
      </x:c>
      <x:c r="E486" s="58" t="n">
        <x:f>'Commercial Inputs'!$B$31*E479</x:f>
        <x:v>37291.124472885305</x:v>
      </x:c>
      <x:c r="F486" s="58" t="n">
        <x:f>'Commercial Inputs'!$B$31*F479</x:f>
        <x:v>40357.73016889496</x:v>
      </x:c>
      <x:c r="G486" s="58" t="n">
        <x:f>'Commercial Inputs'!$B$31*G479</x:f>
        <x:v>43657.02349145262</x:v>
      </x:c>
      <x:c r="H486" s="58" t="n">
        <x:f>'Commercial Inputs'!$B$31*H479</x:f>
        <x:v>64011.23714653071</x:v>
      </x:c>
      <x:c r="I486" s="58" t="n">
        <x:f>'Commercial Inputs'!$B$31*I479</x:f>
        <x:v>68409.06668802009</x:v>
      </x:c>
      <x:c r="J486" s="58" t="n">
        <x:f>'Commercial Inputs'!$B$31*J479</x:f>
        <x:v>73101.57246383774</x:v>
      </x:c>
      <x:c r="K486" s="58" t="n">
        <x:f>'Commercial Inputs'!$B$31*K479</x:f>
        <x:v>78219.19377149401</x:v>
      </x:c>
      <x:c r="L486" s="58" t="n">
        <x:f>'Commercial Inputs'!$B$31*L479</x:f>
        <x:v>83833.14550241787</x:v>
      </x:c>
      <x:c r="M486" s="58" t="n">
        <x:f>'Commercial Inputs'!$B$31*M479</x:f>
        <x:v>90020.23090456797</x:v>
      </x:c>
      <x:c r="N486" s="58" t="n">
        <x:f>'Commercial Inputs'!$B$31*N479</x:f>
        <x:v>127376.6646296122</x:v>
      </x:c>
      <x:c r="O486" s="58" t="n">
        <x:f>'Commercial Inputs'!$B$31*O479</x:f>
        <x:v>133659.41734796244</x:v>
      </x:c>
      <x:c r="P486" s="58" t="n">
        <x:f>'Commercial Inputs'!$B$31*P479</x:f>
        <x:v>140150.82813466107</x:v>
      </x:c>
      <x:c r="Q486" s="58" t="n">
        <x:f>'Commercial Inputs'!$B$31*Q479</x:f>
        <x:v>149157.82922595227</x:v>
      </x:c>
      <x:c r="R486" s="58" t="n">
        <x:f>'Commercial Inputs'!$B$31*R479</x:f>
        <x:v>156438.7905421741</x:v>
      </x:c>
      <x:c r="S486" s="58" t="n">
        <x:f>'Commercial Inputs'!$B$31*S479</x:f>
        <x:v>164201.9321418023</x:v>
      </x:c>
      <x:c r="T486" s="58" t="n">
        <x:f>'Commercial Inputs'!$B$31*T479</x:f>
        <x:v>206442.00429998935</x:v>
      </x:c>
      <x:c r="U486" s="58" t="n">
        <x:f>'Commercial Inputs'!$B$31*U479</x:f>
        <x:v>216108.0707923144</x:v>
      </x:c>
      <x:c r="V486" s="58" t="n">
        <x:f>'Commercial Inputs'!$B$31*V479</x:f>
        <x:v>226240.33713382075</x:v>
      </x:c>
      <x:c r="W486" s="58" t="n">
        <x:f>'Commercial Inputs'!$B$31*W479</x:f>
        <x:v>237033.99261903085</x:v>
      </x:c>
      <x:c r="X486" s="58" t="n">
        <x:f>'Commercial Inputs'!$B$31*X479</x:f>
        <x:v>248575.18350357085</x:v>
      </x:c>
      <x:c r="Y486" s="58" t="n">
        <x:f>'Commercial Inputs'!$B$31*Y479</x:f>
        <x:v>260953.44932830974</x:v>
      </x:c>
      <x:c r="Z486" s="58" t="n">
        <x:f>'Commercial Inputs'!$B$31*Z479</x:f>
        <x:v>300418.79694635514</x:v>
      </x:c>
      <x:c r="AA486" s="58" t="n">
        <x:f>'Commercial Inputs'!$B$31*AA479</x:f>
        <x:v>311863.62017679185</x:v>
      </x:c>
      <x:c r="AB486" s="58" t="n">
        <x:f>'Commercial Inputs'!$B$31*AB479</x:f>
        <x:v>323765.08986822935</x:v>
      </x:c>
      <x:c r="AC486" s="58" t="n">
        <x:f>'Commercial Inputs'!$B$31*AC479</x:f>
        <x:v>337404.86788261455</x:v>
      </x:c>
      <x:c r="AD486" s="58" t="n">
        <x:f>'Commercial Inputs'!$B$31*AD479</x:f>
        <x:v>350553.3491890081</x:v>
      </x:c>
      <x:c r="AE486" s="58" t="n">
        <x:f>'Commercial Inputs'!$B$31*AE479</x:f>
        <x:v>364422.00028910866</x:v>
      </x:c>
      <x:c r="AF486" s="58" t="n">
        <x:f>'Commercial Inputs'!$B$31*AF479</x:f>
        <x:v>416319.1296232475</x:v>
      </x:c>
      <x:c r="AG486" s="58" t="n">
        <x:f>'Commercial Inputs'!$B$31*AG479</x:f>
        <x:v>432513.89839602425</x:v>
      </x:c>
      <x:c r="AH486" s="58" t="n">
        <x:f>'Commercial Inputs'!$B$31*AH479</x:f>
        <x:v>449446.00776369683</x:v>
      </x:c>
      <x:c r="AI486" s="58" t="n">
        <x:f>'Commercial Inputs'!$B$31*AI479</x:f>
        <x:v>467302.5420769097</x:v>
      </x:c>
      <x:c r="AJ486" s="58" t="n">
        <x:f>'Commercial Inputs'!$B$31*AJ479</x:f>
        <x:v>486170.88040894934</x:v>
      </x:c>
      <x:c r="AK486" s="58" t="n">
        <x:f>'Commercial Inputs'!$B$31*AK479</x:f>
        <x:v>506140.8185515423</x:v>
      </x:c>
    </x:row>
    <x:row r="487" ht="18" customHeight="1">
      <x:c r="A487" s="4" t="str">
        <x:v>Cash-profit bridge check: must be zero</x:v>
      </x:c>
      <x:c r="B487" s="58" t="n">
        <x:f>ROUND(B482-(B476+(B485-0)-(B486-0)),6)</x:f>
        <x:v>0</x:v>
      </x:c>
      <x:c r="C487" s="58" t="n">
        <x:f>ROUND(C482-(C476+(C485-B485)-(C486-B486)),6)</x:f>
        <x:v>0</x:v>
      </x:c>
      <x:c r="D487" s="58" t="n">
        <x:f>ROUND(D482-(D476+(D485-C485)-(D486-C486)),6)</x:f>
        <x:v>0</x:v>
      </x:c>
      <x:c r="E487" s="58" t="n">
        <x:f>ROUND(E482-(E476+(E485-D485)-(E486-D486)),6)</x:f>
        <x:v>0</x:v>
      </x:c>
      <x:c r="F487" s="58" t="n">
        <x:f>ROUND(F482-(F476+(F485-E485)-(F486-E486)),6)</x:f>
        <x:v>0</x:v>
      </x:c>
      <x:c r="G487" s="58" t="n">
        <x:f>ROUND(G482-(G476+(G485-F485)-(G486-F486)),6)</x:f>
        <x:v>0</x:v>
      </x:c>
      <x:c r="H487" s="58" t="n">
        <x:f>ROUND(H482-(H476+(H485-G485)-(H486-G486)),6)</x:f>
        <x:v>0</x:v>
      </x:c>
      <x:c r="I487" s="58" t="n">
        <x:f>ROUND(I482-(I476+(I485-H485)-(I486-H486)),6)</x:f>
        <x:v>0</x:v>
      </x:c>
      <x:c r="J487" s="58" t="n">
        <x:f>ROUND(J482-(J476+(J485-I485)-(J486-I486)),6)</x:f>
        <x:v>0</x:v>
      </x:c>
      <x:c r="K487" s="58" t="n">
        <x:f>ROUND(K482-(K476+(K485-J485)-(K486-J486)),6)</x:f>
        <x:v>0</x:v>
      </x:c>
      <x:c r="L487" s="58" t="n">
        <x:f>ROUND(L482-(L476+(L485-K485)-(L486-K486)),6)</x:f>
        <x:v>0</x:v>
      </x:c>
      <x:c r="M487" s="58" t="n">
        <x:f>ROUND(M482-(M476+(M485-L485)-(M486-L486)),6)</x:f>
        <x:v>0</x:v>
      </x:c>
      <x:c r="N487" s="58" t="n">
        <x:f>ROUND(N482-(N476+(N485-M485)-(N486-M486)),6)</x:f>
        <x:v>0</x:v>
      </x:c>
      <x:c r="O487" s="58" t="n">
        <x:f>ROUND(O482-(O476+(O485-N485)-(O486-N486)),6)</x:f>
        <x:v>0</x:v>
      </x:c>
      <x:c r="P487" s="58" t="n">
        <x:f>ROUND(P482-(P476+(P485-O485)-(P486-O486)),6)</x:f>
        <x:v>0</x:v>
      </x:c>
      <x:c r="Q487" s="58" t="n">
        <x:f>ROUND(Q482-(Q476+(Q485-P485)-(Q486-P486)),6)</x:f>
        <x:v>0</x:v>
      </x:c>
      <x:c r="R487" s="58" t="n">
        <x:f>ROUND(R482-(R476+(R485-Q485)-(R486-Q486)),6)</x:f>
        <x:v>0</x:v>
      </x:c>
      <x:c r="S487" s="58" t="n">
        <x:f>ROUND(S482-(S476+(S485-R485)-(S486-R486)),6)</x:f>
        <x:v>0</x:v>
      </x:c>
      <x:c r="T487" s="58" t="n">
        <x:f>ROUND(T482-(T476+(T485-S485)-(T486-S486)),6)</x:f>
        <x:v>0</x:v>
      </x:c>
      <x:c r="U487" s="58" t="n">
        <x:f>ROUND(U482-(U476+(U485-T485)-(U486-T486)),6)</x:f>
        <x:v>0</x:v>
      </x:c>
      <x:c r="V487" s="58" t="n">
        <x:f>ROUND(V482-(V476+(V485-U485)-(V486-U486)),6)</x:f>
        <x:v>0</x:v>
      </x:c>
      <x:c r="W487" s="58" t="n">
        <x:f>ROUND(W482-(W476+(W485-V485)-(W486-V486)),6)</x:f>
        <x:v>0</x:v>
      </x:c>
      <x:c r="X487" s="58" t="n">
        <x:f>ROUND(X482-(X476+(X485-W485)-(X486-W486)),6)</x:f>
        <x:v>0</x:v>
      </x:c>
      <x:c r="Y487" s="58" t="n">
        <x:f>ROUND(Y482-(Y476+(Y485-X485)-(Y486-X486)),6)</x:f>
        <x:v>0</x:v>
      </x:c>
      <x:c r="Z487" s="58" t="n">
        <x:f>ROUND(Z482-(Z476+(Z485-Y485)-(Z486-Y486)),6)</x:f>
        <x:v>0</x:v>
      </x:c>
      <x:c r="AA487" s="58" t="n">
        <x:f>ROUND(AA482-(AA476+(AA485-Z485)-(AA486-Z486)),6)</x:f>
        <x:v>0</x:v>
      </x:c>
      <x:c r="AB487" s="58" t="n">
        <x:f>ROUND(AB482-(AB476+(AB485-AA485)-(AB486-AA486)),6)</x:f>
        <x:v>0</x:v>
      </x:c>
      <x:c r="AC487" s="58" t="n">
        <x:f>ROUND(AC482-(AC476+(AC485-AB485)-(AC486-AB486)),6)</x:f>
        <x:v>0</x:v>
      </x:c>
      <x:c r="AD487" s="58" t="n">
        <x:f>ROUND(AD482-(AD476+(AD485-AC485)-(AD486-AC486)),6)</x:f>
        <x:v>0</x:v>
      </x:c>
      <x:c r="AE487" s="58" t="n">
        <x:f>ROUND(AE482-(AE476+(AE485-AD485)-(AE486-AD486)),6)</x:f>
        <x:v>0</x:v>
      </x:c>
      <x:c r="AF487" s="58" t="n">
        <x:f>ROUND(AF482-(AF476+(AF485-AE485)-(AF486-AE486)),6)</x:f>
        <x:v>0</x:v>
      </x:c>
      <x:c r="AG487" s="58" t="n">
        <x:f>ROUND(AG482-(AG476+(AG485-AF485)-(AG486-AF486)),6)</x:f>
        <x:v>0</x:v>
      </x:c>
      <x:c r="AH487" s="58" t="n">
        <x:f>ROUND(AH482-(AH476+(AH485-AG485)-(AH486-AG486)),6)</x:f>
        <x:v>0</x:v>
      </x:c>
      <x:c r="AI487" s="58" t="n">
        <x:f>ROUND(AI482-(AI476+(AI485-AH485)-(AI486-AH486)),6)</x:f>
        <x:v>0</x:v>
      </x:c>
      <x:c r="AJ487" s="58" t="n">
        <x:f>ROUND(AJ482-(AJ476+(AJ485-AI485)-(AJ486-AI486)),6)</x:f>
        <x:v>0</x:v>
      </x:c>
      <x:c r="AK487" s="58" t="n">
        <x:f>ROUND(AK482-(AK476+(AK485-AJ485)-(AK486-AJ486)),6)</x:f>
        <x:v>0</x:v>
      </x:c>
    </x:row>
    <x:row r="488" ht="18" customHeight="1">
      <x:c r="A488" s="4" t="str">
        <x:v>Remaining paid-service cost reserve (INR)</x:v>
      </x:c>
      <x:c r="B488" s="58" t="n">
        <x:f>B485/$B$504*'Commercial Inputs'!$B$46*('Commercial Inputs'!$B$24*$B$510+'Commercial Inputs'!$B$28)</x:f>
        <x:v>2104.6975125000004</x:v>
      </x:c>
      <x:c r="C488" s="58" t="n">
        <x:f>C485/$B$504*'Commercial Inputs'!$B$46*('Commercial Inputs'!$B$24*$B$510+'Commercial Inputs'!$B$28)</x:f>
        <x:v>4182.774345000001</x:v>
      </x:c>
      <x:c r="D488" s="58" t="n">
        <x:f>D485/$B$504*'Commercial Inputs'!$B$46*('Commercial Inputs'!$B$24*$B$510+'Commercial Inputs'!$B$28)</x:f>
        <x:v>6239.0222199</x:v>
      </x:c>
      <x:c r="E488" s="58" t="n">
        <x:f>E485/$B$504*'Commercial Inputs'!$B$46*('Commercial Inputs'!$B$24*$B$510+'Commercial Inputs'!$B$28)</x:f>
        <x:v>9010.876566288001</x:v>
      </x:c>
      <x:c r="F488" s="58" t="n">
        <x:f>F485/$B$504*'Commercial Inputs'!$B$46*('Commercial Inputs'!$B$24*$B$510+'Commercial Inputs'!$B$28)</x:f>
        <x:v>11705.727720742561</x:v>
      </x:c>
      <x:c r="G488" s="58" t="n">
        <x:f>G485/$B$504*'Commercial Inputs'!$B$46*('Commercial Inputs'!$B$24*$B$510+'Commercial Inputs'!$B$28)</x:f>
        <x:v>14330.307708231667</x:v>
      </x:c>
      <x:c r="H488" s="58" t="n">
        <x:f>H485/$B$504*'Commercial Inputs'!$B$46*('Commercial Inputs'!$B$24*$B$510+'Commercial Inputs'!$B$28)</x:f>
        <x:v>18478.30524671947</x:v>
      </x:c>
      <x:c r="I488" s="58" t="n">
        <x:f>I485/$B$504*'Commercial Inputs'!$B$46*('Commercial Inputs'!$B$24*$B$510+'Commercial Inputs'!$B$28)</x:f>
        <x:v>22427.82078832581</x:v>
      </x:c>
      <x:c r="J488" s="58" t="n">
        <x:f>J485/$B$504*'Commercial Inputs'!$B$46*('Commercial Inputs'!$B$24*$B$510+'Commercial Inputs'!$B$28)</x:f>
        <x:v>26188.312343424906</x:v>
      </x:c>
      <x:c r="K488" s="58" t="n">
        <x:f>K485/$B$504*'Commercial Inputs'!$B$46*('Commercial Inputs'!$B$24*$B$510+'Commercial Inputs'!$B$28)</x:f>
        <x:v>29770.372883635897</x:v>
      </x:c>
      <x:c r="L488" s="58" t="n">
        <x:f>L485/$B$504*'Commercial Inputs'!$B$46*('Commercial Inputs'!$B$24*$B$510+'Commercial Inputs'!$B$28)</x:f>
        <x:v>33185.8665371722</x:v>
      </x:c>
      <x:c r="M488" s="58" t="n">
        <x:f>M485/$B$504*'Commercial Inputs'!$B$46*('Commercial Inputs'!$B$24*$B$510+'Commercial Inputs'!$B$28)</x:f>
        <x:v>36448.081127632875</x:v>
      </x:c>
      <x:c r="N488" s="58" t="n">
        <x:f>N485/$B$504*'Commercial Inputs'!$B$46*('Commercial Inputs'!$B$24*$B$510+'Commercial Inputs'!$B$28)</x:f>
        <x:v>42680.40056322281</x:v>
      </x:c>
      <x:c r="O488" s="58" t="n">
        <x:f>O485/$B$504*'Commercial Inputs'!$B$46*('Commercial Inputs'!$B$24*$B$510+'Commercial Inputs'!$B$28)</x:f>
        <x:v>48550.84877548931</x:v>
      </x:c>
      <x:c r="P488" s="58" t="n">
        <x:f>P485/$B$504*'Commercial Inputs'!$B$46*('Commercial Inputs'!$B$24*$B$510+'Commercial Inputs'!$B$28)</x:f>
        <x:v>54073.09075765168</x:v>
      </x:c>
      <x:c r="Q488" s="58" t="n">
        <x:f>Q485/$B$504*'Commercial Inputs'!$B$46*('Commercial Inputs'!$B$24*$B$510+'Commercial Inputs'!$B$28)</x:f>
        <x:v>59542.19501087146</x:v>
      </x:c>
      <x:c r="R488" s="58" t="n">
        <x:f>R485/$B$504*'Commercial Inputs'!$B$46*('Commercial Inputs'!$B$24*$B$510+'Commercial Inputs'!$B$28)</x:f>
        <x:v>64743.300403766065</x:v>
      </x:c>
      <x:c r="S488" s="58" t="n">
        <x:f>S485/$B$504*'Commercial Inputs'!$B$46*('Commercial Inputs'!$B$24*$B$510+'Commercial Inputs'!$B$28)</x:f>
        <x:v>69696.25880184906</x:v>
      </x:c>
      <x:c r="T488" s="58" t="n">
        <x:f>T485/$B$504*'Commercial Inputs'!$B$46*('Commercial Inputs'!$B$24*$B$510+'Commercial Inputs'!$B$28)</x:f>
        <x:v>77802.28322949122</x:v>
      </x:c>
      <x:c r="U488" s="58" t="n">
        <x:f>U485/$B$504*'Commercial Inputs'!$B$46*('Commercial Inputs'!$B$24*$B$510+'Commercial Inputs'!$B$28)</x:f>
        <x:v>85558.16732508583</x:v>
      </x:c>
      <x:c r="V488" s="58" t="n">
        <x:f>V485/$B$504*'Commercial Inputs'!$B$46*('Commercial Inputs'!$B$24*$B$510+'Commercial Inputs'!$B$28)</x:f>
        <x:v>92992.62479486651</x:v>
      </x:c>
      <x:c r="W488" s="58" t="n">
        <x:f>W485/$B$504*'Commercial Inputs'!$B$46*('Commercial Inputs'!$B$24*$B$510+'Commercial Inputs'!$B$28)</x:f>
        <x:v>100138.10065425876</x:v>
      </x:c>
      <x:c r="X488" s="58" t="n">
        <x:f>X485/$B$504*'Commercial Inputs'!$B$46*('Commercial Inputs'!$B$24*$B$510+'Commercial Inputs'!$B$28)</x:f>
        <x:v>107031.24183813842</x:v>
      </x:c>
      <x:c r="Y488" s="58" t="n">
        <x:f>Y485/$B$504*'Commercial Inputs'!$B$46*('Commercial Inputs'!$B$24*$B$510+'Commercial Inputs'!$B$28)</x:f>
        <x:v>113713.42611257364</x:v>
      </x:c>
      <x:c r="Z488" s="58" t="n">
        <x:f>Z485/$B$504*'Commercial Inputs'!$B$46*('Commercial Inputs'!$B$24*$B$510+'Commercial Inputs'!$B$28)</x:f>
        <x:v>123018.12701487543</x:v>
      </x:c>
      <x:c r="AA488" s="58" t="n">
        <x:f>AA485/$B$504*'Commercial Inputs'!$B$46*('Commercial Inputs'!$B$24*$B$510+'Commercial Inputs'!$B$28)</x:f>
        <x:v>131915.49368174397</x:v>
      </x:c>
      <x:c r="AB488" s="58" t="n">
        <x:f>AB485/$B$504*'Commercial Inputs'!$B$46*('Commercial Inputs'!$B$24*$B$510+'Commercial Inputs'!$B$28)</x:f>
        <x:v>140426.7082884294</x:v>
      </x:c>
      <x:c r="AC488" s="58" t="n">
        <x:f>AC485/$B$504*'Commercial Inputs'!$B$46*('Commercial Inputs'!$B$24*$B$510+'Commercial Inputs'!$B$28)</x:f>
        <x:v>148708.36439385763</x:v>
      </x:c>
      <x:c r="AD488" s="58" t="n">
        <x:f>AD485/$B$504*'Commercial Inputs'!$B$46*('Commercial Inputs'!$B$24*$B$510+'Commercial Inputs'!$B$28)</x:f>
        <x:v>156662.69083873736</x:v>
      </x:c>
      <x:c r="AE488" s="58" t="n">
        <x:f>AE485/$B$504*'Commercial Inputs'!$B$46*('Commercial Inputs'!$B$24*$B$510+'Commercial Inputs'!$B$28)</x:f>
        <x:v>164318.81151873484</x:v>
      </x:c>
      <x:c r="AF488" s="58" t="n">
        <x:f>AF485/$B$504*'Commercial Inputs'!$B$46*('Commercial Inputs'!$B$24*$B$510+'Commercial Inputs'!$B$28)</x:f>
        <x:v>175577.19427301956</x:v>
      </x:c>
      <x:c r="AG488" s="58" t="n">
        <x:f>AG485/$B$504*'Commercial Inputs'!$B$46*('Commercial Inputs'!$B$24*$B$510+'Commercial Inputs'!$B$28)</x:f>
        <x:v>186574.70836026382</x:v>
      </x:c>
      <x:c r="AH488" s="58" t="n">
        <x:f>AH485/$B$504*'Commercial Inputs'!$B$46*('Commercial Inputs'!$B$24*$B$510+'Commercial Inputs'!$B$28)</x:f>
        <x:v>197351.12283207386</x:v>
      </x:c>
      <x:c r="AI488" s="58" t="n">
        <x:f>AI485/$B$504*'Commercial Inputs'!$B$46*('Commercial Inputs'!$B$24*$B$510+'Commercial Inputs'!$B$28)</x:f>
        <x:v>207950.5028885026</x:v>
      </x:c>
      <x:c r="AJ488" s="58" t="n">
        <x:f>AJ485/$B$504*'Commercial Inputs'!$B$46*('Commercial Inputs'!$B$24*$B$510+'Commercial Inputs'!$B$28)</x:f>
        <x:v>218421.64709056483</x:v>
      </x:c>
      <x:c r="AK488" s="58" t="n">
        <x:f>AK485/$B$504*'Commercial Inputs'!$B$46*('Commercial Inputs'!$B$24*$B$510+'Commercial Inputs'!$B$28)</x:f>
        <x:v>228818.5683581752</x:v>
      </x:c>
    </x:row>
    <x:row r="489" ht="18" customHeight="1">
      <x:c r="A489" s="4" t="str">
        <x:v>Forward liquidity buffer (INR)</x:v>
      </x:c>
      <x:c r="B489" s="58" t="n">
        <x:f>'Commercial Inputs'!$B$34*(SUM(B472:B474)+B467+B436)</x:f>
        <x:v>70084.1673</x:v>
      </x:c>
      <x:c r="C489" s="58" t="n">
        <x:f>'Commercial Inputs'!$B$34*(SUM(C472:C474)+C467+C436)</x:f>
        <x:v>72600.52829715</x:v>
      </x:c>
      <x:c r="D489" s="58" t="n">
        <x:f>'Commercial Inputs'!$B$34*(SUM(D472:D474)+D467+D436)</x:f>
        <x:v>75219.80417835413</x:v>
      </x:c>
      <x:c r="E489" s="58" t="n">
        <x:f>'Commercial Inputs'!$B$34*(SUM(E472:E474)+E467+E436)</x:f>
        <x:v>101419.875216218</x:v>
      </x:c>
      <x:c r="F489" s="58" t="n">
        <x:f>'Commercial Inputs'!$B$34*(SUM(F472:F474)+F467+F436)</x:f>
        <x:v>105237.340464426</x:v>
      </x:c>
      <x:c r="G489" s="58" t="n">
        <x:f>'Commercial Inputs'!$B$34*(SUM(G472:G474)+G467+G436)</x:f>
        <x:v>109262.28082969498</x:v>
      </x:c>
      <x:c r="H489" s="58" t="n">
        <x:f>'Commercial Inputs'!$B$34*(SUM(H472:H474)+H467+H436)</x:f>
        <x:v>164248.5568553559</x:v>
      </x:c>
      <x:c r="I489" s="58" t="n">
        <x:f>'Commercial Inputs'!$B$34*(SUM(I472:I474)+I467+I436)</x:f>
        <x:v>170585.2259355099</x:v>
      </x:c>
      <x:c r="J489" s="58" t="n">
        <x:f>'Commercial Inputs'!$B$34*(SUM(J472:J474)+J467+J436)</x:f>
        <x:v>177192.22118786687</x:v>
      </x:c>
      <x:c r="K489" s="58" t="n">
        <x:f>'Commercial Inputs'!$B$34*(SUM(K472:K474)+K467+K436)</x:f>
        <x:v>184164.4016816495</x:v>
      </x:c>
      <x:c r="L489" s="58" t="n">
        <x:f>'Commercial Inputs'!$B$34*(SUM(L472:L474)+L467+L436)</x:f>
        <x:v>191558.85185915756</x:v>
      </x:c>
      <x:c r="M489" s="58" t="n">
        <x:f>'Commercial Inputs'!$B$34*(SUM(M472:M474)+M467+M436)</x:f>
        <x:v>229437.5647077354</x:v>
      </x:c>
      <x:c r="N489" s="58" t="n">
        <x:f>'Commercial Inputs'!$B$34*(SUM(N472:N474)+N467+N436)</x:f>
        <x:v>363073.91437247593</x:v>
      </x:c>
      <x:c r="O489" s="58" t="n">
        <x:f>'Commercial Inputs'!$B$34*(SUM(O472:O474)+O467+O436)</x:f>
        <x:v>372902.1474528967</x:v>
      </x:c>
      <x:c r="P489" s="58" t="n">
        <x:f>'Commercial Inputs'!$B$34*(SUM(P472:P474)+P467+P436)</x:f>
        <x:v>382900.47280078393</x:v>
      </x:c>
      <x:c r="Q489" s="58" t="n">
        <x:f>'Commercial Inputs'!$B$34*(SUM(Q472:Q474)+Q467+Q436)</x:f>
        <x:v>392690.553277408</x:v>
      </x:c>
      <x:c r="R489" s="58" t="n">
        <x:f>'Commercial Inputs'!$B$34*(SUM(R472:R474)+R467+R436)</x:f>
        <x:v>402783.34392061393</x:v>
      </x:c>
      <x:c r="S489" s="58" t="n">
        <x:f>'Commercial Inputs'!$B$34*(SUM(S472:S474)+S467+S436)</x:f>
        <x:v>413211.37161209935</x:v>
      </x:c>
      <x:c r="T489" s="58" t="n">
        <x:f>'Commercial Inputs'!$B$34*(SUM(T472:T474)+T467+T436)</x:f>
        <x:v>520126.06185118976</x:v>
      </x:c>
      <x:c r="U489" s="58" t="n">
        <x:f>'Commercial Inputs'!$B$34*(SUM(U472:U474)+U467+U436)</x:f>
        <x:v>533334.7811337772</x:v>
      </x:c>
      <x:c r="V489" s="58" t="n">
        <x:f>'Commercial Inputs'!$B$34*(SUM(V472:V474)+V467+V436)</x:f>
        <x:v>546840.7508231712</x:v>
      </x:c>
      <x:c r="W489" s="58" t="n">
        <x:f>'Commercial Inputs'!$B$34*(SUM(W472:W474)+W467+W436)</x:f>
        <x:v>605758.8919220932</x:v>
      </x:c>
      <x:c r="X489" s="58" t="n">
        <x:f>'Commercial Inputs'!$B$34*(SUM(X472:X474)+X467+X436)</x:f>
        <x:v>620129.9774015256</x:v>
      </x:c>
      <x:c r="Y489" s="58" t="n">
        <x:f>'Commercial Inputs'!$B$34*(SUM(Y472:Y474)+Y467+Y436)</x:f>
        <x:v>634994.0629199885</x:v>
      </x:c>
      <x:c r="Z489" s="58" t="n">
        <x:f>'Commercial Inputs'!$B$34*(SUM(Z472:Z474)+Z467+Z436)</x:f>
        <x:v>789244.2311827112</x:v>
      </x:c>
      <x:c r="AA489" s="58" t="n">
        <x:f>'Commercial Inputs'!$B$34*(SUM(AA472:AA474)+AA467+AA436)</x:f>
        <x:v>804912.9304516593</x:v>
      </x:c>
      <x:c r="AB489" s="58" t="n">
        <x:f>'Commercial Inputs'!$B$34*(SUM(AB472:AB474)+AB467+AB436)</x:f>
        <x:v>820926.0157693358</x:v>
      </x:c>
      <x:c r="AC489" s="58" t="n">
        <x:f>'Commercial Inputs'!$B$34*(SUM(AC472:AC474)+AC467+AC436)</x:f>
        <x:v>837273.4987166383</x:v>
      </x:c>
      <x:c r="AD489" s="58" t="n">
        <x:f>'Commercial Inputs'!$B$34*(SUM(AD472:AD474)+AD467+AD436)</x:f>
        <x:v>854080.5774087051</x:v>
      </x:c>
      <x:c r="AE489" s="58" t="n">
        <x:f>'Commercial Inputs'!$B$34*(SUM(AE472:AE474)+AE467+AE436)</x:f>
        <x:v>871379.9312761783</x:v>
      </x:c>
      <x:c r="AF489" s="58" t="n">
        <x:f>'Commercial Inputs'!$B$34*(SUM(AF472:AF474)+AF467+AF436)</x:f>
        <x:v>984039.9063646209</x:v>
      </x:c>
      <x:c r="AG489" s="58" t="n">
        <x:f>'Commercial Inputs'!$B$34*(SUM(AG472:AG474)+AG467+AG436)</x:f>
        <x:v>1003181.8901142422</x:v>
      </x:c>
      <x:c r="AH489" s="58" t="n">
        <x:f>'Commercial Inputs'!$B$34*(SUM(AH472:AH474)+AH467+AH436)</x:f>
        <x:v>1022787.423849823</x:v>
      </x:c>
      <x:c r="AI489" s="58" t="n">
        <x:f>'Commercial Inputs'!$B$34*(SUM(AI472:AI474)+AI467+AI436)</x:f>
        <x:v>1042961.7094733145</x:v>
      </x:c>
      <x:c r="AJ489" s="58" t="n">
        <x:f>'Commercial Inputs'!$B$34*(SUM(AJ472:AJ474)+AJ467+AJ436)</x:f>
        <x:v>1063741.9171943972</x:v>
      </x:c>
      <x:c r="AK489" s="58" t="n">
        <x:f>'Commercial Inputs'!$B$34*(SUM(AK472:AK474)+AK467+AK436)</x:f>
        <x:v>1085163.9293840062</x:v>
      </x:c>
    </x:row>
    <x:row r="490" ht="18" customHeight="1">
      <x:c r="A490" s="4" t="str">
        <x:v>Cash after service / liquidity reserves</x:v>
      </x:c>
      <x:c r="B490" s="58" t="n">
        <x:f>B484-B488-B489</x:f>
        <x:v>5881.008551398307</x:v>
      </x:c>
      <x:c r="C490" s="58" t="n">
        <x:f>C484-C488-C489</x:f>
        <x:v>22746.132702055693</x:v>
      </x:c>
      <x:c r="D490" s="58" t="n">
        <x:f>D484-D488-D489</x:f>
        <x:v>43061.186661266736</x:v>
      </x:c>
      <x:c r="E490" s="58" t="n">
        <x:f>E484-E488-E489</x:f>
        <x:v>42490.080138621764</x:v>
      </x:c>
      <x:c r="F490" s="58" t="n">
        <x:f>F484-F488-F489</x:f>
        <x:v>76070.63732883084</x:v>
      </x:c>
      <x:c r="G490" s="58" t="n">
        <x:f>G484-G488-G489</x:f>
        <x:v>114061.12380698104</x:v>
      </x:c>
      <x:c r="H490" s="58" t="n">
        <x:f>H484-H488-H489</x:f>
        <x:v>103785.75539364194</x:v>
      </x:c>
      <x:c r="I490" s="58" t="n">
        <x:f>I484-I488-I489</x:f>
        <x:v>164266.25771319796</x:v>
      </x:c>
      <x:c r="J490" s="58" t="n">
        <x:f>J484-J488-J489</x:f>
        <x:v>230787.72102401964</x:v>
      </x:c>
      <x:c r="K490" s="58" t="n">
        <x:f>K484-K488-K489</x:f>
        <x:v>303796.49779995723</x:v>
      </x:c>
      <x:c r="L490" s="58" t="n">
        <x:f>L484-L488-L489</x:f>
        <x:v>383950.71031728643</x:v>
      </x:c>
      <x:c r="M490" s="58" t="n">
        <x:f>M484-M488-M489</x:f>
        <x:v>432021.52433378424</x:v>
      </x:c>
      <x:c r="N490" s="58" t="n">
        <x:f>N484-N488-N489</x:f>
        <x:v>378487.3277187402</x:v>
      </x:c>
      <x:c r="O490" s="58" t="n">
        <x:f>O484-O488-O489</x:f>
        <x:v>488363.83403031016</x:v>
      </x:c>
      <x:c r="P490" s="58" t="n">
        <x:f>P484-P488-P489</x:f>
        <x:v>606715.7669633782</x:v>
      </x:c>
      <x:c r="Q490" s="58" t="n">
        <x:f>Q484-Q488-Q489</x:f>
        <x:v>736380.1943142787</x:v>
      </x:c>
      <x:c r="R490" s="58" t="n">
        <x:f>R484-R488-R489</x:f>
        <x:v>877761.2966362673</x:v>
      </x:c>
      <x:c r="S490" s="58" t="n">
        <x:f>S484-S488-S489</x:f>
        <x:v>1029406.4182614238</x:v>
      </x:c>
      <x:c r="T490" s="58" t="n">
        <x:f>T484-T488-T489</x:f>
        <x:v>1093460.0940255856</x:v>
      </x:c>
      <x:c r="U490" s="58" t="n">
        <x:f>U484-U488-U489</x:f>
        <x:v>1297535.350258171</x:v>
      </x:c>
      <x:c r="V490" s="58" t="n">
        <x:f>V484-V488-V489</x:f>
        <x:v>1515352.9332683273</x:v>
      </x:c>
      <x:c r="W490" s="58" t="n">
        <x:f>W484-W488-W489</x:f>
        <x:v>1687699.114222322</x:v>
      </x:c>
      <x:c r="X490" s="58" t="n">
        <x:f>X484-X488-X489</x:f>
        <x:v>1920691.7420279863</x:v>
      </x:c>
      <x:c r="Y490" s="58" t="n">
        <x:f>Y484-Y488-Y489</x:f>
        <x:v>2170600.8637537947</x:v>
      </x:c>
      <x:c r="Z490" s="58" t="n">
        <x:f>Z484-Z488-Z489</x:f>
        <x:v>2276447.703261919</x:v>
      </x:c>
      <x:c r="AA490" s="58" t="n">
        <x:f>AA484-AA488-AA489</x:f>
        <x:v>2565147.141297959</x:v>
      </x:c>
      <x:c r="AB490" s="58" t="n">
        <x:f>AB484-AB488-AB489</x:f>
        <x:v>2870028.5851219613</x:v>
      </x:c>
      <x:c r="AC490" s="58" t="n">
        <x:f>AC484-AC488-AC489</x:f>
        <x:v>3192954.1518252767</x:v>
      </x:c>
      <x:c r="AD490" s="58" t="n">
        <x:f>AD484-AD488-AD489</x:f>
        <x:v>3534956.674918944</x:v>
      </x:c>
      <x:c r="AE490" s="58" t="n">
        <x:f>AE484-AE488-AE489</x:f>
        <x:v>3895973.2222989458</x:v>
      </x:c>
      <x:c r="AF490" s="58" t="n">
        <x:f>AF484-AF488-AF489</x:f>
        <x:v>4183122.9060122855</x:v>
      </x:c>
      <x:c r="AG490" s="58" t="n">
        <x:f>AG484-AG488-AG489</x:f>
        <x:v>4623481.771842774</x:v>
      </x:c>
      <x:c r="AH490" s="58" t="n">
        <x:f>AH484-AH488-AH489</x:f>
        <x:v>5087845.579926372</x:v>
      </x:c>
      <x:c r="AI490" s="58" t="n">
        <x:f>AI484-AI488-AI489</x:f>
        <x:v>5577458.881790762</x:v>
      </x:c>
      <x:c r="AJ490" s="58" t="n">
        <x:f>AJ484-AJ488-AJ489</x:f>
        <x:v>6093885.8144321935</x:v>
      </x:c>
      <x:c r="AK490" s="58" t="n">
        <x:f>AK484-AK488-AK489</x:f>
        <x:v>6638846.08670115</x:v>
      </x:c>
    </x:row>
    <x:row r="491" ht="18" customHeight="1">
      <x:c r="A491" s="4" t="str">
        <x:v>Cumulative earned operating profit (INR)</x:v>
      </x:c>
      <x:c r="B491" s="58" t="n">
        <x:f>0+B476</x:f>
        <x:v>-43224.58238385593</x:v>
      </x:c>
      <x:c r="C491" s="58" t="n">
        <x:f>B491+C476</x:f>
        <x:v>-62418.45822154838</x:v>
      </x:c>
      <x:c r="D491" s="58" t="n">
        <x:f>C491+D476</x:f>
        <x:v>-77532.55331399066</x:v>
      </x:c>
      <x:c r="E491" s="58" t="n">
        <x:f>D491+E476</x:f>
        <x:v>-96092.09428305572</x:v>
      </x:c>
      <x:c r="F491" s="58" t="n">
        <x:f>E491+F476</x:f>
        <x:v>-108649.91201331253</x:v>
      </x:c>
      <x:c r="G491" s="58" t="n">
        <x:f>F491+G476</x:f>
        <x:v>-114975.01992249308</x:v>
      </x:c>
      <x:c r="H491" s="58" t="n">
        <x:f>G491+H476</x:f>
        <x:v>-131523.67334085144</x:v>
      </x:c>
      <x:c r="I491" s="58" t="n">
        <x:f>H491+I476</x:f>
        <x:v>-138017.22177552048</x:v>
      </x:c>
      <x:c r="J491" s="58" t="n">
        <x:f>I491+J476</x:f>
        <x:v>-134185.67224158722</x:v>
      </x:c>
      <x:c r="K491" s="58" t="n">
        <x:f>J491+K476</x:f>
        <x:v>-119565.79552624293</x:v>
      </x:c>
      <x:c r="L491" s="58" t="n">
        <x:f>K491+L476</x:f>
        <x:v>-93604.60224259074</x:v>
      </x:c>
      <x:c r="M491" s="58" t="n">
        <x:f>L491+M476</x:f>
        <x:v>-65653.57448743092</x:v>
      </x:c>
      <x:c r="N491" s="58" t="n">
        <x:f>M491+N476</x:f>
        <x:v>-70818.76206800016</x:v>
      </x:c>
      <x:c r="O491" s="58" t="n">
        <x:f>N491+O476</x:f>
        <x:v>-60335.06022147776</x:v>
      </x:c>
      <x:c r="P491" s="58" t="n">
        <x:f>O491+P476</x:f>
        <x:v>-34146.06240317511</x:v>
      </x:c>
      <x:c r="Q491" s="58" t="n">
        <x:f>P491+Q476</x:f>
        <x:v>6708.284719222138</x:v>
      </x:c>
      <x:c r="R491" s="58" t="n">
        <x:f>Q491+R476</x:f>
        <x:v>63128.97903213205</x:v>
      </x:c>
      <x:c r="S491" s="58" t="n">
        <x:f>R491+S476</x:f>
        <x:v>135513.51715000355</x:v>
      </x:c>
      <x:c r="T491" s="58" t="n">
        <x:f>S491+T476</x:f>
        <x:v>189232.16654073374</x:v>
      </x:c>
      <x:c r="U491" s="58" t="n">
        <x:f>T491+U476</x:f>
        <x:v>263581.59314442484</x:v>
      </x:c>
      <x:c r="V491" s="58" t="n">
        <x:f>U491+V476</x:f>
        <x:v>358761.0146660337</x:v>
      </x:c>
      <x:c r="W491" s="58" t="n">
        <x:f>V491+W476</x:f>
        <x:v>460228.44184824935</x:v>
      </x:c>
      <x:c r="X491" s="58" t="n">
        <x:f>W491+X476</x:f>
        <x:v>583507.5973913893</x:v>
      </x:c>
      <x:c r="Y491" s="58" t="n">
        <x:f>X491+Y476</x:f>
        <x:v>729183.9968321517</x:v>
      </x:c>
      <x:c r="Z491" s="58" t="n">
        <x:f>Y491+Z476</x:f>
        <x:v>845672.048074838</x:v>
      </x:c>
      <x:c r="AA491" s="58" t="n">
        <x:f>Z491+AA476</x:f>
        <x:v>986425.1943966042</x:v>
      </x:c>
      <x:c r="AB491" s="58" t="n">
        <x:f>AA491+AB476</x:f>
        <x:v>1151759.0998299755</x:v>
      </x:c>
      <x:c r="AC491" s="58" t="n">
        <x:f>AB491+AC476</x:f>
        <x:v>1341726.5040365646</x:v>
      </x:c>
      <x:c r="AD491" s="58" t="n">
        <x:f>AC491+AD476</x:f>
        <x:v>1557179.5264998341</x:v>
      </x:c>
      <x:c r="AE491" s="58" t="n">
        <x:f>AD491+AE476</x:f>
        <x:v>1798726.3548983072</x:v>
      </x:c>
      <x:c r="AF491" s="58" t="n">
        <x:f>AE491+AF476</x:f>
        <x:v>2028919.2426742017</x:v>
      </x:c>
      <x:c r="AG491" s="58" t="n">
        <x:f>AF491+AG476</x:f>
        <x:v>2288233.6726363613</x:v>
      </x:c>
      <x:c r="AH491" s="58" t="n">
        <x:f>AG491+AH476</x:f>
        <x:v>2577104.172873494</x:v>
      </x:c>
      <x:c r="AI491" s="58" t="n">
        <x:f>AH491+AI476</x:f>
        <x:v>2896200.57792511</x:v>
      </x:c>
      <x:c r="AJ491" s="58" t="n">
        <x:f>AI491+AJ476</x:f>
        <x:v>3246251.439758212</x:v>
      </x:c>
      <x:c r="AK491" s="58" t="n">
        <x:f>AJ491+AK476</x:f>
        <x:v>3628039.4161448805</x:v>
      </x:c>
    </x:row>
    <x:row r="492" ht="18" customHeight="1">
      <x:c r="A492" s="4" t="str">
        <x:v>Pre-tax retained-profit / liquidity cap</x:v>
      </x:c>
      <x:c r="B492" s="58" t="n">
        <x:f>MAX(0,MIN(B491,B490))</x:f>
        <x:v>0</x:v>
      </x:c>
      <x:c r="C492" s="58" t="n">
        <x:f>MAX(0,MIN(C491,C490))</x:f>
        <x:v>0</x:v>
      </x:c>
      <x:c r="D492" s="58" t="n">
        <x:f>MAX(0,MIN(D491,D490))</x:f>
        <x:v>0</x:v>
      </x:c>
      <x:c r="E492" s="58" t="n">
        <x:f>MAX(0,MIN(E491,E490))</x:f>
        <x:v>0</x:v>
      </x:c>
      <x:c r="F492" s="58" t="n">
        <x:f>MAX(0,MIN(F491,F490))</x:f>
        <x:v>0</x:v>
      </x:c>
      <x:c r="G492" s="58" t="n">
        <x:f>MAX(0,MIN(G491,G490))</x:f>
        <x:v>0</x:v>
      </x:c>
      <x:c r="H492" s="58" t="n">
        <x:f>MAX(0,MIN(H491,H490))</x:f>
        <x:v>0</x:v>
      </x:c>
      <x:c r="I492" s="58" t="n">
        <x:f>MAX(0,MIN(I491,I490))</x:f>
        <x:v>0</x:v>
      </x:c>
      <x:c r="J492" s="58" t="n">
        <x:f>MAX(0,MIN(J491,J490))</x:f>
        <x:v>0</x:v>
      </x:c>
      <x:c r="K492" s="58" t="n">
        <x:f>MAX(0,MIN(K491,K490))</x:f>
        <x:v>0</x:v>
      </x:c>
      <x:c r="L492" s="58" t="n">
        <x:f>MAX(0,MIN(L491,L490))</x:f>
        <x:v>0</x:v>
      </x:c>
      <x:c r="M492" s="58" t="n">
        <x:f>MAX(0,MIN(M491,M490))</x:f>
        <x:v>0</x:v>
      </x:c>
      <x:c r="N492" s="58" t="n">
        <x:f>MAX(0,MIN(N491,N490))</x:f>
        <x:v>0</x:v>
      </x:c>
      <x:c r="O492" s="58" t="n">
        <x:f>MAX(0,MIN(O491,O490))</x:f>
        <x:v>0</x:v>
      </x:c>
      <x:c r="P492" s="58" t="n">
        <x:f>MAX(0,MIN(P491,P490))</x:f>
        <x:v>0</x:v>
      </x:c>
      <x:c r="Q492" s="58" t="n">
        <x:f>MAX(0,MIN(Q491,Q490))</x:f>
        <x:v>6708.284719222138</x:v>
      </x:c>
      <x:c r="R492" s="58" t="n">
        <x:f>MAX(0,MIN(R491,R490))</x:f>
        <x:v>63128.97903213205</x:v>
      </x:c>
      <x:c r="S492" s="58" t="n">
        <x:f>MAX(0,MIN(S491,S490))</x:f>
        <x:v>135513.51715000355</x:v>
      </x:c>
      <x:c r="T492" s="58" t="n">
        <x:f>MAX(0,MIN(T491,T490))</x:f>
        <x:v>189232.16654073374</x:v>
      </x:c>
      <x:c r="U492" s="58" t="n">
        <x:f>MAX(0,MIN(U491,U490))</x:f>
        <x:v>263581.59314442484</x:v>
      </x:c>
      <x:c r="V492" s="58" t="n">
        <x:f>MAX(0,MIN(V491,V490))</x:f>
        <x:v>358761.0146660337</x:v>
      </x:c>
      <x:c r="W492" s="58" t="n">
        <x:f>MAX(0,MIN(W491,W490))</x:f>
        <x:v>460228.44184824935</x:v>
      </x:c>
      <x:c r="X492" s="58" t="n">
        <x:f>MAX(0,MIN(X491,X490))</x:f>
        <x:v>583507.5973913893</x:v>
      </x:c>
      <x:c r="Y492" s="58" t="n">
        <x:f>MAX(0,MIN(Y491,Y490))</x:f>
        <x:v>729183.9968321517</x:v>
      </x:c>
      <x:c r="Z492" s="58" t="n">
        <x:f>MAX(0,MIN(Z491,Z490))</x:f>
        <x:v>845672.048074838</x:v>
      </x:c>
      <x:c r="AA492" s="58" t="n">
        <x:f>MAX(0,MIN(AA491,AA490))</x:f>
        <x:v>986425.1943966042</x:v>
      </x:c>
      <x:c r="AB492" s="58" t="n">
        <x:f>MAX(0,MIN(AB491,AB490))</x:f>
        <x:v>1151759.0998299755</x:v>
      </x:c>
      <x:c r="AC492" s="58" t="n">
        <x:f>MAX(0,MIN(AC491,AC490))</x:f>
        <x:v>1341726.5040365646</x:v>
      </x:c>
      <x:c r="AD492" s="58" t="n">
        <x:f>MAX(0,MIN(AD491,AD490))</x:f>
        <x:v>1557179.5264998341</x:v>
      </x:c>
      <x:c r="AE492" s="58" t="n">
        <x:f>MAX(0,MIN(AE491,AE490))</x:f>
        <x:v>1798726.3548983072</x:v>
      </x:c>
      <x:c r="AF492" s="58" t="n">
        <x:f>MAX(0,MIN(AF491,AF490))</x:f>
        <x:v>2028919.2426742017</x:v>
      </x:c>
      <x:c r="AG492" s="58" t="n">
        <x:f>MAX(0,MIN(AG491,AG490))</x:f>
        <x:v>2288233.6726363613</x:v>
      </x:c>
      <x:c r="AH492" s="58" t="n">
        <x:f>MAX(0,MIN(AH491,AH490))</x:f>
        <x:v>2577104.172873494</x:v>
      </x:c>
      <x:c r="AI492" s="58" t="n">
        <x:f>MAX(0,MIN(AI491,AI490))</x:f>
        <x:v>2896200.57792511</x:v>
      </x:c>
      <x:c r="AJ492" s="58" t="n">
        <x:f>MAX(0,MIN(AJ491,AJ490))</x:f>
        <x:v>3246251.439758212</x:v>
      </x:c>
      <x:c r="AK492" s="58" t="n">
        <x:f>MAX(0,MIN(AK491,AK490))</x:f>
        <x:v>3628039.4161448805</x:v>
      </x:c>
    </x:row>
    <x:row r="493" ht="18" customHeight="1">
      <x:c r="A493" s="74" t="str">
        <x:v>Revenue run rate: current month x 12</x:v>
      </x:c>
      <x:c r="B493" s="75" t="n">
        <x:f>B458*'Commercial Inputs'!$B$46</x:f>
        <x:v>74770.08377542373</x:v>
      </x:c>
      <x:c r="C493" s="75" t="n">
        <x:f>C458*'Commercial Inputs'!$B$46</x:f>
        <x:v>143980.95647536276</x:v>
      </x:c>
      <x:c r="D493" s="75" t="n">
        <x:f>D458*'Commercial Inputs'!$B$46</x:f>
        <x:v>214523.16242925037</x:v>
      </x:c>
      <x:c r="E493" s="75" t="n">
        <x:f>E458*'Commercial Inputs'!$B$46</x:f>
        <x:v>315381.42270190653</x:v>
      </x:c>
      <x:c r="F493" s="75" t="n">
        <x:f>F458*'Commercial Inputs'!$B$46</x:f>
        <x:v>417415.22961776314</x:v>
      </x:c>
      <x:c r="G493" s="75" t="n">
        <x:f>G458*'Commercial Inputs'!$B$46</x:f>
        <x:v>523976.7614918165</x:v>
      </x:c>
      <x:c r="H493" s="75" t="n">
        <x:f>H458*'Commercial Inputs'!$B$46</x:f>
        <x:v>693287.7971179027</x:v>
      </x:c>
      <x:c r="I493" s="75" t="n">
        <x:f>I458*'Commercial Inputs'!$B$46</x:f>
        <x:v>861523.362426244</x:v>
      </x:c>
      <x:c r="J493" s="75" t="n">
        <x:f>J458*'Commercial Inputs'!$B$46</x:f>
        <x:v>1035225.8782600112</x:v>
      </x:c>
      <x:c r="K493" s="75" t="n">
        <x:f>K458*'Commercial Inputs'!$B$46</x:f>
        <x:v>1217688.9352994768</x:v>
      </x:c>
      <x:c r="L493" s="75" t="n">
        <x:f>L458*'Commercial Inputs'!$B$46</x:f>
        <x:v>1410524.1938523445</x:v>
      </x:c>
      <x:c r="M493" s="75" t="n">
        <x:f>M458*'Commercial Inputs'!$B$46</x:f>
        <x:v>1615454.6715820972</x:v>
      </x:c>
      <x:c r="N493" s="75" t="n">
        <x:f>N458*'Commercial Inputs'!$B$46</x:f>
        <x:v>1882557.964536251</x:v>
      </x:c>
      <x:c r="O493" s="75" t="n">
        <x:f>O458*'Commercial Inputs'!$B$46</x:f>
        <x:v>2142368.215854519</x:v>
      </x:c>
      <x:c r="P493" s="75" t="n">
        <x:f>P458*'Commercial Inputs'!$B$46</x:f>
        <x:v>2404217.8173433347</x:v>
      </x:c>
      <x:c r="Q493" s="75" t="n">
        <x:f>Q458*'Commercial Inputs'!$B$46</x:f>
        <x:v>2660283.1174610006</x:v>
      </x:c>
      <x:c r="R493" s="75" t="n">
        <x:f>R458*'Commercial Inputs'!$B$46</x:f>
        <x:v>2923323.1888257456</x:v>
      </x:c>
      <x:c r="S493" s="75" t="n">
        <x:f>S458*'Commercial Inputs'!$B$46</x:f>
        <x:v>3194354.4966097176</x:v>
      </x:c>
      <x:c r="T493" s="75" t="n">
        <x:f>T458*'Commercial Inputs'!$B$46</x:f>
        <x:v>3547514.6273584794</x:v>
      </x:c>
      <x:c r="U493" s="75" t="n">
        <x:f>U458*'Commercial Inputs'!$B$46</x:f>
        <x:v>3895598.0871718535</x:v>
      </x:c>
      <x:c r="V493" s="75" t="n">
        <x:f>V458*'Commercial Inputs'!$B$46</x:f>
        <x:v>4248900.592099204</x:v>
      </x:c>
      <x:c r="W493" s="75" t="n">
        <x:f>W458*'Commercial Inputs'!$B$46</x:f>
        <x:v>4611859.734596961</x:v>
      </x:c>
      <x:c r="X493" s="75" t="n">
        <x:f>X458*'Commercial Inputs'!$B$46</x:f>
        <x:v>4985766.775507296</x:v>
      </x:c>
      <x:c r="Y493" s="75" t="n">
        <x:f>Y458*'Commercial Inputs'!$B$46</x:f>
        <x:v>5371870.8380125</x:v>
      </x:c>
      <x:c r="Z493" s="75" t="n">
        <x:f>Z458*'Commercial Inputs'!$B$46</x:f>
        <x:v>5782234.625793893</x:v>
      </x:c>
      <x:c r="AA493" s="75" t="n">
        <x:f>AA458*'Commercial Inputs'!$B$46</x:f>
        <x:v>6192361.980627025</x:v>
      </x:c>
      <x:c r="AB493" s="75" t="n">
        <x:f>AB458*'Commercial Inputs'!$B$46</x:f>
        <x:v>6609359.822959056</x:v>
      </x:c>
      <x:c r="AC493" s="75" t="n">
        <x:f>AC458*'Commercial Inputs'!$B$46</x:f>
        <x:v>7034098.537113188</x:v>
      </x:c>
      <x:c r="AD493" s="75" t="n">
        <x:f>AD458*'Commercial Inputs'!$B$46</x:f>
        <x:v>7469901.196748301</x:v>
      </x:c>
      <x:c r="AE493" s="75" t="n">
        <x:f>AE458*'Commercial Inputs'!$B$46</x:f>
        <x:v>7917798.650821508</x:v>
      </x:c>
      <x:c r="AF493" s="75" t="n">
        <x:f>AF458*'Commercial Inputs'!$B$46</x:f>
        <x:v>8419135.731746033</x:v>
      </x:c>
      <x:c r="AG493" s="75" t="n">
        <x:f>AG458*'Commercial Inputs'!$B$46</x:f>
        <x:v>8920847.768205041</x:v>
      </x:c>
      <x:c r="AH493" s="75" t="n">
        <x:f>AH458*'Commercial Inputs'!$B$46</x:f>
        <x:v>9432347.97500236</x:v>
      </x:c>
      <x:c r="AI493" s="75" t="n">
        <x:f>AI458*'Commercial Inputs'!$B$46</x:f>
        <x:v>9957706.198908813</x:v>
      </x:c>
      <x:c r="AJ493" s="75" t="n">
        <x:f>AJ458*'Commercial Inputs'!$B$46</x:f>
        <x:v>10498114.016153805</x:v>
      </x:c>
      <x:c r="AK493" s="75" t="n">
        <x:f>AK458*'Commercial Inputs'!$B$46</x:f>
        <x:v>11054706.529333733</x:v>
      </x:c>
    </x:row>
    <x:row r="494" ht="18" customHeight="1">
      <x:c r="A494" s="4" t="str"/>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c r="AA494" s="58"/>
      <x:c r="AB494" s="58"/>
      <x:c r="AC494" s="58"/>
      <x:c r="AD494" s="58"/>
      <x:c r="AE494" s="58"/>
      <x:c r="AF494" s="58"/>
      <x:c r="AG494" s="58"/>
      <x:c r="AH494" s="58"/>
      <x:c r="AI494" s="58"/>
      <x:c r="AJ494" s="58"/>
      <x:c r="AK494" s="58"/>
    </x:row>
    <x:row r="495" ht="18" customHeight="1">
      <x:c r="A495" s="4" t="str">
        <x:v>Annual entitlement balance check</x:v>
      </x:c>
      <x:c r="B495" s="58" t="n">
        <x:f>ROUND(B444-(0+SUM(B440:B442)-B443),6)</x:f>
        <x:v>0</x:v>
      </x:c>
      <x:c r="C495" s="58" t="n">
        <x:f>ROUND(C444-(B444+SUM(C440:C442)-C443),6)</x:f>
        <x:v>0</x:v>
      </x:c>
      <x:c r="D495" s="58" t="n">
        <x:f>ROUND(D444-(C444+SUM(D440:D442)-D443),6)</x:f>
        <x:v>0</x:v>
      </x:c>
      <x:c r="E495" s="58" t="n">
        <x:f>ROUND(E444-(D444+SUM(E440:E442)-E443),6)</x:f>
        <x:v>0</x:v>
      </x:c>
      <x:c r="F495" s="58" t="n">
        <x:f>ROUND(F444-(E444+SUM(F440:F442)-F443),6)</x:f>
        <x:v>0</x:v>
      </x:c>
      <x:c r="G495" s="58" t="n">
        <x:f>ROUND(G444-(F444+SUM(G440:G442)-G443),6)</x:f>
        <x:v>0</x:v>
      </x:c>
      <x:c r="H495" s="58" t="n">
        <x:f>ROUND(H444-(G444+SUM(H440:H442)-H443),6)</x:f>
        <x:v>0</x:v>
      </x:c>
      <x:c r="I495" s="58" t="n">
        <x:f>ROUND(I444-(H444+SUM(I440:I442)-I443),6)</x:f>
        <x:v>0</x:v>
      </x:c>
      <x:c r="J495" s="58" t="n">
        <x:f>ROUND(J444-(I444+SUM(J440:J442)-J443),6)</x:f>
        <x:v>0</x:v>
      </x:c>
      <x:c r="K495" s="58" t="n">
        <x:f>ROUND(K444-(J444+SUM(K440:K442)-K443),6)</x:f>
        <x:v>0</x:v>
      </x:c>
      <x:c r="L495" s="58" t="n">
        <x:f>ROUND(L444-(K444+SUM(L440:L442)-L443),6)</x:f>
        <x:v>0</x:v>
      </x:c>
      <x:c r="M495" s="58" t="n">
        <x:f>ROUND(M444-(L444+SUM(M440:M442)-M443),6)</x:f>
        <x:v>0</x:v>
      </x:c>
      <x:c r="N495" s="58" t="n">
        <x:f>ROUND(N444-(M444+SUM(N440:N442)-N443),6)</x:f>
        <x:v>0</x:v>
      </x:c>
      <x:c r="O495" s="58" t="n">
        <x:f>ROUND(O444-(N444+SUM(O440:O442)-O443),6)</x:f>
        <x:v>0</x:v>
      </x:c>
      <x:c r="P495" s="58" t="n">
        <x:f>ROUND(P444-(O444+SUM(P440:P442)-P443),6)</x:f>
        <x:v>0</x:v>
      </x:c>
      <x:c r="Q495" s="58" t="n">
        <x:f>ROUND(Q444-(P444+SUM(Q440:Q442)-Q443),6)</x:f>
        <x:v>0</x:v>
      </x:c>
      <x:c r="R495" s="58" t="n">
        <x:f>ROUND(R444-(Q444+SUM(R440:R442)-R443),6)</x:f>
        <x:v>0</x:v>
      </x:c>
      <x:c r="S495" s="58" t="n">
        <x:f>ROUND(S444-(R444+SUM(S440:S442)-S443),6)</x:f>
        <x:v>0</x:v>
      </x:c>
      <x:c r="T495" s="58" t="n">
        <x:f>ROUND(T444-(S444+SUM(T440:T442)-T443),6)</x:f>
        <x:v>0</x:v>
      </x:c>
      <x:c r="U495" s="58" t="n">
        <x:f>ROUND(U444-(T444+SUM(U440:U442)-U443),6)</x:f>
        <x:v>0</x:v>
      </x:c>
      <x:c r="V495" s="58" t="n">
        <x:f>ROUND(V444-(U444+SUM(V440:V442)-V443),6)</x:f>
        <x:v>0</x:v>
      </x:c>
      <x:c r="W495" s="58" t="n">
        <x:f>ROUND(W444-(V444+SUM(W440:W442)-W443),6)</x:f>
        <x:v>0</x:v>
      </x:c>
      <x:c r="X495" s="58" t="n">
        <x:f>ROUND(X444-(W444+SUM(X440:X442)-X443),6)</x:f>
        <x:v>0</x:v>
      </x:c>
      <x:c r="Y495" s="58" t="n">
        <x:f>ROUND(Y444-(X444+SUM(Y440:Y442)-Y443),6)</x:f>
        <x:v>0</x:v>
      </x:c>
      <x:c r="Z495" s="58" t="n">
        <x:f>ROUND(Z444-(Y444+SUM(Z440:Z442)-Z443),6)</x:f>
        <x:v>0</x:v>
      </x:c>
      <x:c r="AA495" s="58" t="n">
        <x:f>ROUND(AA444-(Z444+SUM(AA440:AA442)-AA443),6)</x:f>
        <x:v>0</x:v>
      </x:c>
      <x:c r="AB495" s="58" t="n">
        <x:f>ROUND(AB444-(AA444+SUM(AB440:AB442)-AB443),6)</x:f>
        <x:v>0</x:v>
      </x:c>
      <x:c r="AC495" s="58" t="n">
        <x:f>ROUND(AC444-(AB444+SUM(AC440:AC442)-AC443),6)</x:f>
        <x:v>0</x:v>
      </x:c>
      <x:c r="AD495" s="58" t="n">
        <x:f>ROUND(AD444-(AC444+SUM(AD440:AD442)-AD443),6)</x:f>
        <x:v>0</x:v>
      </x:c>
      <x:c r="AE495" s="58" t="n">
        <x:f>ROUND(AE444-(AD444+SUM(AE440:AE442)-AE443),6)</x:f>
        <x:v>0</x:v>
      </x:c>
      <x:c r="AF495" s="58" t="n">
        <x:f>ROUND(AF444-(AE444+SUM(AF440:AF442)-AF443),6)</x:f>
        <x:v>0</x:v>
      </x:c>
      <x:c r="AG495" s="58" t="n">
        <x:f>ROUND(AG444-(AF444+SUM(AG440:AG442)-AG443),6)</x:f>
        <x:v>0</x:v>
      </x:c>
      <x:c r="AH495" s="58" t="n">
        <x:f>ROUND(AH444-(AG444+SUM(AH440:AH442)-AH443),6)</x:f>
        <x:v>0</x:v>
      </x:c>
      <x:c r="AI495" s="58" t="n">
        <x:f>ROUND(AI444-(AH444+SUM(AI440:AI442)-AI443),6)</x:f>
        <x:v>0</x:v>
      </x:c>
      <x:c r="AJ495" s="58" t="n">
        <x:f>ROUND(AJ444-(AI444+SUM(AJ440:AJ442)-AJ443),6)</x:f>
        <x:v>0</x:v>
      </x:c>
      <x:c r="AK495" s="58" t="n">
        <x:f>ROUND(AK444-(AJ444+SUM(AK440:AK442)-AK443),6)</x:f>
        <x:v>0</x:v>
      </x:c>
    </x:row>
    <x:row r="496" ht="18" customHeight="1">
      <x:c r="A496" s="4" t="str">
        <x:v>Monthly charge / refund check</x:v>
      </x:c>
      <x:c r="B496" s="58" t="n">
        <x:f>ROUND(B451-B452*(1-'Scenario Inputs'!$C$29),6)</x:f>
        <x:v>0</x:v>
      </x:c>
      <x:c r="C496" s="58" t="n">
        <x:f>ROUND(C451-C452*(1-'Scenario Inputs'!$C$29),6)</x:f>
        <x:v>0</x:v>
      </x:c>
      <x:c r="D496" s="58" t="n">
        <x:f>ROUND(D451-D452*(1-'Scenario Inputs'!$C$29),6)</x:f>
        <x:v>0</x:v>
      </x:c>
      <x:c r="E496" s="58" t="n">
        <x:f>ROUND(E451-E452*(1-'Scenario Inputs'!$C$29),6)</x:f>
        <x:v>0</x:v>
      </x:c>
      <x:c r="F496" s="58" t="n">
        <x:f>ROUND(F451-F452*(1-'Scenario Inputs'!$C$29),6)</x:f>
        <x:v>0</x:v>
      </x:c>
      <x:c r="G496" s="58" t="n">
        <x:f>ROUND(G451-G452*(1-'Scenario Inputs'!$C$29),6)</x:f>
        <x:v>0</x:v>
      </x:c>
      <x:c r="H496" s="58" t="n">
        <x:f>ROUND(H451-H452*(1-'Scenario Inputs'!$C$29),6)</x:f>
        <x:v>0</x:v>
      </x:c>
      <x:c r="I496" s="58" t="n">
        <x:f>ROUND(I451-I452*(1-'Scenario Inputs'!$C$29),6)</x:f>
        <x:v>0</x:v>
      </x:c>
      <x:c r="J496" s="58" t="n">
        <x:f>ROUND(J451-J452*(1-'Scenario Inputs'!$C$29),6)</x:f>
        <x:v>0</x:v>
      </x:c>
      <x:c r="K496" s="58" t="n">
        <x:f>ROUND(K451-K452*(1-'Scenario Inputs'!$C$29),6)</x:f>
        <x:v>0</x:v>
      </x:c>
      <x:c r="L496" s="58" t="n">
        <x:f>ROUND(L451-L452*(1-'Scenario Inputs'!$C$29),6)</x:f>
        <x:v>0</x:v>
      </x:c>
      <x:c r="M496" s="58" t="n">
        <x:f>ROUND(M451-M452*(1-'Scenario Inputs'!$C$29),6)</x:f>
        <x:v>0</x:v>
      </x:c>
      <x:c r="N496" s="58" t="n">
        <x:f>ROUND(N451-N452*(1-'Scenario Inputs'!$C$29),6)</x:f>
        <x:v>0</x:v>
      </x:c>
      <x:c r="O496" s="58" t="n">
        <x:f>ROUND(O451-O452*(1-'Scenario Inputs'!$C$29),6)</x:f>
        <x:v>0</x:v>
      </x:c>
      <x:c r="P496" s="58" t="n">
        <x:f>ROUND(P451-P452*(1-'Scenario Inputs'!$C$29),6)</x:f>
        <x:v>0</x:v>
      </x:c>
      <x:c r="Q496" s="58" t="n">
        <x:f>ROUND(Q451-Q452*(1-'Scenario Inputs'!$C$29),6)</x:f>
        <x:v>0</x:v>
      </x:c>
      <x:c r="R496" s="58" t="n">
        <x:f>ROUND(R451-R452*(1-'Scenario Inputs'!$C$29),6)</x:f>
        <x:v>0</x:v>
      </x:c>
      <x:c r="S496" s="58" t="n">
        <x:f>ROUND(S451-S452*(1-'Scenario Inputs'!$C$29),6)</x:f>
        <x:v>0</x:v>
      </x:c>
      <x:c r="T496" s="58" t="n">
        <x:f>ROUND(T451-T452*(1-'Scenario Inputs'!$C$29),6)</x:f>
        <x:v>0</x:v>
      </x:c>
      <x:c r="U496" s="58" t="n">
        <x:f>ROUND(U451-U452*(1-'Scenario Inputs'!$C$29),6)</x:f>
        <x:v>0</x:v>
      </x:c>
      <x:c r="V496" s="58" t="n">
        <x:f>ROUND(V451-V452*(1-'Scenario Inputs'!$C$29),6)</x:f>
        <x:v>0</x:v>
      </x:c>
      <x:c r="W496" s="58" t="n">
        <x:f>ROUND(W451-W452*(1-'Scenario Inputs'!$C$29),6)</x:f>
        <x:v>0</x:v>
      </x:c>
      <x:c r="X496" s="58" t="n">
        <x:f>ROUND(X451-X452*(1-'Scenario Inputs'!$C$29),6)</x:f>
        <x:v>0</x:v>
      </x:c>
      <x:c r="Y496" s="58" t="n">
        <x:f>ROUND(Y451-Y452*(1-'Scenario Inputs'!$C$29),6)</x:f>
        <x:v>0</x:v>
      </x:c>
      <x:c r="Z496" s="58" t="n">
        <x:f>ROUND(Z451-Z452*(1-'Scenario Inputs'!$C$29),6)</x:f>
        <x:v>0</x:v>
      </x:c>
      <x:c r="AA496" s="58" t="n">
        <x:f>ROUND(AA451-AA452*(1-'Scenario Inputs'!$C$29),6)</x:f>
        <x:v>0</x:v>
      </x:c>
      <x:c r="AB496" s="58" t="n">
        <x:f>ROUND(AB451-AB452*(1-'Scenario Inputs'!$C$29),6)</x:f>
        <x:v>0</x:v>
      </x:c>
      <x:c r="AC496" s="58" t="n">
        <x:f>ROUND(AC451-AC452*(1-'Scenario Inputs'!$C$29),6)</x:f>
        <x:v>0</x:v>
      </x:c>
      <x:c r="AD496" s="58" t="n">
        <x:f>ROUND(AD451-AD452*(1-'Scenario Inputs'!$C$29),6)</x:f>
        <x:v>0</x:v>
      </x:c>
      <x:c r="AE496" s="58" t="n">
        <x:f>ROUND(AE451-AE452*(1-'Scenario Inputs'!$C$29),6)</x:f>
        <x:v>0</x:v>
      </x:c>
      <x:c r="AF496" s="58" t="n">
        <x:f>ROUND(AF451-AF452*(1-'Scenario Inputs'!$C$29),6)</x:f>
        <x:v>0</x:v>
      </x:c>
      <x:c r="AG496" s="58" t="n">
        <x:f>ROUND(AG451-AG452*(1-'Scenario Inputs'!$C$29),6)</x:f>
        <x:v>0</x:v>
      </x:c>
      <x:c r="AH496" s="58" t="n">
        <x:f>ROUND(AH451-AH452*(1-'Scenario Inputs'!$C$29),6)</x:f>
        <x:v>0</x:v>
      </x:c>
      <x:c r="AI496" s="58" t="n">
        <x:f>ROUND(AI451-AI452*(1-'Scenario Inputs'!$C$29),6)</x:f>
        <x:v>0</x:v>
      </x:c>
      <x:c r="AJ496" s="58" t="n">
        <x:f>ROUND(AJ451-AJ452*(1-'Scenario Inputs'!$C$29),6)</x:f>
        <x:v>0</x:v>
      </x:c>
      <x:c r="AK496" s="58" t="n">
        <x:f>ROUND(AK451-AK452*(1-'Scenario Inputs'!$C$29),6)</x:f>
        <x:v>0</x:v>
      </x:c>
    </x:row>
    <x:row r="497" ht="18" customHeight="1">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row>
    <x:row r="498" ht="18" customHeight="1">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row>
    <x:row r="499" ht="18" customHeight="1">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row>
    <x:row r="500" ht="18" customHeight="1">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row>
    <x:row r="501" ht="18" customHeight="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row>
    <x:row r="502" ht="18" customHeight="1">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row>
    <x:row r="503" ht="18" customHeight="1">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row>
    <x:row r="504" ht="18" customHeight="1">
      <x:c r="A504" s="4" t="str">
        <x:v>Blended annual price, ex-tax (INR)</x:v>
      </x:c>
      <x:c r="B504" s="56" t="n">
        <x:f>'Scenario Inputs'!$C$28*'Commercial Inputs'!$B$6/(1+'Commercial Inputs'!$B$10)+(1-'Scenario Inputs'!$C$28)*('Commercial Inputs'!$B$8*'Commercial Inputs'!$B$5)/(1+'Commercial Inputs'!$B$11)</x:f>
        <x:v>2837.087118644068</x:v>
      </x:c>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row>
    <x:row r="505" ht="18" customHeight="1">
      <x:c r="A505" s="4" t="str">
        <x:v>Blended monthly price, ex-tax (INR)</x:v>
      </x:c>
      <x:c r="B505" s="56" t="n">
        <x:f>'Scenario Inputs'!$C$28*'Commercial Inputs'!$B$7/(1+'Commercial Inputs'!$B$10)+(1-'Scenario Inputs'!$C$28)*('Commercial Inputs'!$B$9*'Commercial Inputs'!$B$5)/(1+'Commercial Inputs'!$B$11)</x:f>
        <x:v>407.86677966101695</x:v>
      </x:c>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row>
    <x:row r="506" ht="18" customHeight="1">
      <x:c r="A506" s="4" t="str">
        <x:v>Fee per annual charge (INR)</x:v>
      </x:c>
      <x:c r="B506" s="56" t="n">
        <x:f>'Scenario Inputs'!$C$28*('Commercial Inputs'!$B$12*'Commercial Inputs'!$B$6*'Commercial Inputs'!$B$14+(1-'Commercial Inputs'!$B$12)*'Commercial Inputs'!$B$6/(1+'Commercial Inputs'!$B$10)*'Commercial Inputs'!$B$13)+(1-'Scenario Inputs'!$C$28)*('Commercial Inputs'!$B$12*(('Commercial Inputs'!$B$8*'Commercial Inputs'!$B$5)*'Commercial Inputs'!$B$15+'Commercial Inputs'!$B$16*'Commercial Inputs'!$B$5)+(1-'Commercial Inputs'!$B$12)*('Commercial Inputs'!$B$8*'Commercial Inputs'!$B$5)/(1+'Commercial Inputs'!$B$11)*'Commercial Inputs'!$B$13)</x:f>
        <x:v>289.70331389830505</x:v>
      </x:c>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row>
    <x:row r="507" ht="18" customHeight="1">
      <x:c r="A507" s="4" t="str">
        <x:v>Fee per monthly charge (INR)</x:v>
      </x:c>
      <x:c r="B507" s="56" t="n">
        <x:f>'Scenario Inputs'!$C$28*('Commercial Inputs'!$B$12*'Commercial Inputs'!$B$7*'Commercial Inputs'!$B$14+(1-'Commercial Inputs'!$B$12)*'Commercial Inputs'!$B$7/(1+'Commercial Inputs'!$B$10)*'Commercial Inputs'!$B$13)+(1-'Scenario Inputs'!$C$28)*('Commercial Inputs'!$B$12*(('Commercial Inputs'!$B$9*'Commercial Inputs'!$B$5)*'Commercial Inputs'!$B$15+'Commercial Inputs'!$B$16*'Commercial Inputs'!$B$5)+(1-'Commercial Inputs'!$B$12)*('Commercial Inputs'!$B$9*'Commercial Inputs'!$B$5)/(1+'Commercial Inputs'!$B$11)*'Commercial Inputs'!$B$13)</x:f>
        <x:v>53.35178847457627</x:v>
      </x:c>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row>
    <x:row r="508" ht="18" customHeight="1">
      <x:c r="A508" s="4" t="str">
        <x:v>Billing reserve per annual charge (INR)</x:v>
      </x:c>
      <x:c r="B508" s="56" t="n">
        <x:f>('Scenario Inputs'!$C$28*'Commercial Inputs'!$B$6+(1-'Scenario Inputs'!$C$28)*('Commercial Inputs'!$B$8*'Commercial Inputs'!$B$5))*'Commercial Inputs'!$B$17</x:f>
        <x:v>29.5906</x:v>
      </x:c>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row>
    <x:row r="509" ht="18" customHeight="1">
      <x:c r="A509" s="4" t="str">
        <x:v>Billing reserve per monthly charge (INR)</x:v>
      </x:c>
      <x:c r="B509" s="56" t="n">
        <x:f>('Scenario Inputs'!$C$28*'Commercial Inputs'!$B$7+(1-'Scenario Inputs'!$C$28)*('Commercial Inputs'!$B$9*'Commercial Inputs'!$B$5))*'Commercial Inputs'!$B$17</x:f>
        <x:v>4.2306</x:v>
      </x:c>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row>
    <x:row r="510" ht="18" customHeight="1">
      <x:c r="A510" s="4" t="str">
        <x:v>Budgeted AI cost per job (INR)</x:v>
      </x:c>
      <x:c r="B510" s="56" t="n">
        <x:f>('Commercial Inputs'!$B$20*'Commercial Inputs'!$B$18+'Commercial Inputs'!$B$21*'Commercial Inputs'!$B$19)/'Commercial Inputs'!$B$47*'Commercial Inputs'!$B$22*'Commercial Inputs'!$B$5*(1+'Commercial Inputs'!$B$23)</x:f>
        <x:v>0.1287</x:v>
      </x:c>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row>
    <x:row r="511" ht="18" customHeight="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row>
    <x:row r="512" ht="18" customHeight="1">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row>
    <x:row r="513" ht="18" customHeight="1">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row>
    <x:row r="514" ht="18" customHeight="1">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row>
    <x:row r="515" ht="18" customHeight="1">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row>
    <x:row r="516" ht="18" customHeight="1">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row>
    <x:row r="517" ht="18" customHeight="1">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row>
    <x:row r="518" ht="18" customHeight="1">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row>
    <x:row r="519" ht="18" customHeight="1">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row>
    <x:row r="520" ht="18" customHeight="1">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row>
    <x:row r="521" ht="18" customHeight="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row>
    <x:row r="522" ht="18" customHeight="1">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row>
    <x:row r="523" ht="18" customHeight="1">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row>
    <x:row r="524" ht="18" customHeight="1">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row>
    <x:row r="525" ht="18" customHeight="1">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row>
    <x:row r="526" ht="29" customHeight="1">
      <x:c r="A526" s="50" t="str">
        <x:v>MONTHLY HEAVY | MONTHLY COHORT MODEL</x:v>
      </x:c>
      <x:c r="B526" s="50"/>
      <x:c r="C526" s="50"/>
      <x:c r="D526" s="50"/>
      <x:c r="E526" s="50"/>
      <x:c r="F526" s="50"/>
      <x:c r="G526" s="50"/>
      <x:c r="H526" s="50"/>
      <x:c r="I526" s="50"/>
      <x:c r="J526" s="50"/>
      <x:c r="K526" s="50"/>
      <x:c r="L526" s="50"/>
      <x:c r="M526" s="50"/>
      <x:c r="N526" s="50"/>
      <x:c r="O526" s="50"/>
      <x:c r="P526" s="50"/>
      <x:c r="Q526" s="50"/>
      <x:c r="R526" s="50"/>
      <x:c r="S526" s="50"/>
      <x:c r="T526" s="50"/>
      <x:c r="U526" s="50"/>
      <x:c r="V526" s="50"/>
      <x:c r="W526" s="50"/>
      <x:c r="X526" s="50"/>
      <x:c r="Y526" s="50"/>
      <x:c r="Z526" s="50"/>
      <x:c r="AA526" s="50"/>
      <x:c r="AB526" s="50"/>
      <x:c r="AC526" s="50"/>
      <x:c r="AD526" s="50"/>
      <x:c r="AE526" s="50"/>
      <x:c r="AF526" s="50"/>
      <x:c r="AG526" s="50"/>
      <x:c r="AH526" s="50"/>
      <x:c r="AI526" s="50"/>
      <x:c r="AJ526" s="50"/>
      <x:c r="AK526" s="50"/>
    </x:row>
    <x:row r="527" ht="24" customHeight="1">
      <x:c r="A527" s="11" t="str">
        <x:v>INR unless stated. Purchases occur at month start; annual revenue is earned over 12 months. No founder salary or income tax in the base case.</x:v>
      </x:c>
      <x:c r="B527" s="11"/>
      <x:c r="C527" s="11"/>
      <x:c r="D527" s="11"/>
      <x:c r="E527" s="11"/>
      <x:c r="F527" s="11"/>
      <x:c r="G527" s="11"/>
      <x:c r="H527" s="11"/>
      <x:c r="I527" s="11"/>
      <x:c r="J527" s="11"/>
      <x:c r="K527" s="11"/>
      <x:c r="L527" s="11"/>
      <x:c r="M527" s="11"/>
      <x:c r="N527" s="11"/>
      <x:c r="O527" s="11"/>
      <x:c r="P527" s="11"/>
      <x:c r="Q527" s="11"/>
      <x:c r="R527" s="11"/>
      <x:c r="S527" s="11"/>
      <x:c r="T527" s="11"/>
      <x:c r="U527" s="11"/>
      <x:c r="V527" s="11"/>
      <x:c r="W527" s="11"/>
      <x:c r="X527" s="11"/>
      <x:c r="Y527" s="11"/>
      <x:c r="Z527" s="11"/>
      <x:c r="AA527" s="11"/>
      <x:c r="AB527" s="11"/>
      <x:c r="AC527" s="11"/>
      <x:c r="AD527" s="11"/>
      <x:c r="AE527" s="11"/>
      <x:c r="AF527" s="11"/>
      <x:c r="AG527" s="11"/>
      <x:c r="AH527" s="11"/>
      <x:c r="AI527" s="11"/>
      <x:c r="AJ527" s="11"/>
      <x:c r="AK527" s="11"/>
    </x:row>
    <x:row r="528" ht="18" customHeight="1">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row>
    <x:row r="529" ht="18" customHeight="1">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row>
    <x:row r="530" ht="30" customHeight="1">
      <x:c r="A530" s="16" t="str">
        <x:v>Month after paid launch</x:v>
      </x:c>
      <x:c r="B530" s="16" t="n">
        <x:v>1</x:v>
      </x:c>
      <x:c r="C530" s="16" t="n">
        <x:v>2</x:v>
      </x:c>
      <x:c r="D530" s="16" t="n">
        <x:v>3</x:v>
      </x:c>
      <x:c r="E530" s="16" t="n">
        <x:v>4</x:v>
      </x:c>
      <x:c r="F530" s="16" t="n">
        <x:v>5</x:v>
      </x:c>
      <x:c r="G530" s="16" t="n">
        <x:v>6</x:v>
      </x:c>
      <x:c r="H530" s="16" t="n">
        <x:v>7</x:v>
      </x:c>
      <x:c r="I530" s="16" t="n">
        <x:v>8</x:v>
      </x:c>
      <x:c r="J530" s="16" t="n">
        <x:v>9</x:v>
      </x:c>
      <x:c r="K530" s="16" t="n">
        <x:v>10</x:v>
      </x:c>
      <x:c r="L530" s="16" t="n">
        <x:v>11</x:v>
      </x:c>
      <x:c r="M530" s="16" t="n">
        <x:v>12</x:v>
      </x:c>
      <x:c r="N530" s="16" t="n">
        <x:v>13</x:v>
      </x:c>
      <x:c r="O530" s="16" t="n">
        <x:v>14</x:v>
      </x:c>
      <x:c r="P530" s="16" t="n">
        <x:v>15</x:v>
      </x:c>
      <x:c r="Q530" s="16" t="n">
        <x:v>16</x:v>
      </x:c>
      <x:c r="R530" s="16" t="n">
        <x:v>17</x:v>
      </x:c>
      <x:c r="S530" s="16" t="n">
        <x:v>18</x:v>
      </x:c>
      <x:c r="T530" s="16" t="n">
        <x:v>19</x:v>
      </x:c>
      <x:c r="U530" s="16" t="n">
        <x:v>20</x:v>
      </x:c>
      <x:c r="V530" s="16" t="n">
        <x:v>21</x:v>
      </x:c>
      <x:c r="W530" s="16" t="n">
        <x:v>22</x:v>
      </x:c>
      <x:c r="X530" s="16" t="n">
        <x:v>23</x:v>
      </x:c>
      <x:c r="Y530" s="16" t="n">
        <x:v>24</x:v>
      </x:c>
      <x:c r="Z530" s="16" t="n">
        <x:v>25</x:v>
      </x:c>
      <x:c r="AA530" s="16" t="n">
        <x:v>26</x:v>
      </x:c>
      <x:c r="AB530" s="16" t="n">
        <x:v>27</x:v>
      </x:c>
      <x:c r="AC530" s="16" t="n">
        <x:v>28</x:v>
      </x:c>
      <x:c r="AD530" s="16" t="n">
        <x:v>29</x:v>
      </x:c>
      <x:c r="AE530" s="16" t="n">
        <x:v>30</x:v>
      </x:c>
      <x:c r="AF530" s="16" t="n">
        <x:v>31</x:v>
      </x:c>
      <x:c r="AG530" s="16" t="n">
        <x:v>32</x:v>
      </x:c>
      <x:c r="AH530" s="16" t="n">
        <x:v>33</x:v>
      </x:c>
      <x:c r="AI530" s="16" t="n">
        <x:v>34</x:v>
      </x:c>
      <x:c r="AJ530" s="16" t="n">
        <x:v>35</x:v>
      </x:c>
      <x:c r="AK530" s="16" t="n">
        <x:v>36</x:v>
      </x:c>
    </x:row>
    <x:row r="531" ht="18" customHeight="1">
      <x:c r="A531" s="4" t="str">
        <x:v>Qualified organic prospects</x:v>
      </x:c>
      <x:c r="B531" s="58" t="n">
        <x:f>'Scenario Inputs'!$C$5</x:f>
        <x:v>1000</x:v>
      </x:c>
      <x:c r="C531" s="58" t="n">
        <x:f>B531*(1+'Scenario Inputs'!$C$6)</x:f>
        <x:v>1120</x:v>
      </x:c>
      <x:c r="D531" s="58" t="n">
        <x:f>C531*(1+'Scenario Inputs'!$C$6)</x:f>
        <x:v>1254.4</x:v>
      </x:c>
      <x:c r="E531" s="58" t="n">
        <x:f>D531*(1+'Scenario Inputs'!$C$6)</x:f>
        <x:v>1404.9280000000003</x:v>
      </x:c>
      <x:c r="F531" s="58" t="n">
        <x:f>E531*(1+'Scenario Inputs'!$C$6)</x:f>
        <x:v>1573.5193600000005</x:v>
      </x:c>
      <x:c r="G531" s="58" t="n">
        <x:f>F531*(1+'Scenario Inputs'!$C$6)</x:f>
        <x:v>1762.3416832000007</x:v>
      </x:c>
      <x:c r="H531" s="58" t="n">
        <x:f>G531*(1+'Scenario Inputs'!$C$6)</x:f>
        <x:v>1973.822685184001</x:v>
      </x:c>
      <x:c r="I531" s="58" t="n">
        <x:f>H531*(1+'Scenario Inputs'!$C$6)</x:f>
        <x:v>2210.6814074060812</x:v>
      </x:c>
      <x:c r="J531" s="58" t="n">
        <x:f>I531*(1+'Scenario Inputs'!$C$6)</x:f>
        <x:v>2475.963176294811</x:v>
      </x:c>
      <x:c r="K531" s="58" t="n">
        <x:f>J531*(1+'Scenario Inputs'!$C$6)</x:f>
        <x:v>2773.0787574501887</x:v>
      </x:c>
      <x:c r="L531" s="58" t="n">
        <x:f>K531*(1+'Scenario Inputs'!$C$6)</x:f>
        <x:v>3105.848208344212</x:v>
      </x:c>
      <x:c r="M531" s="58" t="n">
        <x:f>L531*(1+'Scenario Inputs'!$C$6)</x:f>
        <x:v>3478.5499933455176</x:v>
      </x:c>
      <x:c r="N531" s="58" t="n">
        <x:f>M531*(1+'Scenario Inputs'!$C$7)</x:f>
        <x:v>3756.833992813159</x:v>
      </x:c>
      <x:c r="O531" s="58" t="n">
        <x:f>N531*(1+'Scenario Inputs'!$C$7)</x:f>
        <x:v>4057.3807122382123</x:v>
      </x:c>
      <x:c r="P531" s="58" t="n">
        <x:f>O531*(1+'Scenario Inputs'!$C$7)</x:f>
        <x:v>4381.97116921727</x:v>
      </x:c>
      <x:c r="Q531" s="58" t="n">
        <x:f>P531*(1+'Scenario Inputs'!$C$7)</x:f>
        <x:v>4732.5288627546515</x:v>
      </x:c>
      <x:c r="R531" s="58" t="n">
        <x:f>Q531*(1+'Scenario Inputs'!$C$7)</x:f>
        <x:v>5111.131171775024</x:v>
      </x:c>
      <x:c r="S531" s="58" t="n">
        <x:f>R531*(1+'Scenario Inputs'!$C$7)</x:f>
        <x:v>5520.021665517026</x:v>
      </x:c>
      <x:c r="T531" s="58" t="n">
        <x:f>S531*(1+'Scenario Inputs'!$C$7)</x:f>
        <x:v>5961.623398758388</x:v>
      </x:c>
      <x:c r="U531" s="58" t="n">
        <x:f>T531*(1+'Scenario Inputs'!$C$7)</x:f>
        <x:v>6438.553270659059</x:v>
      </x:c>
      <x:c r="V531" s="58" t="n">
        <x:f>U531*(1+'Scenario Inputs'!$C$7)</x:f>
        <x:v>6953.6375323117845</x:v>
      </x:c>
      <x:c r="W531" s="58" t="n">
        <x:f>V531*(1+'Scenario Inputs'!$C$7)</x:f>
        <x:v>7509.928534896728</x:v>
      </x:c>
      <x:c r="X531" s="58" t="n">
        <x:f>W531*(1+'Scenario Inputs'!$C$7)</x:f>
        <x:v>8110.722817688466</x:v>
      </x:c>
      <x:c r="Y531" s="58" t="n">
        <x:f>X531*(1+'Scenario Inputs'!$C$7)</x:f>
        <x:v>8759.580643103543</x:v>
      </x:c>
      <x:c r="Z531" s="58" t="n">
        <x:f>Y531*(1+'Scenario Inputs'!$C$8)</x:f>
        <x:v>9285.155481689757</x:v>
      </x:c>
      <x:c r="AA531" s="58" t="n">
        <x:f>Z531*(1+'Scenario Inputs'!$C$8)</x:f>
        <x:v>9842.264810591143</x:v>
      </x:c>
      <x:c r="AB531" s="58" t="n">
        <x:f>AA531*(1+'Scenario Inputs'!$C$8)</x:f>
        <x:v>10432.800699226613</x:v>
      </x:c>
      <x:c r="AC531" s="58" t="n">
        <x:f>AB531*(1+'Scenario Inputs'!$C$8)</x:f>
        <x:v>11058.76874118021</x:v>
      </x:c>
      <x:c r="AD531" s="58" t="n">
        <x:f>AC531*(1+'Scenario Inputs'!$C$8)</x:f>
        <x:v>11722.294865651023</x:v>
      </x:c>
      <x:c r="AE531" s="58" t="n">
        <x:f>AD531*(1+'Scenario Inputs'!$C$8)</x:f>
        <x:v>12425.632557590085</x:v>
      </x:c>
      <x:c r="AF531" s="58" t="n">
        <x:f>AE531*(1+'Scenario Inputs'!$C$8)</x:f>
        <x:v>13171.17051104549</x:v>
      </x:c>
      <x:c r="AG531" s="58" t="n">
        <x:f>AF531*(1+'Scenario Inputs'!$C$8)</x:f>
        <x:v>13961.44074170822</x:v>
      </x:c>
      <x:c r="AH531" s="58" t="n">
        <x:f>AG531*(1+'Scenario Inputs'!$C$8)</x:f>
        <x:v>14799.127186210715</x:v>
      </x:c>
      <x:c r="AI531" s="58" t="n">
        <x:f>AH531*(1+'Scenario Inputs'!$C$8)</x:f>
        <x:v>15687.074817383358</x:v>
      </x:c>
      <x:c r="AJ531" s="58" t="n">
        <x:f>AI531*(1+'Scenario Inputs'!$C$8)</x:f>
        <x:v>16628.29930642636</x:v>
      </x:c>
      <x:c r="AK531" s="58" t="n">
        <x:f>AJ531*(1+'Scenario Inputs'!$C$8)</x:f>
        <x:v>17625.997264811944</x:v>
      </x:c>
    </x:row>
    <x:row r="532" ht="18" customHeight="1">
      <x:c r="A532" s="4" t="str">
        <x:v>Paid media spend (INR)</x:v>
      </x:c>
      <x:c r="B532" s="60" t="n">
        <x:f>'Scenario Inputs'!$C$14</x:f>
        <x:v>6000</x:v>
      </x:c>
      <x:c r="C532" s="60" t="n">
        <x:f>'Scenario Inputs'!$C$14</x:f>
        <x:v>6000</x:v>
      </x:c>
      <x:c r="D532" s="60" t="n">
        <x:f>'Scenario Inputs'!$C$14</x:f>
        <x:v>6000</x:v>
      </x:c>
      <x:c r="E532" s="60" t="n">
        <x:f>'Scenario Inputs'!$C$15</x:f>
        <x:v>12000</x:v>
      </x:c>
      <x:c r="F532" s="60" t="n">
        <x:f>'Scenario Inputs'!$C$15</x:f>
        <x:v>12000</x:v>
      </x:c>
      <x:c r="G532" s="60" t="n">
        <x:f>'Scenario Inputs'!$C$15</x:f>
        <x:v>12000</x:v>
      </x:c>
      <x:c r="H532" s="60" t="n">
        <x:f>'Scenario Inputs'!$C$16</x:f>
        <x:v>25000</x:v>
      </x:c>
      <x:c r="I532" s="60" t="n">
        <x:f>'Scenario Inputs'!$C$16</x:f>
        <x:v>25000</x:v>
      </x:c>
      <x:c r="J532" s="60" t="n">
        <x:f>'Scenario Inputs'!$C$16</x:f>
        <x:v>25000</x:v>
      </x:c>
      <x:c r="K532" s="60" t="n">
        <x:f>'Scenario Inputs'!$C$16</x:f>
        <x:v>25000</x:v>
      </x:c>
      <x:c r="L532" s="60" t="n">
        <x:f>'Scenario Inputs'!$C$16</x:f>
        <x:v>25000</x:v>
      </x:c>
      <x:c r="M532" s="60" t="n">
        <x:f>'Scenario Inputs'!$C$16</x:f>
        <x:v>25000</x:v>
      </x:c>
      <x:c r="N532" s="60" t="n">
        <x:f>'Scenario Inputs'!$C$17</x:f>
        <x:v>50000</x:v>
      </x:c>
      <x:c r="O532" s="60" t="n">
        <x:f>'Scenario Inputs'!$C$17</x:f>
        <x:v>50000</x:v>
      </x:c>
      <x:c r="P532" s="60" t="n">
        <x:f>'Scenario Inputs'!$C$17</x:f>
        <x:v>50000</x:v>
      </x:c>
      <x:c r="Q532" s="60" t="n">
        <x:f>'Scenario Inputs'!$C$17</x:f>
        <x:v>50000</x:v>
      </x:c>
      <x:c r="R532" s="60" t="n">
        <x:f>'Scenario Inputs'!$C$17</x:f>
        <x:v>50000</x:v>
      </x:c>
      <x:c r="S532" s="60" t="n">
        <x:f>'Scenario Inputs'!$C$17</x:f>
        <x:v>50000</x:v>
      </x:c>
      <x:c r="T532" s="60" t="n">
        <x:f>'Scenario Inputs'!$C$18</x:f>
        <x:v>75000</x:v>
      </x:c>
      <x:c r="U532" s="60" t="n">
        <x:f>'Scenario Inputs'!$C$18</x:f>
        <x:v>75000</x:v>
      </x:c>
      <x:c r="V532" s="60" t="n">
        <x:f>'Scenario Inputs'!$C$18</x:f>
        <x:v>75000</x:v>
      </x:c>
      <x:c r="W532" s="60" t="n">
        <x:f>'Scenario Inputs'!$C$18</x:f>
        <x:v>75000</x:v>
      </x:c>
      <x:c r="X532" s="60" t="n">
        <x:f>'Scenario Inputs'!$C$18</x:f>
        <x:v>75000</x:v>
      </x:c>
      <x:c r="Y532" s="60" t="n">
        <x:f>'Scenario Inputs'!$C$18</x:f>
        <x:v>75000</x:v>
      </x:c>
      <x:c r="Z532" s="60" t="n">
        <x:f>'Scenario Inputs'!$C$19</x:f>
        <x:v>100000</x:v>
      </x:c>
      <x:c r="AA532" s="60" t="n">
        <x:f>'Scenario Inputs'!$C$19</x:f>
        <x:v>100000</x:v>
      </x:c>
      <x:c r="AB532" s="60" t="n">
        <x:f>'Scenario Inputs'!$C$19</x:f>
        <x:v>100000</x:v>
      </x:c>
      <x:c r="AC532" s="60" t="n">
        <x:f>'Scenario Inputs'!$C$19</x:f>
        <x:v>100000</x:v>
      </x:c>
      <x:c r="AD532" s="60" t="n">
        <x:f>'Scenario Inputs'!$C$19</x:f>
        <x:v>100000</x:v>
      </x:c>
      <x:c r="AE532" s="60" t="n">
        <x:f>'Scenario Inputs'!$C$19</x:f>
        <x:v>100000</x:v>
      </x:c>
      <x:c r="AF532" s="60" t="n">
        <x:f>'Scenario Inputs'!$C$20</x:f>
        <x:v>125000</x:v>
      </x:c>
      <x:c r="AG532" s="60" t="n">
        <x:f>'Scenario Inputs'!$C$20</x:f>
        <x:v>125000</x:v>
      </x:c>
      <x:c r="AH532" s="60" t="n">
        <x:f>'Scenario Inputs'!$C$20</x:f>
        <x:v>125000</x:v>
      </x:c>
      <x:c r="AI532" s="60" t="n">
        <x:f>'Scenario Inputs'!$C$20</x:f>
        <x:v>125000</x:v>
      </x:c>
      <x:c r="AJ532" s="60" t="n">
        <x:f>'Scenario Inputs'!$C$20</x:f>
        <x:v>125000</x:v>
      </x:c>
      <x:c r="AK532" s="60" t="n">
        <x:f>'Scenario Inputs'!$C$20</x:f>
        <x:v>125000</x:v>
      </x:c>
    </x:row>
    <x:row r="533" ht="18" customHeight="1">
      <x:c r="A533" s="4" t="str">
        <x:v>Paid CPC (INR)</x:v>
      </x:c>
      <x:c r="B533" s="64" t="n">
        <x:f>'Scenario Inputs'!$C$10*(1+'Scenario Inputs'!$C$11)^0</x:f>
        <x:v>15</x:v>
      </x:c>
      <x:c r="C533" s="64" t="n">
        <x:f>'Scenario Inputs'!$C$10*(1+'Scenario Inputs'!$C$11)^0</x:f>
        <x:v>15</x:v>
      </x:c>
      <x:c r="D533" s="64" t="n">
        <x:f>'Scenario Inputs'!$C$10*(1+'Scenario Inputs'!$C$11)^0</x:f>
        <x:v>15</x:v>
      </x:c>
      <x:c r="E533" s="64" t="n">
        <x:f>'Scenario Inputs'!$C$10*(1+'Scenario Inputs'!$C$11)^0</x:f>
        <x:v>15</x:v>
      </x:c>
      <x:c r="F533" s="64" t="n">
        <x:f>'Scenario Inputs'!$C$10*(1+'Scenario Inputs'!$C$11)^0</x:f>
        <x:v>15</x:v>
      </x:c>
      <x:c r="G533" s="64" t="n">
        <x:f>'Scenario Inputs'!$C$10*(1+'Scenario Inputs'!$C$11)^0</x:f>
        <x:v>15</x:v>
      </x:c>
      <x:c r="H533" s="64" t="n">
        <x:f>'Scenario Inputs'!$C$10*(1+'Scenario Inputs'!$C$11)^0</x:f>
        <x:v>15</x:v>
      </x:c>
      <x:c r="I533" s="64" t="n">
        <x:f>'Scenario Inputs'!$C$10*(1+'Scenario Inputs'!$C$11)^0</x:f>
        <x:v>15</x:v>
      </x:c>
      <x:c r="J533" s="64" t="n">
        <x:f>'Scenario Inputs'!$C$10*(1+'Scenario Inputs'!$C$11)^0</x:f>
        <x:v>15</x:v>
      </x:c>
      <x:c r="K533" s="64" t="n">
        <x:f>'Scenario Inputs'!$C$10*(1+'Scenario Inputs'!$C$11)^0</x:f>
        <x:v>15</x:v>
      </x:c>
      <x:c r="L533" s="64" t="n">
        <x:f>'Scenario Inputs'!$C$10*(1+'Scenario Inputs'!$C$11)^0</x:f>
        <x:v>15</x:v>
      </x:c>
      <x:c r="M533" s="64" t="n">
        <x:f>'Scenario Inputs'!$C$10*(1+'Scenario Inputs'!$C$11)^0</x:f>
        <x:v>15</x:v>
      </x:c>
      <x:c r="N533" s="64" t="n">
        <x:f>'Scenario Inputs'!$C$10*(1+'Scenario Inputs'!$C$11)^1</x:f>
        <x:v>16.5</x:v>
      </x:c>
      <x:c r="O533" s="64" t="n">
        <x:f>'Scenario Inputs'!$C$10*(1+'Scenario Inputs'!$C$11)^1</x:f>
        <x:v>16.5</x:v>
      </x:c>
      <x:c r="P533" s="64" t="n">
        <x:f>'Scenario Inputs'!$C$10*(1+'Scenario Inputs'!$C$11)^1</x:f>
        <x:v>16.5</x:v>
      </x:c>
      <x:c r="Q533" s="64" t="n">
        <x:f>'Scenario Inputs'!$C$10*(1+'Scenario Inputs'!$C$11)^1</x:f>
        <x:v>16.5</x:v>
      </x:c>
      <x:c r="R533" s="64" t="n">
        <x:f>'Scenario Inputs'!$C$10*(1+'Scenario Inputs'!$C$11)^1</x:f>
        <x:v>16.5</x:v>
      </x:c>
      <x:c r="S533" s="64" t="n">
        <x:f>'Scenario Inputs'!$C$10*(1+'Scenario Inputs'!$C$11)^1</x:f>
        <x:v>16.5</x:v>
      </x:c>
      <x:c r="T533" s="64" t="n">
        <x:f>'Scenario Inputs'!$C$10*(1+'Scenario Inputs'!$C$11)^1</x:f>
        <x:v>16.5</x:v>
      </x:c>
      <x:c r="U533" s="64" t="n">
        <x:f>'Scenario Inputs'!$C$10*(1+'Scenario Inputs'!$C$11)^1</x:f>
        <x:v>16.5</x:v>
      </x:c>
      <x:c r="V533" s="64" t="n">
        <x:f>'Scenario Inputs'!$C$10*(1+'Scenario Inputs'!$C$11)^1</x:f>
        <x:v>16.5</x:v>
      </x:c>
      <x:c r="W533" s="64" t="n">
        <x:f>'Scenario Inputs'!$C$10*(1+'Scenario Inputs'!$C$11)^1</x:f>
        <x:v>16.5</x:v>
      </x:c>
      <x:c r="X533" s="64" t="n">
        <x:f>'Scenario Inputs'!$C$10*(1+'Scenario Inputs'!$C$11)^1</x:f>
        <x:v>16.5</x:v>
      </x:c>
      <x:c r="Y533" s="64" t="n">
        <x:f>'Scenario Inputs'!$C$10*(1+'Scenario Inputs'!$C$11)^1</x:f>
        <x:v>16.5</x:v>
      </x:c>
      <x:c r="Z533" s="64" t="n">
        <x:f>'Scenario Inputs'!$C$10*(1+'Scenario Inputs'!$C$11)^2</x:f>
        <x:v>18.150000000000002</x:v>
      </x:c>
      <x:c r="AA533" s="64" t="n">
        <x:f>'Scenario Inputs'!$C$10*(1+'Scenario Inputs'!$C$11)^2</x:f>
        <x:v>18.150000000000002</x:v>
      </x:c>
      <x:c r="AB533" s="64" t="n">
        <x:f>'Scenario Inputs'!$C$10*(1+'Scenario Inputs'!$C$11)^2</x:f>
        <x:v>18.150000000000002</x:v>
      </x:c>
      <x:c r="AC533" s="64" t="n">
        <x:f>'Scenario Inputs'!$C$10*(1+'Scenario Inputs'!$C$11)^2</x:f>
        <x:v>18.150000000000002</x:v>
      </x:c>
      <x:c r="AD533" s="64" t="n">
        <x:f>'Scenario Inputs'!$C$10*(1+'Scenario Inputs'!$C$11)^2</x:f>
        <x:v>18.150000000000002</x:v>
      </x:c>
      <x:c r="AE533" s="64" t="n">
        <x:f>'Scenario Inputs'!$C$10*(1+'Scenario Inputs'!$C$11)^2</x:f>
        <x:v>18.150000000000002</x:v>
      </x:c>
      <x:c r="AF533" s="64" t="n">
        <x:f>'Scenario Inputs'!$C$10*(1+'Scenario Inputs'!$C$11)^2</x:f>
        <x:v>18.150000000000002</x:v>
      </x:c>
      <x:c r="AG533" s="64" t="n">
        <x:f>'Scenario Inputs'!$C$10*(1+'Scenario Inputs'!$C$11)^2</x:f>
        <x:v>18.150000000000002</x:v>
      </x:c>
      <x:c r="AH533" s="64" t="n">
        <x:f>'Scenario Inputs'!$C$10*(1+'Scenario Inputs'!$C$11)^2</x:f>
        <x:v>18.150000000000002</x:v>
      </x:c>
      <x:c r="AI533" s="64" t="n">
        <x:f>'Scenario Inputs'!$C$10*(1+'Scenario Inputs'!$C$11)^2</x:f>
        <x:v>18.150000000000002</x:v>
      </x:c>
      <x:c r="AJ533" s="64" t="n">
        <x:f>'Scenario Inputs'!$C$10*(1+'Scenario Inputs'!$C$11)^2</x:f>
        <x:v>18.150000000000002</x:v>
      </x:c>
      <x:c r="AK533" s="64" t="n">
        <x:f>'Scenario Inputs'!$C$10*(1+'Scenario Inputs'!$C$11)^2</x:f>
        <x:v>18.150000000000002</x:v>
      </x:c>
    </x:row>
    <x:row r="534" ht="18" customHeight="1">
      <x:c r="A534" s="4" t="str">
        <x:v>Paid clicks / prospect equivalents</x:v>
      </x:c>
      <x:c r="B534" s="58" t="n">
        <x:f>B532/B533</x:f>
        <x:v>400</x:v>
      </x:c>
      <x:c r="C534" s="58" t="n">
        <x:f>C532/C533</x:f>
        <x:v>400</x:v>
      </x:c>
      <x:c r="D534" s="58" t="n">
        <x:f>D532/D533</x:f>
        <x:v>400</x:v>
      </x:c>
      <x:c r="E534" s="58" t="n">
        <x:f>E532/E533</x:f>
        <x:v>800</x:v>
      </x:c>
      <x:c r="F534" s="58" t="n">
        <x:f>F532/F533</x:f>
        <x:v>800</x:v>
      </x:c>
      <x:c r="G534" s="58" t="n">
        <x:f>G532/G533</x:f>
        <x:v>800</x:v>
      </x:c>
      <x:c r="H534" s="58" t="n">
        <x:f>H532/H533</x:f>
        <x:v>1666.6666666666667</x:v>
      </x:c>
      <x:c r="I534" s="58" t="n">
        <x:f>I532/I533</x:f>
        <x:v>1666.6666666666667</x:v>
      </x:c>
      <x:c r="J534" s="58" t="n">
        <x:f>J532/J533</x:f>
        <x:v>1666.6666666666667</x:v>
      </x:c>
      <x:c r="K534" s="58" t="n">
        <x:f>K532/K533</x:f>
        <x:v>1666.6666666666667</x:v>
      </x:c>
      <x:c r="L534" s="58" t="n">
        <x:f>L532/L533</x:f>
        <x:v>1666.6666666666667</x:v>
      </x:c>
      <x:c r="M534" s="58" t="n">
        <x:f>M532/M533</x:f>
        <x:v>1666.6666666666667</x:v>
      </x:c>
      <x:c r="N534" s="58" t="n">
        <x:f>N532/N533</x:f>
        <x:v>3030.3030303030305</x:v>
      </x:c>
      <x:c r="O534" s="58" t="n">
        <x:f>O532/O533</x:f>
        <x:v>3030.3030303030305</x:v>
      </x:c>
      <x:c r="P534" s="58" t="n">
        <x:f>P532/P533</x:f>
        <x:v>3030.3030303030305</x:v>
      </x:c>
      <x:c r="Q534" s="58" t="n">
        <x:f>Q532/Q533</x:f>
        <x:v>3030.3030303030305</x:v>
      </x:c>
      <x:c r="R534" s="58" t="n">
        <x:f>R532/R533</x:f>
        <x:v>3030.3030303030305</x:v>
      </x:c>
      <x:c r="S534" s="58" t="n">
        <x:f>S532/S533</x:f>
        <x:v>3030.3030303030305</x:v>
      </x:c>
      <x:c r="T534" s="58" t="n">
        <x:f>T532/T533</x:f>
        <x:v>4545.454545454545</x:v>
      </x:c>
      <x:c r="U534" s="58" t="n">
        <x:f>U532/U533</x:f>
        <x:v>4545.454545454545</x:v>
      </x:c>
      <x:c r="V534" s="58" t="n">
        <x:f>V532/V533</x:f>
        <x:v>4545.454545454545</x:v>
      </x:c>
      <x:c r="W534" s="58" t="n">
        <x:f>W532/W533</x:f>
        <x:v>4545.454545454545</x:v>
      </x:c>
      <x:c r="X534" s="58" t="n">
        <x:f>X532/X533</x:f>
        <x:v>4545.454545454545</x:v>
      </x:c>
      <x:c r="Y534" s="58" t="n">
        <x:f>Y532/Y533</x:f>
        <x:v>4545.454545454545</x:v>
      </x:c>
      <x:c r="Z534" s="58" t="n">
        <x:f>Z532/Z533</x:f>
        <x:v>5509.641873278236</x:v>
      </x:c>
      <x:c r="AA534" s="58" t="n">
        <x:f>AA532/AA533</x:f>
        <x:v>5509.641873278236</x:v>
      </x:c>
      <x:c r="AB534" s="58" t="n">
        <x:f>AB532/AB533</x:f>
        <x:v>5509.641873278236</x:v>
      </x:c>
      <x:c r="AC534" s="58" t="n">
        <x:f>AC532/AC533</x:f>
        <x:v>5509.641873278236</x:v>
      </x:c>
      <x:c r="AD534" s="58" t="n">
        <x:f>AD532/AD533</x:f>
        <x:v>5509.641873278236</x:v>
      </x:c>
      <x:c r="AE534" s="58" t="n">
        <x:f>AE532/AE533</x:f>
        <x:v>5509.641873278236</x:v>
      </x:c>
      <x:c r="AF534" s="58" t="n">
        <x:f>AF532/AF533</x:f>
        <x:v>6887.052341597795</x:v>
      </x:c>
      <x:c r="AG534" s="58" t="n">
        <x:f>AG532/AG533</x:f>
        <x:v>6887.052341597795</x:v>
      </x:c>
      <x:c r="AH534" s="58" t="n">
        <x:f>AH532/AH533</x:f>
        <x:v>6887.052341597795</x:v>
      </x:c>
      <x:c r="AI534" s="58" t="n">
        <x:f>AI532/AI533</x:f>
        <x:v>6887.052341597795</x:v>
      </x:c>
      <x:c r="AJ534" s="58" t="n">
        <x:f>AJ532/AJ533</x:f>
        <x:v>6887.052341597795</x:v>
      </x:c>
      <x:c r="AK534" s="58" t="n">
        <x:f>AK532/AK533</x:f>
        <x:v>6887.052341597795</x:v>
      </x:c>
    </x:row>
    <x:row r="535" ht="18" customHeight="1">
      <x:c r="A535" s="4" t="str">
        <x:v>New gross buyers: organic</x:v>
      </x:c>
      <x:c r="B535" s="58" t="n">
        <x:f>B531*'Scenario Inputs'!$C$9</x:f>
        <x:v>15</x:v>
      </x:c>
      <x:c r="C535" s="58" t="n">
        <x:f>C531*'Scenario Inputs'!$C$9</x:f>
        <x:v>16.8</x:v>
      </x:c>
      <x:c r="D535" s="58" t="n">
        <x:f>D531*'Scenario Inputs'!$C$9</x:f>
        <x:v>18.816</x:v>
      </x:c>
      <x:c r="E535" s="58" t="n">
        <x:f>E531*'Scenario Inputs'!$C$9</x:f>
        <x:v>21.073920000000005</x:v>
      </x:c>
      <x:c r="F535" s="58" t="n">
        <x:f>F531*'Scenario Inputs'!$C$9</x:f>
        <x:v>23.602790400000007</x:v>
      </x:c>
      <x:c r="G535" s="58" t="n">
        <x:f>G531*'Scenario Inputs'!$C$9</x:f>
        <x:v>26.43512524800001</x:v>
      </x:c>
      <x:c r="H535" s="58" t="n">
        <x:f>H531*'Scenario Inputs'!$C$9</x:f>
        <x:v>29.607340277760017</x:v>
      </x:c>
      <x:c r="I535" s="58" t="n">
        <x:f>I531*'Scenario Inputs'!$C$9</x:f>
        <x:v>33.16022111109122</x:v>
      </x:c>
      <x:c r="J535" s="58" t="n">
        <x:f>J531*'Scenario Inputs'!$C$9</x:f>
        <x:v>37.13944764442216</x:v>
      </x:c>
      <x:c r="K535" s="58" t="n">
        <x:f>K531*'Scenario Inputs'!$C$9</x:f>
        <x:v>41.596181361752826</x:v>
      </x:c>
      <x:c r="L535" s="58" t="n">
        <x:f>L531*'Scenario Inputs'!$C$9</x:f>
        <x:v>46.58772312516317</x:v>
      </x:c>
      <x:c r="M535" s="58" t="n">
        <x:f>M531*'Scenario Inputs'!$C$9</x:f>
        <x:v>52.17824990018276</x:v>
      </x:c>
      <x:c r="N535" s="58" t="n">
        <x:f>N531*'Scenario Inputs'!$C$9</x:f>
        <x:v>56.35250989219738</x:v>
      </x:c>
      <x:c r="O535" s="58" t="n">
        <x:f>O531*'Scenario Inputs'!$C$9</x:f>
        <x:v>60.86071068357318</x:v>
      </x:c>
      <x:c r="P535" s="58" t="n">
        <x:f>P531*'Scenario Inputs'!$C$9</x:f>
        <x:v>65.72956753825905</x:v>
      </x:c>
      <x:c r="Q535" s="58" t="n">
        <x:f>Q531*'Scenario Inputs'!$C$9</x:f>
        <x:v>70.98793294131977</x:v>
      </x:c>
      <x:c r="R535" s="58" t="n">
        <x:f>R531*'Scenario Inputs'!$C$9</x:f>
        <x:v>76.66696757662535</x:v>
      </x:c>
      <x:c r="S535" s="58" t="n">
        <x:f>S531*'Scenario Inputs'!$C$9</x:f>
        <x:v>82.80032498275538</x:v>
      </x:c>
      <x:c r="T535" s="58" t="n">
        <x:f>T531*'Scenario Inputs'!$C$9</x:f>
        <x:v>89.42435098137582</x:v>
      </x:c>
      <x:c r="U535" s="58" t="n">
        <x:f>U531*'Scenario Inputs'!$C$9</x:f>
        <x:v>96.5782990598859</x:v>
      </x:c>
      <x:c r="V535" s="58" t="n">
        <x:f>V531*'Scenario Inputs'!$C$9</x:f>
        <x:v>104.30456298467676</x:v>
      </x:c>
      <x:c r="W535" s="58" t="n">
        <x:f>W531*'Scenario Inputs'!$C$9</x:f>
        <x:v>112.6489280234509</x:v>
      </x:c>
      <x:c r="X535" s="58" t="n">
        <x:f>X531*'Scenario Inputs'!$C$9</x:f>
        <x:v>121.66084226532699</x:v>
      </x:c>
      <x:c r="Y535" s="58" t="n">
        <x:f>Y531*'Scenario Inputs'!$C$9</x:f>
        <x:v>131.39370964655313</x:v>
      </x:c>
      <x:c r="Z535" s="58" t="n">
        <x:f>Z531*'Scenario Inputs'!$C$9</x:f>
        <x:v>139.27733222534636</x:v>
      </x:c>
      <x:c r="AA535" s="58" t="n">
        <x:f>AA531*'Scenario Inputs'!$C$9</x:f>
        <x:v>147.63397215886715</x:v>
      </x:c>
      <x:c r="AB535" s="58" t="n">
        <x:f>AB531*'Scenario Inputs'!$C$9</x:f>
        <x:v>156.4920104883992</x:v>
      </x:c>
      <x:c r="AC535" s="58" t="n">
        <x:f>AC531*'Scenario Inputs'!$C$9</x:f>
        <x:v>165.88153111770316</x:v>
      </x:c>
      <x:c r="AD535" s="58" t="n">
        <x:f>AD531*'Scenario Inputs'!$C$9</x:f>
        <x:v>175.83442298476535</x:v>
      </x:c>
      <x:c r="AE535" s="58" t="n">
        <x:f>AE531*'Scenario Inputs'!$C$9</x:f>
        <x:v>186.38448836385126</x:v>
      </x:c>
      <x:c r="AF535" s="58" t="n">
        <x:f>AF531*'Scenario Inputs'!$C$9</x:f>
        <x:v>197.56755766568233</x:v>
      </x:c>
      <x:c r="AG535" s="58" t="n">
        <x:f>AG531*'Scenario Inputs'!$C$9</x:f>
        <x:v>209.4216111256233</x:v>
      </x:c>
      <x:c r="AH535" s="58" t="n">
        <x:f>AH531*'Scenario Inputs'!$C$9</x:f>
        <x:v>221.98690779316073</x:v>
      </x:c>
      <x:c r="AI535" s="58" t="n">
        <x:f>AI531*'Scenario Inputs'!$C$9</x:f>
        <x:v>235.30612226075036</x:v>
      </x:c>
      <x:c r="AJ535" s="58" t="n">
        <x:f>AJ531*'Scenario Inputs'!$C$9</x:f>
        <x:v>249.4244895963954</x:v>
      </x:c>
      <x:c r="AK535" s="58" t="n">
        <x:f>AK531*'Scenario Inputs'!$C$9</x:f>
        <x:v>264.38995897217916</x:v>
      </x:c>
    </x:row>
    <x:row r="536" ht="18" customHeight="1">
      <x:c r="A536" s="4" t="str">
        <x:v>New gross buyers: paid</x:v>
      </x:c>
      <x:c r="B536" s="58" t="n">
        <x:f>B534*'Scenario Inputs'!$C$12</x:f>
        <x:v>8</x:v>
      </x:c>
      <x:c r="C536" s="58" t="n">
        <x:f>C534*'Scenario Inputs'!$C$12</x:f>
        <x:v>8</x:v>
      </x:c>
      <x:c r="D536" s="58" t="n">
        <x:f>D534*'Scenario Inputs'!$C$12</x:f>
        <x:v>8</x:v>
      </x:c>
      <x:c r="E536" s="58" t="n">
        <x:f>E534*'Scenario Inputs'!$C$12</x:f>
        <x:v>16</x:v>
      </x:c>
      <x:c r="F536" s="58" t="n">
        <x:f>F534*'Scenario Inputs'!$C$12</x:f>
        <x:v>16</x:v>
      </x:c>
      <x:c r="G536" s="58" t="n">
        <x:f>G534*'Scenario Inputs'!$C$12</x:f>
        <x:v>16</x:v>
      </x:c>
      <x:c r="H536" s="58" t="n">
        <x:f>H534*'Scenario Inputs'!$C$12</x:f>
        <x:v>33.333333333333336</x:v>
      </x:c>
      <x:c r="I536" s="58" t="n">
        <x:f>I534*'Scenario Inputs'!$C$12</x:f>
        <x:v>33.333333333333336</x:v>
      </x:c>
      <x:c r="J536" s="58" t="n">
        <x:f>J534*'Scenario Inputs'!$C$12</x:f>
        <x:v>33.333333333333336</x:v>
      </x:c>
      <x:c r="K536" s="58" t="n">
        <x:f>K534*'Scenario Inputs'!$C$12</x:f>
        <x:v>33.333333333333336</x:v>
      </x:c>
      <x:c r="L536" s="58" t="n">
        <x:f>L534*'Scenario Inputs'!$C$12</x:f>
        <x:v>33.333333333333336</x:v>
      </x:c>
      <x:c r="M536" s="58" t="n">
        <x:f>M534*'Scenario Inputs'!$C$12</x:f>
        <x:v>33.333333333333336</x:v>
      </x:c>
      <x:c r="N536" s="58" t="n">
        <x:f>N534*'Scenario Inputs'!$C$12</x:f>
        <x:v>60.60606060606061</x:v>
      </x:c>
      <x:c r="O536" s="58" t="n">
        <x:f>O534*'Scenario Inputs'!$C$12</x:f>
        <x:v>60.60606060606061</x:v>
      </x:c>
      <x:c r="P536" s="58" t="n">
        <x:f>P534*'Scenario Inputs'!$C$12</x:f>
        <x:v>60.60606060606061</x:v>
      </x:c>
      <x:c r="Q536" s="58" t="n">
        <x:f>Q534*'Scenario Inputs'!$C$12</x:f>
        <x:v>60.60606060606061</x:v>
      </x:c>
      <x:c r="R536" s="58" t="n">
        <x:f>R534*'Scenario Inputs'!$C$12</x:f>
        <x:v>60.60606060606061</x:v>
      </x:c>
      <x:c r="S536" s="58" t="n">
        <x:f>S534*'Scenario Inputs'!$C$12</x:f>
        <x:v>60.60606060606061</x:v>
      </x:c>
      <x:c r="T536" s="58" t="n">
        <x:f>T534*'Scenario Inputs'!$C$12</x:f>
        <x:v>90.9090909090909</x:v>
      </x:c>
      <x:c r="U536" s="58" t="n">
        <x:f>U534*'Scenario Inputs'!$C$12</x:f>
        <x:v>90.9090909090909</x:v>
      </x:c>
      <x:c r="V536" s="58" t="n">
        <x:f>V534*'Scenario Inputs'!$C$12</x:f>
        <x:v>90.9090909090909</x:v>
      </x:c>
      <x:c r="W536" s="58" t="n">
        <x:f>W534*'Scenario Inputs'!$C$12</x:f>
        <x:v>90.9090909090909</x:v>
      </x:c>
      <x:c r="X536" s="58" t="n">
        <x:f>X534*'Scenario Inputs'!$C$12</x:f>
        <x:v>90.9090909090909</x:v>
      </x:c>
      <x:c r="Y536" s="58" t="n">
        <x:f>Y534*'Scenario Inputs'!$C$12</x:f>
        <x:v>90.9090909090909</x:v>
      </x:c>
      <x:c r="Z536" s="58" t="n">
        <x:f>Z534*'Scenario Inputs'!$C$12</x:f>
        <x:v>110.19283746556472</x:v>
      </x:c>
      <x:c r="AA536" s="58" t="n">
        <x:f>AA534*'Scenario Inputs'!$C$12</x:f>
        <x:v>110.19283746556472</x:v>
      </x:c>
      <x:c r="AB536" s="58" t="n">
        <x:f>AB534*'Scenario Inputs'!$C$12</x:f>
        <x:v>110.19283746556472</x:v>
      </x:c>
      <x:c r="AC536" s="58" t="n">
        <x:f>AC534*'Scenario Inputs'!$C$12</x:f>
        <x:v>110.19283746556472</x:v>
      </x:c>
      <x:c r="AD536" s="58" t="n">
        <x:f>AD534*'Scenario Inputs'!$C$12</x:f>
        <x:v>110.19283746556472</x:v>
      </x:c>
      <x:c r="AE536" s="58" t="n">
        <x:f>AE534*'Scenario Inputs'!$C$12</x:f>
        <x:v>110.19283746556472</x:v>
      </x:c>
      <x:c r="AF536" s="58" t="n">
        <x:f>AF534*'Scenario Inputs'!$C$12</x:f>
        <x:v>137.7410468319559</x:v>
      </x:c>
      <x:c r="AG536" s="58" t="n">
        <x:f>AG534*'Scenario Inputs'!$C$12</x:f>
        <x:v>137.7410468319559</x:v>
      </x:c>
      <x:c r="AH536" s="58" t="n">
        <x:f>AH534*'Scenario Inputs'!$C$12</x:f>
        <x:v>137.7410468319559</x:v>
      </x:c>
      <x:c r="AI536" s="58" t="n">
        <x:f>AI534*'Scenario Inputs'!$C$12</x:f>
        <x:v>137.7410468319559</x:v>
      </x:c>
      <x:c r="AJ536" s="58" t="n">
        <x:f>AJ534*'Scenario Inputs'!$C$12</x:f>
        <x:v>137.7410468319559</x:v>
      </x:c>
      <x:c r="AK536" s="58" t="n">
        <x:f>AK534*'Scenario Inputs'!$C$12</x:f>
        <x:v>137.7410468319559</x:v>
      </x:c>
    </x:row>
    <x:row r="537" ht="18" customHeight="1">
      <x:c r="A537" s="4" t="str">
        <x:v>Total new gross buyers</x:v>
      </x:c>
      <x:c r="B537" s="58" t="n">
        <x:f>SUM(B535:B536)</x:f>
        <x:v>23</x:v>
      </x:c>
      <x:c r="C537" s="58" t="n">
        <x:f>SUM(C535:C536)</x:f>
        <x:v>24.8</x:v>
      </x:c>
      <x:c r="D537" s="58" t="n">
        <x:f>SUM(D535:D536)</x:f>
        <x:v>26.816</x:v>
      </x:c>
      <x:c r="E537" s="58" t="n">
        <x:f>SUM(E535:E536)</x:f>
        <x:v>37.07392</x:v>
      </x:c>
      <x:c r="F537" s="58" t="n">
        <x:f>SUM(F535:F536)</x:f>
        <x:v>39.6027904</x:v>
      </x:c>
      <x:c r="G537" s="58" t="n">
        <x:f>SUM(G535:G536)</x:f>
        <x:v>42.435125248000006</x:v>
      </x:c>
      <x:c r="H537" s="58" t="n">
        <x:f>SUM(H535:H536)</x:f>
        <x:v>62.94067361109335</x:v>
      </x:c>
      <x:c r="I537" s="58" t="n">
        <x:f>SUM(I535:I536)</x:f>
        <x:v>66.49355444442455</x:v>
      </x:c>
      <x:c r="J537" s="58" t="n">
        <x:f>SUM(J535:J536)</x:f>
        <x:v>70.47278097775549</x:v>
      </x:c>
      <x:c r="K537" s="58" t="n">
        <x:f>SUM(K535:K536)</x:f>
        <x:v>74.92951469508617</x:v>
      </x:c>
      <x:c r="L537" s="58" t="n">
        <x:f>SUM(L535:L536)</x:f>
        <x:v>79.92105645849651</x:v>
      </x:c>
      <x:c r="M537" s="58" t="n">
        <x:f>SUM(M535:M536)</x:f>
        <x:v>85.51158323351609</x:v>
      </x:c>
      <x:c r="N537" s="58" t="n">
        <x:f>SUM(N535:N536)</x:f>
        <x:v>116.95857049825798</x:v>
      </x:c>
      <x:c r="O537" s="58" t="n">
        <x:f>SUM(O535:O536)</x:f>
        <x:v>121.46677128963378</x:v>
      </x:c>
      <x:c r="P537" s="58" t="n">
        <x:f>SUM(P535:P536)</x:f>
        <x:v>126.33562814431966</x:v>
      </x:c>
      <x:c r="Q537" s="58" t="n">
        <x:f>SUM(Q535:Q536)</x:f>
        <x:v>131.59399354738036</x:v>
      </x:c>
      <x:c r="R537" s="58" t="n">
        <x:f>SUM(R535:R536)</x:f>
        <x:v>137.27302818268595</x:v>
      </x:c>
      <x:c r="S537" s="58" t="n">
        <x:f>SUM(S535:S536)</x:f>
        <x:v>143.406385588816</x:v>
      </x:c>
      <x:c r="T537" s="58" t="n">
        <x:f>SUM(T535:T536)</x:f>
        <x:v>180.33344189046673</x:v>
      </x:c>
      <x:c r="U537" s="58" t="n">
        <x:f>SUM(U535:U536)</x:f>
        <x:v>187.4873899689768</x:v>
      </x:c>
      <x:c r="V537" s="58" t="n">
        <x:f>SUM(V535:V536)</x:f>
        <x:v>195.21365389376768</x:v>
      </x:c>
      <x:c r="W537" s="58" t="n">
        <x:f>SUM(W535:W536)</x:f>
        <x:v>203.5580189325418</x:v>
      </x:c>
      <x:c r="X537" s="58" t="n">
        <x:f>SUM(X535:X536)</x:f>
        <x:v>212.56993317441788</x:v>
      </x:c>
      <x:c r="Y537" s="58" t="n">
        <x:f>SUM(Y535:Y536)</x:f>
        <x:v>222.30280055564404</x:v>
      </x:c>
      <x:c r="Z537" s="58" t="n">
        <x:f>SUM(Z535:Z536)</x:f>
        <x:v>249.47016969091106</x:v>
      </x:c>
      <x:c r="AA537" s="58" t="n">
        <x:f>SUM(AA535:AA536)</x:f>
        <x:v>257.82680962443186</x:v>
      </x:c>
      <x:c r="AB537" s="58" t="n">
        <x:f>SUM(AB535:AB536)</x:f>
        <x:v>266.6848479539639</x:v>
      </x:c>
      <x:c r="AC537" s="58" t="n">
        <x:f>SUM(AC535:AC536)</x:f>
        <x:v>276.07436858326787</x:v>
      </x:c>
      <x:c r="AD537" s="58" t="n">
        <x:f>SUM(AD535:AD536)</x:f>
        <x:v>286.02726045033006</x:v>
      </x:c>
      <x:c r="AE537" s="58" t="n">
        <x:f>SUM(AE535:AE536)</x:f>
        <x:v>296.577325829416</x:v>
      </x:c>
      <x:c r="AF537" s="58" t="n">
        <x:f>SUM(AF535:AF536)</x:f>
        <x:v>335.30860449763827</x:v>
      </x:c>
      <x:c r="AG537" s="58" t="n">
        <x:f>SUM(AG535:AG536)</x:f>
        <x:v>347.1626579575792</x:v>
      </x:c>
      <x:c r="AH537" s="58" t="n">
        <x:f>SUM(AH535:AH536)</x:f>
        <x:v>359.72795462511664</x:v>
      </x:c>
      <x:c r="AI537" s="58" t="n">
        <x:f>SUM(AI535:AI536)</x:f>
        <x:v>373.04716909270627</x:v>
      </x:c>
      <x:c r="AJ537" s="58" t="n">
        <x:f>SUM(AJ535:AJ536)</x:f>
        <x:v>387.1655364283513</x:v>
      </x:c>
      <x:c r="AK537" s="58" t="n">
        <x:f>SUM(AK535:AK536)</x:f>
        <x:v>402.13100580413504</x:v>
      </x:c>
    </x:row>
    <x:row r="538" ht="18" customHeight="1">
      <x:c r="A538" s="4" t="str">
        <x:v>New buyers after refunds</x:v>
      </x:c>
      <x:c r="B538" s="58" t="n">
        <x:f>B537*(1-'Scenario Inputs'!$C$29)</x:f>
        <x:v>22.31</x:v>
      </x:c>
      <x:c r="C538" s="58" t="n">
        <x:f>C537*(1-'Scenario Inputs'!$C$29)</x:f>
        <x:v>24.056</x:v>
      </x:c>
      <x:c r="D538" s="58" t="n">
        <x:f>D537*(1-'Scenario Inputs'!$C$29)</x:f>
        <x:v>26.011519999999997</x:v>
      </x:c>
      <x:c r="E538" s="58" t="n">
        <x:f>E537*(1-'Scenario Inputs'!$C$29)</x:f>
        <x:v>35.9617024</x:v>
      </x:c>
      <x:c r="F538" s="58" t="n">
        <x:f>F537*(1-'Scenario Inputs'!$C$29)</x:f>
        <x:v>38.414706688</x:v>
      </x:c>
      <x:c r="G538" s="58" t="n">
        <x:f>G537*(1-'Scenario Inputs'!$C$29)</x:f>
        <x:v>41.16207149056</x:v>
      </x:c>
      <x:c r="H538" s="58" t="n">
        <x:f>H537*(1-'Scenario Inputs'!$C$29)</x:f>
        <x:v>61.05245340276055</x:v>
      </x:c>
      <x:c r="I538" s="58" t="n">
        <x:f>I537*(1-'Scenario Inputs'!$C$29)</x:f>
        <x:v>64.4987478110918</x:v>
      </x:c>
      <x:c r="J538" s="58" t="n">
        <x:f>J537*(1-'Scenario Inputs'!$C$29)</x:f>
        <x:v>68.35859754842282</x:v>
      </x:c>
      <x:c r="K538" s="58" t="n">
        <x:f>K537*(1-'Scenario Inputs'!$C$29)</x:f>
        <x:v>72.68162925423358</x:v>
      </x:c>
      <x:c r="L538" s="58" t="n">
        <x:f>L537*(1-'Scenario Inputs'!$C$29)</x:f>
        <x:v>77.5234247647416</x:v>
      </x:c>
      <x:c r="M538" s="58" t="n">
        <x:f>M537*(1-'Scenario Inputs'!$C$29)</x:f>
        <x:v>82.9462357365106</x:v>
      </x:c>
      <x:c r="N538" s="58" t="n">
        <x:f>N537*(1-'Scenario Inputs'!$C$29)</x:f>
        <x:v>113.44981338331024</x:v>
      </x:c>
      <x:c r="O538" s="58" t="n">
        <x:f>O537*(1-'Scenario Inputs'!$C$29)</x:f>
        <x:v>117.82276815094477</x:v>
      </x:c>
      <x:c r="P538" s="58" t="n">
        <x:f>P537*(1-'Scenario Inputs'!$C$29)</x:f>
        <x:v>122.54555929999006</x:v>
      </x:c>
      <x:c r="Q538" s="58" t="n">
        <x:f>Q537*(1-'Scenario Inputs'!$C$29)</x:f>
        <x:v>127.64617374095894</x:v>
      </x:c>
      <x:c r="R538" s="58" t="n">
        <x:f>R537*(1-'Scenario Inputs'!$C$29)</x:f>
        <x:v>133.15483733720538</x:v>
      </x:c>
      <x:c r="S538" s="58" t="n">
        <x:f>S537*(1-'Scenario Inputs'!$C$29)</x:f>
        <x:v>139.1041940211515</x:v>
      </x:c>
      <x:c r="T538" s="58" t="n">
        <x:f>T537*(1-'Scenario Inputs'!$C$29)</x:f>
        <x:v>174.9234386337527</x:v>
      </x:c>
      <x:c r="U538" s="58" t="n">
        <x:f>U537*(1-'Scenario Inputs'!$C$29)</x:f>
        <x:v>181.8627682699075</x:v>
      </x:c>
      <x:c r="V538" s="58" t="n">
        <x:f>V537*(1-'Scenario Inputs'!$C$29)</x:f>
        <x:v>189.35724427695465</x:v>
      </x:c>
      <x:c r="W538" s="58" t="n">
        <x:f>W537*(1-'Scenario Inputs'!$C$29)</x:f>
        <x:v>197.45127836456555</x:v>
      </x:c>
      <x:c r="X538" s="58" t="n">
        <x:f>X537*(1-'Scenario Inputs'!$C$29)</x:f>
        <x:v>206.19283517918535</x:v>
      </x:c>
      <x:c r="Y538" s="58" t="n">
        <x:f>Y537*(1-'Scenario Inputs'!$C$29)</x:f>
        <x:v>215.6337165389747</x:v>
      </x:c>
      <x:c r="Z538" s="58" t="n">
        <x:f>Z537*(1-'Scenario Inputs'!$C$29)</x:f>
        <x:v>241.98606460018374</x:v>
      </x:c>
      <x:c r="AA538" s="58" t="n">
        <x:f>AA537*(1-'Scenario Inputs'!$C$29)</x:f>
        <x:v>250.0920053356989</x:v>
      </x:c>
      <x:c r="AB538" s="58" t="n">
        <x:f>AB537*(1-'Scenario Inputs'!$C$29)</x:f>
        <x:v>258.684302515345</x:v>
      </x:c>
      <x:c r="AC538" s="58" t="n">
        <x:f>AC537*(1-'Scenario Inputs'!$C$29)</x:f>
        <x:v>267.7921375257698</x:v>
      </x:c>
      <x:c r="AD538" s="58" t="n">
        <x:f>AD537*(1-'Scenario Inputs'!$C$29)</x:f>
        <x:v>277.44644263682017</x:v>
      </x:c>
      <x:c r="AE538" s="58" t="n">
        <x:f>AE537*(1-'Scenario Inputs'!$C$29)</x:f>
        <x:v>287.6800060545335</x:v>
      </x:c>
      <x:c r="AF538" s="58" t="n">
        <x:f>AF537*(1-'Scenario Inputs'!$C$29)</x:f>
        <x:v>325.2493463627091</x:v>
      </x:c>
      <x:c r="AG538" s="58" t="n">
        <x:f>AG537*(1-'Scenario Inputs'!$C$29)</x:f>
        <x:v>336.7477782188518</x:v>
      </x:c>
      <x:c r="AH538" s="58" t="n">
        <x:f>AH537*(1-'Scenario Inputs'!$C$29)</x:f>
        <x:v>348.9361159863631</x:v>
      </x:c>
      <x:c r="AI538" s="58" t="n">
        <x:f>AI537*(1-'Scenario Inputs'!$C$29)</x:f>
        <x:v>361.8557540199251</x:v>
      </x:c>
      <x:c r="AJ538" s="58" t="n">
        <x:f>AJ537*(1-'Scenario Inputs'!$C$29)</x:f>
        <x:v>375.55057033550077</x:v>
      </x:c>
      <x:c r="AK538" s="58" t="n">
        <x:f>AK537*(1-'Scenario Inputs'!$C$29)</x:f>
        <x:v>390.067075630011</x:v>
      </x:c>
    </x:row>
    <x:row r="539" ht="18" customHeight="1">
      <x:c r="A539" s="4" t="str">
        <x:v>Paid creative allowance (INR)</x:v>
      </x:c>
      <x:c r="B539" s="58" t="n">
        <x:f>B532*'Scenario Inputs'!$C$13</x:f>
        <x:v>1500</x:v>
      </x:c>
      <x:c r="C539" s="58" t="n">
        <x:f>C532*'Scenario Inputs'!$C$13</x:f>
        <x:v>1500</x:v>
      </x:c>
      <x:c r="D539" s="58" t="n">
        <x:f>D532*'Scenario Inputs'!$C$13</x:f>
        <x:v>1500</x:v>
      </x:c>
      <x:c r="E539" s="58" t="n">
        <x:f>E532*'Scenario Inputs'!$C$13</x:f>
        <x:v>3000</x:v>
      </x:c>
      <x:c r="F539" s="58" t="n">
        <x:f>F532*'Scenario Inputs'!$C$13</x:f>
        <x:v>3000</x:v>
      </x:c>
      <x:c r="G539" s="58" t="n">
        <x:f>G532*'Scenario Inputs'!$C$13</x:f>
        <x:v>3000</x:v>
      </x:c>
      <x:c r="H539" s="58" t="n">
        <x:f>H532*'Scenario Inputs'!$C$13</x:f>
        <x:v>6250</x:v>
      </x:c>
      <x:c r="I539" s="58" t="n">
        <x:f>I532*'Scenario Inputs'!$C$13</x:f>
        <x:v>6250</x:v>
      </x:c>
      <x:c r="J539" s="58" t="n">
        <x:f>J532*'Scenario Inputs'!$C$13</x:f>
        <x:v>6250</x:v>
      </x:c>
      <x:c r="K539" s="58" t="n">
        <x:f>K532*'Scenario Inputs'!$C$13</x:f>
        <x:v>6250</x:v>
      </x:c>
      <x:c r="L539" s="58" t="n">
        <x:f>L532*'Scenario Inputs'!$C$13</x:f>
        <x:v>6250</x:v>
      </x:c>
      <x:c r="M539" s="58" t="n">
        <x:f>M532*'Scenario Inputs'!$C$13</x:f>
        <x:v>6250</x:v>
      </x:c>
      <x:c r="N539" s="58" t="n">
        <x:f>N532*'Scenario Inputs'!$C$13</x:f>
        <x:v>12500</x:v>
      </x:c>
      <x:c r="O539" s="58" t="n">
        <x:f>O532*'Scenario Inputs'!$C$13</x:f>
        <x:v>12500</x:v>
      </x:c>
      <x:c r="P539" s="58" t="n">
        <x:f>P532*'Scenario Inputs'!$C$13</x:f>
        <x:v>12500</x:v>
      </x:c>
      <x:c r="Q539" s="58" t="n">
        <x:f>Q532*'Scenario Inputs'!$C$13</x:f>
        <x:v>12500</x:v>
      </x:c>
      <x:c r="R539" s="58" t="n">
        <x:f>R532*'Scenario Inputs'!$C$13</x:f>
        <x:v>12500</x:v>
      </x:c>
      <x:c r="S539" s="58" t="n">
        <x:f>S532*'Scenario Inputs'!$C$13</x:f>
        <x:v>12500</x:v>
      </x:c>
      <x:c r="T539" s="58" t="n">
        <x:f>T532*'Scenario Inputs'!$C$13</x:f>
        <x:v>18750</x:v>
      </x:c>
      <x:c r="U539" s="58" t="n">
        <x:f>U532*'Scenario Inputs'!$C$13</x:f>
        <x:v>18750</x:v>
      </x:c>
      <x:c r="V539" s="58" t="n">
        <x:f>V532*'Scenario Inputs'!$C$13</x:f>
        <x:v>18750</x:v>
      </x:c>
      <x:c r="W539" s="58" t="n">
        <x:f>W532*'Scenario Inputs'!$C$13</x:f>
        <x:v>18750</x:v>
      </x:c>
      <x:c r="X539" s="58" t="n">
        <x:f>X532*'Scenario Inputs'!$C$13</x:f>
        <x:v>18750</x:v>
      </x:c>
      <x:c r="Y539" s="58" t="n">
        <x:f>Y532*'Scenario Inputs'!$C$13</x:f>
        <x:v>18750</x:v>
      </x:c>
      <x:c r="Z539" s="58" t="n">
        <x:f>Z532*'Scenario Inputs'!$C$13</x:f>
        <x:v>25000</x:v>
      </x:c>
      <x:c r="AA539" s="58" t="n">
        <x:f>AA532*'Scenario Inputs'!$C$13</x:f>
        <x:v>25000</x:v>
      </x:c>
      <x:c r="AB539" s="58" t="n">
        <x:f>AB532*'Scenario Inputs'!$C$13</x:f>
        <x:v>25000</x:v>
      </x:c>
      <x:c r="AC539" s="58" t="n">
        <x:f>AC532*'Scenario Inputs'!$C$13</x:f>
        <x:v>25000</x:v>
      </x:c>
      <x:c r="AD539" s="58" t="n">
        <x:f>AD532*'Scenario Inputs'!$C$13</x:f>
        <x:v>25000</x:v>
      </x:c>
      <x:c r="AE539" s="58" t="n">
        <x:f>AE532*'Scenario Inputs'!$C$13</x:f>
        <x:v>25000</x:v>
      </x:c>
      <x:c r="AF539" s="58" t="n">
        <x:f>AF532*'Scenario Inputs'!$C$13</x:f>
        <x:v>31250</x:v>
      </x:c>
      <x:c r="AG539" s="58" t="n">
        <x:f>AG532*'Scenario Inputs'!$C$13</x:f>
        <x:v>31250</x:v>
      </x:c>
      <x:c r="AH539" s="58" t="n">
        <x:f>AH532*'Scenario Inputs'!$C$13</x:f>
        <x:v>31250</x:v>
      </x:c>
      <x:c r="AI539" s="58" t="n">
        <x:f>AI532*'Scenario Inputs'!$C$13</x:f>
        <x:v>31250</x:v>
      </x:c>
      <x:c r="AJ539" s="58" t="n">
        <x:f>AJ532*'Scenario Inputs'!$C$13</x:f>
        <x:v>31250</x:v>
      </x:c>
      <x:c r="AK539" s="58" t="n">
        <x:f>AK532*'Scenario Inputs'!$C$13</x:f>
        <x:v>31250</x:v>
      </x:c>
    </x:row>
    <x:row r="540" ht="18" customHeight="1">
      <x:c r="A540" s="4" t="str">
        <x:v>Organic / partner content cash (INR)</x:v>
      </x:c>
      <x:c r="B540" s="60" t="n">
        <x:f>'Scenario Inputs'!$C$21</x:f>
        <x:v>5000</x:v>
      </x:c>
      <x:c r="C540" s="60" t="n">
        <x:f>'Scenario Inputs'!$C$21</x:f>
        <x:v>5000</x:v>
      </x:c>
      <x:c r="D540" s="60" t="n">
        <x:f>'Scenario Inputs'!$C$21</x:f>
        <x:v>5000</x:v>
      </x:c>
      <x:c r="E540" s="60" t="n">
        <x:f>'Scenario Inputs'!$C$21</x:f>
        <x:v>5000</x:v>
      </x:c>
      <x:c r="F540" s="60" t="n">
        <x:f>'Scenario Inputs'!$C$21</x:f>
        <x:v>5000</x:v>
      </x:c>
      <x:c r="G540" s="60" t="n">
        <x:f>'Scenario Inputs'!$C$21</x:f>
        <x:v>5000</x:v>
      </x:c>
      <x:c r="H540" s="60" t="n">
        <x:f>'Scenario Inputs'!$C$21</x:f>
        <x:v>5000</x:v>
      </x:c>
      <x:c r="I540" s="60" t="n">
        <x:f>'Scenario Inputs'!$C$21</x:f>
        <x:v>5000</x:v>
      </x:c>
      <x:c r="J540" s="60" t="n">
        <x:f>'Scenario Inputs'!$C$21</x:f>
        <x:v>5000</x:v>
      </x:c>
      <x:c r="K540" s="60" t="n">
        <x:f>'Scenario Inputs'!$C$21</x:f>
        <x:v>5000</x:v>
      </x:c>
      <x:c r="L540" s="60" t="n">
        <x:f>'Scenario Inputs'!$C$21</x:f>
        <x:v>5000</x:v>
      </x:c>
      <x:c r="M540" s="60" t="n">
        <x:f>'Scenario Inputs'!$C$21</x:f>
        <x:v>5000</x:v>
      </x:c>
      <x:c r="N540" s="60" t="n">
        <x:f>'Scenario Inputs'!$C$22</x:f>
        <x:v>10000</x:v>
      </x:c>
      <x:c r="O540" s="60" t="n">
        <x:f>'Scenario Inputs'!$C$22</x:f>
        <x:v>10000</x:v>
      </x:c>
      <x:c r="P540" s="60" t="n">
        <x:f>'Scenario Inputs'!$C$22</x:f>
        <x:v>10000</x:v>
      </x:c>
      <x:c r="Q540" s="60" t="n">
        <x:f>'Scenario Inputs'!$C$22</x:f>
        <x:v>10000</x:v>
      </x:c>
      <x:c r="R540" s="60" t="n">
        <x:f>'Scenario Inputs'!$C$22</x:f>
        <x:v>10000</x:v>
      </x:c>
      <x:c r="S540" s="60" t="n">
        <x:f>'Scenario Inputs'!$C$22</x:f>
        <x:v>10000</x:v>
      </x:c>
      <x:c r="T540" s="60" t="n">
        <x:f>'Scenario Inputs'!$C$22</x:f>
        <x:v>10000</x:v>
      </x:c>
      <x:c r="U540" s="60" t="n">
        <x:f>'Scenario Inputs'!$C$22</x:f>
        <x:v>10000</x:v>
      </x:c>
      <x:c r="V540" s="60" t="n">
        <x:f>'Scenario Inputs'!$C$22</x:f>
        <x:v>10000</x:v>
      </x:c>
      <x:c r="W540" s="60" t="n">
        <x:f>'Scenario Inputs'!$C$22</x:f>
        <x:v>10000</x:v>
      </x:c>
      <x:c r="X540" s="60" t="n">
        <x:f>'Scenario Inputs'!$C$22</x:f>
        <x:v>10000</x:v>
      </x:c>
      <x:c r="Y540" s="60" t="n">
        <x:f>'Scenario Inputs'!$C$22</x:f>
        <x:v>10000</x:v>
      </x:c>
      <x:c r="Z540" s="60" t="n">
        <x:f>'Scenario Inputs'!$C$23</x:f>
        <x:v>15000</x:v>
      </x:c>
      <x:c r="AA540" s="60" t="n">
        <x:f>'Scenario Inputs'!$C$23</x:f>
        <x:v>15000</x:v>
      </x:c>
      <x:c r="AB540" s="60" t="n">
        <x:f>'Scenario Inputs'!$C$23</x:f>
        <x:v>15000</x:v>
      </x:c>
      <x:c r="AC540" s="60" t="n">
        <x:f>'Scenario Inputs'!$C$23</x:f>
        <x:v>15000</x:v>
      </x:c>
      <x:c r="AD540" s="60" t="n">
        <x:f>'Scenario Inputs'!$C$23</x:f>
        <x:v>15000</x:v>
      </x:c>
      <x:c r="AE540" s="60" t="n">
        <x:f>'Scenario Inputs'!$C$23</x:f>
        <x:v>15000</x:v>
      </x:c>
      <x:c r="AF540" s="60" t="n">
        <x:f>'Scenario Inputs'!$C$23</x:f>
        <x:v>15000</x:v>
      </x:c>
      <x:c r="AG540" s="60" t="n">
        <x:f>'Scenario Inputs'!$C$23</x:f>
        <x:v>15000</x:v>
      </x:c>
      <x:c r="AH540" s="60" t="n">
        <x:f>'Scenario Inputs'!$C$23</x:f>
        <x:v>15000</x:v>
      </x:c>
      <x:c r="AI540" s="60" t="n">
        <x:f>'Scenario Inputs'!$C$23</x:f>
        <x:v>15000</x:v>
      </x:c>
      <x:c r="AJ540" s="60" t="n">
        <x:f>'Scenario Inputs'!$C$23</x:f>
        <x:v>15000</x:v>
      </x:c>
      <x:c r="AK540" s="60" t="n">
        <x:f>'Scenario Inputs'!$C$23</x:f>
        <x:v>15000</x:v>
      </x:c>
    </x:row>
    <x:row r="541" ht="18" customHeight="1">
      <x:c r="A541" s="74" t="str">
        <x:v>TOTAL ACQUISITION SPEND (INR)</x:v>
      </x:c>
      <x:c r="B541" s="75" t="n">
        <x:f>B532+SUM(B539:B540)</x:f>
        <x:v>12500</x:v>
      </x:c>
      <x:c r="C541" s="75" t="n">
        <x:f>C532+SUM(C539:C540)</x:f>
        <x:v>12500</x:v>
      </x:c>
      <x:c r="D541" s="75" t="n">
        <x:f>D532+SUM(D539:D540)</x:f>
        <x:v>12500</x:v>
      </x:c>
      <x:c r="E541" s="75" t="n">
        <x:f>E532+SUM(E539:E540)</x:f>
        <x:v>20000</x:v>
      </x:c>
      <x:c r="F541" s="75" t="n">
        <x:f>F532+SUM(F539:F540)</x:f>
        <x:v>20000</x:v>
      </x:c>
      <x:c r="G541" s="75" t="n">
        <x:f>G532+SUM(G539:G540)</x:f>
        <x:v>20000</x:v>
      </x:c>
      <x:c r="H541" s="75" t="n">
        <x:f>H532+SUM(H539:H540)</x:f>
        <x:v>36250</x:v>
      </x:c>
      <x:c r="I541" s="75" t="n">
        <x:f>I532+SUM(I539:I540)</x:f>
        <x:v>36250</x:v>
      </x:c>
      <x:c r="J541" s="75" t="n">
        <x:f>J532+SUM(J539:J540)</x:f>
        <x:v>36250</x:v>
      </x:c>
      <x:c r="K541" s="75" t="n">
        <x:f>K532+SUM(K539:K540)</x:f>
        <x:v>36250</x:v>
      </x:c>
      <x:c r="L541" s="75" t="n">
        <x:f>L532+SUM(L539:L540)</x:f>
        <x:v>36250</x:v>
      </x:c>
      <x:c r="M541" s="75" t="n">
        <x:f>M532+SUM(M539:M540)</x:f>
        <x:v>36250</x:v>
      </x:c>
      <x:c r="N541" s="75" t="n">
        <x:f>N532+SUM(N539:N540)</x:f>
        <x:v>72500</x:v>
      </x:c>
      <x:c r="O541" s="75" t="n">
        <x:f>O532+SUM(O539:O540)</x:f>
        <x:v>72500</x:v>
      </x:c>
      <x:c r="P541" s="75" t="n">
        <x:f>P532+SUM(P539:P540)</x:f>
        <x:v>72500</x:v>
      </x:c>
      <x:c r="Q541" s="75" t="n">
        <x:f>Q532+SUM(Q539:Q540)</x:f>
        <x:v>72500</x:v>
      </x:c>
      <x:c r="R541" s="75" t="n">
        <x:f>R532+SUM(R539:R540)</x:f>
        <x:v>72500</x:v>
      </x:c>
      <x:c r="S541" s="75" t="n">
        <x:f>S532+SUM(S539:S540)</x:f>
        <x:v>72500</x:v>
      </x:c>
      <x:c r="T541" s="75" t="n">
        <x:f>T532+SUM(T539:T540)</x:f>
        <x:v>103750</x:v>
      </x:c>
      <x:c r="U541" s="75" t="n">
        <x:f>U532+SUM(U539:U540)</x:f>
        <x:v>103750</x:v>
      </x:c>
      <x:c r="V541" s="75" t="n">
        <x:f>V532+SUM(V539:V540)</x:f>
        <x:v>103750</x:v>
      </x:c>
      <x:c r="W541" s="75" t="n">
        <x:f>W532+SUM(W539:W540)</x:f>
        <x:v>103750</x:v>
      </x:c>
      <x:c r="X541" s="75" t="n">
        <x:f>X532+SUM(X539:X540)</x:f>
        <x:v>103750</x:v>
      </x:c>
      <x:c r="Y541" s="75" t="n">
        <x:f>Y532+SUM(Y539:Y540)</x:f>
        <x:v>103750</x:v>
      </x:c>
      <x:c r="Z541" s="75" t="n">
        <x:f>Z532+SUM(Z539:Z540)</x:f>
        <x:v>140000</x:v>
      </x:c>
      <x:c r="AA541" s="75" t="n">
        <x:f>AA532+SUM(AA539:AA540)</x:f>
        <x:v>140000</x:v>
      </x:c>
      <x:c r="AB541" s="75" t="n">
        <x:f>AB532+SUM(AB539:AB540)</x:f>
        <x:v>140000</x:v>
      </x:c>
      <x:c r="AC541" s="75" t="n">
        <x:f>AC532+SUM(AC539:AC540)</x:f>
        <x:v>140000</x:v>
      </x:c>
      <x:c r="AD541" s="75" t="n">
        <x:f>AD532+SUM(AD539:AD540)</x:f>
        <x:v>140000</x:v>
      </x:c>
      <x:c r="AE541" s="75" t="n">
        <x:f>AE532+SUM(AE539:AE540)</x:f>
        <x:v>140000</x:v>
      </x:c>
      <x:c r="AF541" s="75" t="n">
        <x:f>AF532+SUM(AF539:AF540)</x:f>
        <x:v>171250</x:v>
      </x:c>
      <x:c r="AG541" s="75" t="n">
        <x:f>AG532+SUM(AG539:AG540)</x:f>
        <x:v>171250</x:v>
      </x:c>
      <x:c r="AH541" s="75" t="n">
        <x:f>AH532+SUM(AH539:AH540)</x:f>
        <x:v>171250</x:v>
      </x:c>
      <x:c r="AI541" s="75" t="n">
        <x:f>AI532+SUM(AI539:AI540)</x:f>
        <x:v>171250</x:v>
      </x:c>
      <x:c r="AJ541" s="75" t="n">
        <x:f>AJ532+SUM(AJ539:AJ540)</x:f>
        <x:v>171250</x:v>
      </x:c>
      <x:c r="AK541" s="75" t="n">
        <x:f>AK532+SUM(AK539:AK540)</x:f>
        <x:v>171250</x:v>
      </x:c>
    </x:row>
    <x:row r="542" ht="18" customHeight="1">
      <x:c r="A542" s="4" t="str">
        <x:v>Blended cash CAC (INR / gross buyer)</x:v>
      </x:c>
      <x:c r="B542" s="64" t="n">
        <x:f>IFERROR(B541/B537,0)</x:f>
        <x:v>543.4782608695652</x:v>
      </x:c>
      <x:c r="C542" s="64" t="n">
        <x:f>IFERROR(C541/C537,0)</x:f>
        <x:v>504.0322580645161</x:v>
      </x:c>
      <x:c r="D542" s="64" t="n">
        <x:f>IFERROR(D541/D537,0)</x:f>
        <x:v>466.13961813842485</x:v>
      </x:c>
      <x:c r="E542" s="64" t="n">
        <x:f>IFERROR(E541/E537,0)</x:f>
        <x:v>539.4627813837867</x:v>
      </x:c>
      <x:c r="F542" s="64" t="n">
        <x:f>IFERROR(F541/F537,0)</x:f>
        <x:v>505.01491935275345</x:v>
      </x:c>
      <x:c r="G542" s="64" t="n">
        <x:f>IFERROR(G541/G537,0)</x:f>
        <x:v>471.3076698399191</x:v>
      </x:c>
      <x:c r="H542" s="64" t="n">
        <x:f>IFERROR(H541/H537,0)</x:f>
        <x:v>575.9391808226676</x:v>
      </x:c>
      <x:c r="I542" s="64" t="n">
        <x:f>IFERROR(I541/I537,0)</x:f>
        <x:v>545.1656224859784</x:v>
      </x:c>
      <x:c r="J542" s="64" t="n">
        <x:f>IFERROR(J541/J537,0)</x:f>
        <x:v>514.3829929379713</x:v>
      </x:c>
      <x:c r="K542" s="64" t="n">
        <x:f>IFERROR(K541/K537,0)</x:f>
        <x:v>483.78799926188833</x:v>
      </x:c>
      <x:c r="L542" s="64" t="n">
        <x:f>IFERROR(L541/L537,0)</x:f>
        <x:v>453.57258282521383</x:v>
      </x:c>
      <x:c r="M542" s="64" t="n">
        <x:f>IFERROR(M541/M537,0)</x:f>
        <x:v>423.9191771365997</x:v>
      </x:c>
      <x:c r="N542" s="64" t="n">
        <x:f>IFERROR(N541/N537,0)</x:f>
        <x:v>619.8776172720052</x:v>
      </x:c>
      <x:c r="O542" s="64" t="n">
        <x:f>IFERROR(O541/O537,0)</x:f>
        <x:v>596.8710556002676</x:v>
      </x:c>
      <x:c r="P542" s="64" t="n">
        <x:f>IFERROR(P541/P537,0)</x:f>
        <x:v>573.8682038069225</x:v>
      </x:c>
      <x:c r="Q542" s="64" t="n">
        <x:f>IFERROR(Q541/Q537,0)</x:f>
        <x:v>550.9369998251204</x:v>
      </x:c>
      <x:c r="R542" s="64" t="n">
        <x:f>IFERROR(R541/R537,0)</x:f>
        <x:v>528.144537640092</x:v>
      </x:c>
      <x:c r="S542" s="64" t="n">
        <x:f>IFERROR(S541/S537,0)</x:f>
        <x:v>505.5562881828474</x:v>
      </x:c>
      <x:c r="T542" s="64" t="n">
        <x:f>IFERROR(T541/T537,0)</x:f>
        <x:v>575.3231287129595</x:v>
      </x:c>
      <x:c r="U542" s="64" t="n">
        <x:f>IFERROR(U541/U537,0)</x:f>
        <x:v>553.3705494389106</x:v>
      </x:c>
      <x:c r="V542" s="64" t="n">
        <x:f>IFERROR(V541/V537,0)</x:f>
        <x:v>531.4689722290592</x:v>
      </x:c>
      <x:c r="W542" s="64" t="n">
        <x:f>IFERROR(W541/W537,0)</x:f>
        <x:v>509.6826965798988</x:v>
      </x:c>
      <x:c r="X542" s="64" t="n">
        <x:f>IFERROR(X541/X537,0)</x:f>
        <x:v>488.0746700657381</x:v>
      </x:c>
      <x:c r="Y542" s="64" t="n">
        <x:f>IFERROR(Y541/Y537,0)</x:f>
        <x:v>466.70577132036897</x:v>
      </x:c>
      <x:c r="Z542" s="64" t="n">
        <x:f>IFERROR(Z541/Z537,0)</x:f>
        <x:v>561.1893404869104</x:v>
      </x:c>
      <x:c r="AA542" s="64" t="n">
        <x:f>IFERROR(AA541/AA537,0)</x:f>
        <x:v>543.0001643503775</x:v>
      </x:c>
      <x:c r="AB542" s="64" t="n">
        <x:f>IFERROR(AB541/AB537,0)</x:f>
        <x:v>524.9642080309238</x:v>
      </x:c>
      <x:c r="AC542" s="64" t="n">
        <x:f>IFERROR(AC541/AC537,0)</x:f>
        <x:v>507.1097353891948</x:v>
      </x:c>
      <x:c r="AD542" s="64" t="n">
        <x:f>IFERROR(AD541/AD537,0)</x:f>
        <x:v>489.4638356483215</x:v>
      </x:c>
      <x:c r="AE542" s="64" t="n">
        <x:f>IFERROR(AE541/AE537,0)</x:f>
        <x:v>472.0522703766119</x:v>
      </x:c>
      <x:c r="AF542" s="64" t="n">
        <x:f>IFERROR(AF541/AF537,0)</x:f>
        <x:v>510.72354751100994</x:v>
      </x:c>
      <x:c r="AG542" s="64" t="n">
        <x:f>IFERROR(AG541/AG537,0)</x:f>
        <x:v>493.28462055076653</x:v>
      </x:c>
      <x:c r="AH542" s="64" t="n">
        <x:f>IFERROR(AH541/AH537,0)</x:f>
        <x:v>476.05418983482895</x:v>
      </x:c>
      <x:c r="AI542" s="64" t="n">
        <x:f>IFERROR(AI541/AI537,0)</x:f>
        <x:v>459.05722972379</x:v>
      </x:c>
      <x:c r="AJ542" s="64" t="n">
        <x:f>IFERROR(AJ541/AJ537,0)</x:f>
        <x:v>442.31726196448653</x:v>
      </x:c>
      <x:c r="AK542" s="64" t="n">
        <x:f>IFERROR(AK541/AK537,0)</x:f>
        <x:v>425.8562446771645</x:v>
      </x:c>
    </x:row>
    <x:row r="543" ht="18" customHeight="1">
      <x:c r="A543" s="4" t="str">
        <x:v>Loaded paid-channel CAC (INR)</x:v>
      </x:c>
      <x:c r="B543" s="64" t="n">
        <x:f>IFERROR((B532+B539)/B536,0)</x:f>
        <x:v>937.5</x:v>
      </x:c>
      <x:c r="C543" s="64" t="n">
        <x:f>IFERROR((C532+C539)/C536,0)</x:f>
        <x:v>937.5</x:v>
      </x:c>
      <x:c r="D543" s="64" t="n">
        <x:f>IFERROR((D532+D539)/D536,0)</x:f>
        <x:v>937.5</x:v>
      </x:c>
      <x:c r="E543" s="64" t="n">
        <x:f>IFERROR((E532+E539)/E536,0)</x:f>
        <x:v>937.5</x:v>
      </x:c>
      <x:c r="F543" s="64" t="n">
        <x:f>IFERROR((F532+F539)/F536,0)</x:f>
        <x:v>937.5</x:v>
      </x:c>
      <x:c r="G543" s="64" t="n">
        <x:f>IFERROR((G532+G539)/G536,0)</x:f>
        <x:v>937.5</x:v>
      </x:c>
      <x:c r="H543" s="64" t="n">
        <x:f>IFERROR((H532+H539)/H536,0)</x:f>
        <x:v>937.4999999999999</x:v>
      </x:c>
      <x:c r="I543" s="64" t="n">
        <x:f>IFERROR((I532+I539)/I536,0)</x:f>
        <x:v>937.4999999999999</x:v>
      </x:c>
      <x:c r="J543" s="64" t="n">
        <x:f>IFERROR((J532+J539)/J536,0)</x:f>
        <x:v>937.4999999999999</x:v>
      </x:c>
      <x:c r="K543" s="64" t="n">
        <x:f>IFERROR((K532+K539)/K536,0)</x:f>
        <x:v>937.4999999999999</x:v>
      </x:c>
      <x:c r="L543" s="64" t="n">
        <x:f>IFERROR((L532+L539)/L536,0)</x:f>
        <x:v>937.4999999999999</x:v>
      </x:c>
      <x:c r="M543" s="64" t="n">
        <x:f>IFERROR((M532+M539)/M536,0)</x:f>
        <x:v>937.4999999999999</x:v>
      </x:c>
      <x:c r="N543" s="64" t="n">
        <x:f>IFERROR((N532+N539)/N536,0)</x:f>
        <x:v>1031.25</x:v>
      </x:c>
      <x:c r="O543" s="64" t="n">
        <x:f>IFERROR((O532+O539)/O536,0)</x:f>
        <x:v>1031.25</x:v>
      </x:c>
      <x:c r="P543" s="64" t="n">
        <x:f>IFERROR((P532+P539)/P536,0)</x:f>
        <x:v>1031.25</x:v>
      </x:c>
      <x:c r="Q543" s="64" t="n">
        <x:f>IFERROR((Q532+Q539)/Q536,0)</x:f>
        <x:v>1031.25</x:v>
      </x:c>
      <x:c r="R543" s="64" t="n">
        <x:f>IFERROR((R532+R539)/R536,0)</x:f>
        <x:v>1031.25</x:v>
      </x:c>
      <x:c r="S543" s="64" t="n">
        <x:f>IFERROR((S532+S539)/S536,0)</x:f>
        <x:v>1031.25</x:v>
      </x:c>
      <x:c r="T543" s="64" t="n">
        <x:f>IFERROR((T532+T539)/T536,0)</x:f>
        <x:v>1031.25</x:v>
      </x:c>
      <x:c r="U543" s="64" t="n">
        <x:f>IFERROR((U532+U539)/U536,0)</x:f>
        <x:v>1031.25</x:v>
      </x:c>
      <x:c r="V543" s="64" t="n">
        <x:f>IFERROR((V532+V539)/V536,0)</x:f>
        <x:v>1031.25</x:v>
      </x:c>
      <x:c r="W543" s="64" t="n">
        <x:f>IFERROR((W532+W539)/W536,0)</x:f>
        <x:v>1031.25</x:v>
      </x:c>
      <x:c r="X543" s="64" t="n">
        <x:f>IFERROR((X532+X539)/X536,0)</x:f>
        <x:v>1031.25</x:v>
      </x:c>
      <x:c r="Y543" s="64" t="n">
        <x:f>IFERROR((Y532+Y539)/Y536,0)</x:f>
        <x:v>1031.25</x:v>
      </x:c>
      <x:c r="Z543" s="64" t="n">
        <x:f>IFERROR((Z532+Z539)/Z536,0)</x:f>
        <x:v>1134.3750000000002</x:v>
      </x:c>
      <x:c r="AA543" s="64" t="n">
        <x:f>IFERROR((AA532+AA539)/AA536,0)</x:f>
        <x:v>1134.3750000000002</x:v>
      </x:c>
      <x:c r="AB543" s="64" t="n">
        <x:f>IFERROR((AB532+AB539)/AB536,0)</x:f>
        <x:v>1134.3750000000002</x:v>
      </x:c>
      <x:c r="AC543" s="64" t="n">
        <x:f>IFERROR((AC532+AC539)/AC536,0)</x:f>
        <x:v>1134.3750000000002</x:v>
      </x:c>
      <x:c r="AD543" s="64" t="n">
        <x:f>IFERROR((AD532+AD539)/AD536,0)</x:f>
        <x:v>1134.3750000000002</x:v>
      </x:c>
      <x:c r="AE543" s="64" t="n">
        <x:f>IFERROR((AE532+AE539)/AE536,0)</x:f>
        <x:v>1134.3750000000002</x:v>
      </x:c>
      <x:c r="AF543" s="64" t="n">
        <x:f>IFERROR((AF532+AF539)/AF536,0)</x:f>
        <x:v>1134.375</x:v>
      </x:c>
      <x:c r="AG543" s="64" t="n">
        <x:f>IFERROR((AG532+AG539)/AG536,0)</x:f>
        <x:v>1134.375</x:v>
      </x:c>
      <x:c r="AH543" s="64" t="n">
        <x:f>IFERROR((AH532+AH539)/AH536,0)</x:f>
        <x:v>1134.375</x:v>
      </x:c>
      <x:c r="AI543" s="64" t="n">
        <x:f>IFERROR((AI532+AI539)/AI536,0)</x:f>
        <x:v>1134.375</x:v>
      </x:c>
      <x:c r="AJ543" s="64" t="n">
        <x:f>IFERROR((AJ532+AJ539)/AJ536,0)</x:f>
        <x:v>1134.375</x:v>
      </x:c>
      <x:c r="AK543" s="64" t="n">
        <x:f>IFERROR((AK532+AK539)/AK536,0)</x:f>
        <x:v>1134.375</x:v>
      </x:c>
    </x:row>
    <x:row r="544" ht="18" customHeight="1">
      <x:c r="A544" s="4" t="str"/>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c r="AA544" s="58"/>
      <x:c r="AB544" s="58"/>
      <x:c r="AC544" s="58"/>
      <x:c r="AD544" s="58"/>
      <x:c r="AE544" s="58"/>
      <x:c r="AF544" s="58"/>
      <x:c r="AG544" s="58"/>
      <x:c r="AH544" s="58"/>
      <x:c r="AI544" s="58"/>
      <x:c r="AJ544" s="58"/>
      <x:c r="AK544" s="58"/>
    </x:row>
    <x:row r="545" ht="18" customHeight="1">
      <x:c r="A545" s="4" t="str">
        <x:v>New annual payers after refunds</x:v>
      </x:c>
      <x:c r="B545" s="58" t="n">
        <x:f>B537*'Stress Inputs'!$C$10*(1-'Scenario Inputs'!$C$29)</x:f>
        <x:v>8.924000000000001</x:v>
      </x:c>
      <x:c r="C545" s="58" t="n">
        <x:f>C537*'Stress Inputs'!$C$10*(1-'Scenario Inputs'!$C$29)</x:f>
        <x:v>9.6224</x:v>
      </x:c>
      <x:c r="D545" s="58" t="n">
        <x:f>D537*'Stress Inputs'!$C$10*(1-'Scenario Inputs'!$C$29)</x:f>
        <x:v>10.404608</x:v>
      </x:c>
      <x:c r="E545" s="58" t="n">
        <x:f>E537*'Stress Inputs'!$C$10*(1-'Scenario Inputs'!$C$29)</x:f>
        <x:v>14.38468096</x:v>
      </x:c>
      <x:c r="F545" s="58" t="n">
        <x:f>F537*'Stress Inputs'!$C$10*(1-'Scenario Inputs'!$C$29)</x:f>
        <x:v>15.365882675200002</x:v>
      </x:c>
      <x:c r="G545" s="58" t="n">
        <x:f>G537*'Stress Inputs'!$C$10*(1-'Scenario Inputs'!$C$29)</x:f>
        <x:v>16.464828596224002</x:v>
      </x:c>
      <x:c r="H545" s="58" t="n">
        <x:f>H537*'Stress Inputs'!$C$10*(1-'Scenario Inputs'!$C$29)</x:f>
        <x:v>24.42098136110422</x:v>
      </x:c>
      <x:c r="I545" s="58" t="n">
        <x:f>I537*'Stress Inputs'!$C$10*(1-'Scenario Inputs'!$C$29)</x:f>
        <x:v>25.799499124436725</x:v>
      </x:c>
      <x:c r="J545" s="58" t="n">
        <x:f>J537*'Stress Inputs'!$C$10*(1-'Scenario Inputs'!$C$29)</x:f>
        <x:v>27.343439019369132</x:v>
      </x:c>
      <x:c r="K545" s="58" t="n">
        <x:f>K537*'Stress Inputs'!$C$10*(1-'Scenario Inputs'!$C$29)</x:f>
        <x:v>29.072651701693434</x:v>
      </x:c>
      <x:c r="L545" s="58" t="n">
        <x:f>L537*'Stress Inputs'!$C$10*(1-'Scenario Inputs'!$C$29)</x:f>
        <x:v>31.009369905896648</x:v>
      </x:c>
      <x:c r="M545" s="58" t="n">
        <x:f>M537*'Stress Inputs'!$C$10*(1-'Scenario Inputs'!$C$29)</x:f>
        <x:v>33.17849429460424</x:v>
      </x:c>
      <x:c r="N545" s="58" t="n">
        <x:f>N537*'Stress Inputs'!$C$10*(1-'Scenario Inputs'!$C$29)</x:f>
        <x:v>45.3799253533241</x:v>
      </x:c>
      <x:c r="O545" s="58" t="n">
        <x:f>O537*'Stress Inputs'!$C$10*(1-'Scenario Inputs'!$C$29)</x:f>
        <x:v>47.12910726037791</x:v>
      </x:c>
      <x:c r="P545" s="58" t="n">
        <x:f>P537*'Stress Inputs'!$C$10*(1-'Scenario Inputs'!$C$29)</x:f>
        <x:v>49.01822371999603</x:v>
      </x:c>
      <x:c r="Q545" s="58" t="n">
        <x:f>Q537*'Stress Inputs'!$C$10*(1-'Scenario Inputs'!$C$29)</x:f>
        <x:v>51.05846949638358</x:v>
      </x:c>
      <x:c r="R545" s="58" t="n">
        <x:f>R537*'Stress Inputs'!$C$10*(1-'Scenario Inputs'!$C$29)</x:f>
        <x:v>53.26193493488215</x:v>
      </x:c>
      <x:c r="S545" s="58" t="n">
        <x:f>S537*'Stress Inputs'!$C$10*(1-'Scenario Inputs'!$C$29)</x:f>
        <x:v>55.64167760846061</x:v>
      </x:c>
      <x:c r="T545" s="58" t="n">
        <x:f>T537*'Stress Inputs'!$C$10*(1-'Scenario Inputs'!$C$29)</x:f>
        <x:v>69.96937545350109</x:v>
      </x:c>
      <x:c r="U545" s="58" t="n">
        <x:f>U537*'Stress Inputs'!$C$10*(1-'Scenario Inputs'!$C$29)</x:f>
        <x:v>72.74510730796301</x:v>
      </x:c>
      <x:c r="V545" s="58" t="n">
        <x:f>V537*'Stress Inputs'!$C$10*(1-'Scenario Inputs'!$C$29)</x:f>
        <x:v>75.74289771078186</x:v>
      </x:c>
      <x:c r="W545" s="58" t="n">
        <x:f>W537*'Stress Inputs'!$C$10*(1-'Scenario Inputs'!$C$29)</x:f>
        <x:v>78.98051134582622</x:v>
      </x:c>
      <x:c r="X545" s="58" t="n">
        <x:f>X537*'Stress Inputs'!$C$10*(1-'Scenario Inputs'!$C$29)</x:f>
        <x:v>82.47713407167414</x:v>
      </x:c>
      <x:c r="Y545" s="58" t="n">
        <x:f>Y537*'Stress Inputs'!$C$10*(1-'Scenario Inputs'!$C$29)</x:f>
        <x:v>86.25348661558989</x:v>
      </x:c>
      <x:c r="Z545" s="58" t="n">
        <x:f>Z537*'Stress Inputs'!$C$10*(1-'Scenario Inputs'!$C$29)</x:f>
        <x:v>96.7944258400735</x:v>
      </x:c>
      <x:c r="AA545" s="58" t="n">
        <x:f>AA537*'Stress Inputs'!$C$10*(1-'Scenario Inputs'!$C$29)</x:f>
        <x:v>100.03680213427957</x:v>
      </x:c>
      <x:c r="AB545" s="58" t="n">
        <x:f>AB537*'Stress Inputs'!$C$10*(1-'Scenario Inputs'!$C$29)</x:f>
        <x:v>103.473721006138</x:v>
      </x:c>
      <x:c r="AC545" s="58" t="n">
        <x:f>AC537*'Stress Inputs'!$C$10*(1-'Scenario Inputs'!$C$29)</x:f>
        <x:v>107.11685501030794</x:v>
      </x:c>
      <x:c r="AD545" s="58" t="n">
        <x:f>AD537*'Stress Inputs'!$C$10*(1-'Scenario Inputs'!$C$29)</x:f>
        <x:v>110.97857705472808</x:v>
      </x:c>
      <x:c r="AE545" s="58" t="n">
        <x:f>AE537*'Stress Inputs'!$C$10*(1-'Scenario Inputs'!$C$29)</x:f>
        <x:v>115.07200242181341</x:v>
      </x:c>
      <x:c r="AF545" s="58" t="n">
        <x:f>AF537*'Stress Inputs'!$C$10*(1-'Scenario Inputs'!$C$29)</x:f>
        <x:v>130.09973854508365</x:v>
      </x:c>
      <x:c r="AG545" s="58" t="n">
        <x:f>AG537*'Stress Inputs'!$C$10*(1-'Scenario Inputs'!$C$29)</x:f>
        <x:v>134.69911128754072</x:v>
      </x:c>
      <x:c r="AH545" s="58" t="n">
        <x:f>AH537*'Stress Inputs'!$C$10*(1-'Scenario Inputs'!$C$29)</x:f>
        <x:v>139.57444639454525</x:v>
      </x:c>
      <x:c r="AI545" s="58" t="n">
        <x:f>AI537*'Stress Inputs'!$C$10*(1-'Scenario Inputs'!$C$29)</x:f>
        <x:v>144.74230160797003</x:v>
      </x:c>
      <x:c r="AJ545" s="58" t="n">
        <x:f>AJ537*'Stress Inputs'!$C$10*(1-'Scenario Inputs'!$C$29)</x:f>
        <x:v>150.2202281342003</x:v>
      </x:c>
      <x:c r="AK545" s="58" t="n">
        <x:f>AK537*'Stress Inputs'!$C$10*(1-'Scenario Inputs'!$C$29)</x:f>
        <x:v>156.0268302520044</x:v>
      </x:c>
    </x:row>
    <x:row r="546" ht="18" customHeight="1">
      <x:c r="A546" s="4" t="str">
        <x:v>First annual renewals after refunds</x:v>
      </x:c>
      <x:c r="B546" s="58" t="n">
        <x:f>0*'Scenario Inputs'!$C$30*(1-'Scenario Inputs'!$C$29)</x:f>
        <x:v>0</x:v>
      </x:c>
      <x:c r="C546" s="58" t="n">
        <x:f>0*'Scenario Inputs'!$C$30*(1-'Scenario Inputs'!$C$29)</x:f>
        <x:v>0</x:v>
      </x:c>
      <x:c r="D546" s="58" t="n">
        <x:f>0*'Scenario Inputs'!$C$30*(1-'Scenario Inputs'!$C$29)</x:f>
        <x:v>0</x:v>
      </x:c>
      <x:c r="E546" s="58" t="n">
        <x:f>0*'Scenario Inputs'!$C$30*(1-'Scenario Inputs'!$C$29)</x:f>
        <x:v>0</x:v>
      </x:c>
      <x:c r="F546" s="58" t="n">
        <x:f>0*'Scenario Inputs'!$C$30*(1-'Scenario Inputs'!$C$29)</x:f>
        <x:v>0</x:v>
      </x:c>
      <x:c r="G546" s="58" t="n">
        <x:f>0*'Scenario Inputs'!$C$30*(1-'Scenario Inputs'!$C$29)</x:f>
        <x:v>0</x:v>
      </x:c>
      <x:c r="H546" s="58" t="n">
        <x:f>0*'Scenario Inputs'!$C$30*(1-'Scenario Inputs'!$C$29)</x:f>
        <x:v>0</x:v>
      </x:c>
      <x:c r="I546" s="58" t="n">
        <x:f>0*'Scenario Inputs'!$C$30*(1-'Scenario Inputs'!$C$29)</x:f>
        <x:v>0</x:v>
      </x:c>
      <x:c r="J546" s="58" t="n">
        <x:f>0*'Scenario Inputs'!$C$30*(1-'Scenario Inputs'!$C$29)</x:f>
        <x:v>0</x:v>
      </x:c>
      <x:c r="K546" s="58" t="n">
        <x:f>0*'Scenario Inputs'!$C$30*(1-'Scenario Inputs'!$C$29)</x:f>
        <x:v>0</x:v>
      </x:c>
      <x:c r="L546" s="58" t="n">
        <x:f>0*'Scenario Inputs'!$C$30*(1-'Scenario Inputs'!$C$29)</x:f>
        <x:v>0</x:v>
      </x:c>
      <x:c r="M546" s="58" t="n">
        <x:f>0*'Scenario Inputs'!$C$30*(1-'Scenario Inputs'!$C$29)</x:f>
        <x:v>0</x:v>
      </x:c>
      <x:c r="N546" s="58" t="n">
        <x:f>B545*'Scenario Inputs'!$C$30*(1-'Scenario Inputs'!$C$29)</x:f>
        <x:v>2.596884</x:v>
      </x:c>
      <x:c r="O546" s="58" t="n">
        <x:f>C545*'Scenario Inputs'!$C$30*(1-'Scenario Inputs'!$C$29)</x:f>
        <x:v>2.8001183999999997</x:v>
      </x:c>
      <x:c r="P546" s="58" t="n">
        <x:f>D545*'Scenario Inputs'!$C$30*(1-'Scenario Inputs'!$C$29)</x:f>
        <x:v>3.0277409279999996</x:v>
      </x:c>
      <x:c r="Q546" s="58" t="n">
        <x:f>E545*'Scenario Inputs'!$C$30*(1-'Scenario Inputs'!$C$29)</x:f>
        <x:v>4.18594215936</x:v>
      </x:c>
      <x:c r="R546" s="58" t="n">
        <x:f>F545*'Scenario Inputs'!$C$30*(1-'Scenario Inputs'!$C$29)</x:f>
        <x:v>4.4714718584832</x:v>
      </x:c>
      <x:c r="S546" s="58" t="n">
        <x:f>G545*'Scenario Inputs'!$C$30*(1-'Scenario Inputs'!$C$29)</x:f>
        <x:v>4.791265121501184</x:v>
      </x:c>
      <x:c r="T546" s="58" t="n">
        <x:f>H545*'Scenario Inputs'!$C$30*(1-'Scenario Inputs'!$C$29)</x:f>
        <x:v>7.106505576081328</x:v>
      </x:c>
      <x:c r="U546" s="58" t="n">
        <x:f>I545*'Scenario Inputs'!$C$30*(1-'Scenario Inputs'!$C$29)</x:f>
        <x:v>7.507654245211087</x:v>
      </x:c>
      <x:c r="V546" s="58" t="n">
        <x:f>J545*'Scenario Inputs'!$C$30*(1-'Scenario Inputs'!$C$29)</x:f>
        <x:v>7.956940754636417</x:v>
      </x:c>
      <x:c r="W546" s="58" t="n">
        <x:f>K545*'Scenario Inputs'!$C$30*(1-'Scenario Inputs'!$C$29)</x:f>
        <x:v>8.46014164519279</x:v>
      </x:c>
      <x:c r="X546" s="58" t="n">
        <x:f>L545*'Scenario Inputs'!$C$30*(1-'Scenario Inputs'!$C$29)</x:f>
        <x:v>9.023726642615923</x:v>
      </x:c>
      <x:c r="Y546" s="58" t="n">
        <x:f>M545*'Scenario Inputs'!$C$30*(1-'Scenario Inputs'!$C$29)</x:f>
        <x:v>9.654941839729833</x:v>
      </x:c>
      <x:c r="Z546" s="58" t="n">
        <x:f>N545*'Scenario Inputs'!$C$30*(1-'Scenario Inputs'!$C$29)</x:f>
        <x:v>13.205558277817312</x:v>
      </x:c>
      <x:c r="AA546" s="58" t="n">
        <x:f>O545*'Scenario Inputs'!$C$30*(1-'Scenario Inputs'!$C$29)</x:f>
        <x:v>13.71457021276997</x:v>
      </x:c>
      <x:c r="AB546" s="58" t="n">
        <x:f>P545*'Scenario Inputs'!$C$30*(1-'Scenario Inputs'!$C$29)</x:f>
        <x:v>14.264303102518843</x:v>
      </x:c>
      <x:c r="AC546" s="58" t="n">
        <x:f>Q545*'Scenario Inputs'!$C$30*(1-'Scenario Inputs'!$C$29)</x:f>
        <x:v>14.85801462344762</x:v>
      </x:c>
      <x:c r="AD546" s="58" t="n">
        <x:f>R545*'Scenario Inputs'!$C$30*(1-'Scenario Inputs'!$C$29)</x:f>
        <x:v>15.499223066050703</x:v>
      </x:c>
      <x:c r="AE546" s="58" t="n">
        <x:f>S545*'Scenario Inputs'!$C$30*(1-'Scenario Inputs'!$C$29)</x:f>
        <x:v>16.191728184062036</x:v>
      </x:c>
      <x:c r="AF546" s="58" t="n">
        <x:f>T545*'Scenario Inputs'!$C$30*(1-'Scenario Inputs'!$C$29)</x:f>
        <x:v>20.361088256968817</x:v>
      </x:c>
      <x:c r="AG546" s="58" t="n">
        <x:f>U545*'Scenario Inputs'!$C$30*(1-'Scenario Inputs'!$C$29)</x:f>
        <x:v>21.168826226617234</x:v>
      </x:c>
      <x:c r="AH546" s="58" t="n">
        <x:f>V545*'Scenario Inputs'!$C$30*(1-'Scenario Inputs'!$C$29)</x:f>
        <x:v>22.041183233837522</x:v>
      </x:c>
      <x:c r="AI546" s="58" t="n">
        <x:f>W545*'Scenario Inputs'!$C$30*(1-'Scenario Inputs'!$C$29)</x:f>
        <x:v>22.98332880163543</x:v>
      </x:c>
      <x:c r="AJ546" s="58" t="n">
        <x:f>X545*'Scenario Inputs'!$C$30*(1-'Scenario Inputs'!$C$29)</x:f>
        <x:v>24.000846014857174</x:v>
      </x:c>
      <x:c r="AK546" s="58" t="n">
        <x:f>Y545*'Scenario Inputs'!$C$30*(1-'Scenario Inputs'!$C$29)</x:f>
        <x:v>25.099764605136656</x:v>
      </x:c>
    </x:row>
    <x:row r="547" ht="18" customHeight="1">
      <x:c r="A547" s="4" t="str">
        <x:v>Second annual renewals after refunds</x:v>
      </x:c>
      <x:c r="B547" s="58" t="n">
        <x:f>0*'Scenario Inputs'!$C$31*(1-'Scenario Inputs'!$C$29)</x:f>
        <x:v>0</x:v>
      </x:c>
      <x:c r="C547" s="58" t="n">
        <x:f>0*'Scenario Inputs'!$C$31*(1-'Scenario Inputs'!$C$29)</x:f>
        <x:v>0</x:v>
      </x:c>
      <x:c r="D547" s="58" t="n">
        <x:f>0*'Scenario Inputs'!$C$31*(1-'Scenario Inputs'!$C$29)</x:f>
        <x:v>0</x:v>
      </x:c>
      <x:c r="E547" s="58" t="n">
        <x:f>0*'Scenario Inputs'!$C$31*(1-'Scenario Inputs'!$C$29)</x:f>
        <x:v>0</x:v>
      </x:c>
      <x:c r="F547" s="58" t="n">
        <x:f>0*'Scenario Inputs'!$C$31*(1-'Scenario Inputs'!$C$29)</x:f>
        <x:v>0</x:v>
      </x:c>
      <x:c r="G547" s="58" t="n">
        <x:f>0*'Scenario Inputs'!$C$31*(1-'Scenario Inputs'!$C$29)</x:f>
        <x:v>0</x:v>
      </x:c>
      <x:c r="H547" s="58" t="n">
        <x:f>0*'Scenario Inputs'!$C$31*(1-'Scenario Inputs'!$C$29)</x:f>
        <x:v>0</x:v>
      </x:c>
      <x:c r="I547" s="58" t="n">
        <x:f>0*'Scenario Inputs'!$C$31*(1-'Scenario Inputs'!$C$29)</x:f>
        <x:v>0</x:v>
      </x:c>
      <x:c r="J547" s="58" t="n">
        <x:f>0*'Scenario Inputs'!$C$31*(1-'Scenario Inputs'!$C$29)</x:f>
        <x:v>0</x:v>
      </x:c>
      <x:c r="K547" s="58" t="n">
        <x:f>0*'Scenario Inputs'!$C$31*(1-'Scenario Inputs'!$C$29)</x:f>
        <x:v>0</x:v>
      </x:c>
      <x:c r="L547" s="58" t="n">
        <x:f>0*'Scenario Inputs'!$C$31*(1-'Scenario Inputs'!$C$29)</x:f>
        <x:v>0</x:v>
      </x:c>
      <x:c r="M547" s="58" t="n">
        <x:f>0*'Scenario Inputs'!$C$31*(1-'Scenario Inputs'!$C$29)</x:f>
        <x:v>0</x:v>
      </x:c>
      <x:c r="N547" s="58" t="n">
        <x:f>B546*'Scenario Inputs'!$C$31*(1-'Scenario Inputs'!$C$29)</x:f>
        <x:v>0</x:v>
      </x:c>
      <x:c r="O547" s="58" t="n">
        <x:f>C546*'Scenario Inputs'!$C$31*(1-'Scenario Inputs'!$C$29)</x:f>
        <x:v>0</x:v>
      </x:c>
      <x:c r="P547" s="58" t="n">
        <x:f>D546*'Scenario Inputs'!$C$31*(1-'Scenario Inputs'!$C$29)</x:f>
        <x:v>0</x:v>
      </x:c>
      <x:c r="Q547" s="58" t="n">
        <x:f>E546*'Scenario Inputs'!$C$31*(1-'Scenario Inputs'!$C$29)</x:f>
        <x:v>0</x:v>
      </x:c>
      <x:c r="R547" s="58" t="n">
        <x:f>F546*'Scenario Inputs'!$C$31*(1-'Scenario Inputs'!$C$29)</x:f>
        <x:v>0</x:v>
      </x:c>
      <x:c r="S547" s="58" t="n">
        <x:f>G546*'Scenario Inputs'!$C$31*(1-'Scenario Inputs'!$C$29)</x:f>
        <x:v>0</x:v>
      </x:c>
      <x:c r="T547" s="58" t="n">
        <x:f>H546*'Scenario Inputs'!$C$31*(1-'Scenario Inputs'!$C$29)</x:f>
        <x:v>0</x:v>
      </x:c>
      <x:c r="U547" s="58" t="n">
        <x:f>I546*'Scenario Inputs'!$C$31*(1-'Scenario Inputs'!$C$29)</x:f>
        <x:v>0</x:v>
      </x:c>
      <x:c r="V547" s="58" t="n">
        <x:f>J546*'Scenario Inputs'!$C$31*(1-'Scenario Inputs'!$C$29)</x:f>
        <x:v>0</x:v>
      </x:c>
      <x:c r="W547" s="58" t="n">
        <x:f>K546*'Scenario Inputs'!$C$31*(1-'Scenario Inputs'!$C$29)</x:f>
        <x:v>0</x:v>
      </x:c>
      <x:c r="X547" s="58" t="n">
        <x:f>L546*'Scenario Inputs'!$C$31*(1-'Scenario Inputs'!$C$29)</x:f>
        <x:v>0</x:v>
      </x:c>
      <x:c r="Y547" s="58" t="n">
        <x:f>M546*'Scenario Inputs'!$C$31*(1-'Scenario Inputs'!$C$29)</x:f>
        <x:v>0</x:v>
      </x:c>
      <x:c r="Z547" s="58" t="n">
        <x:f>N546*'Scenario Inputs'!$C$31*(1-'Scenario Inputs'!$C$29)</x:f>
        <x:v>1.3854376140000002</x:v>
      </x:c>
      <x:c r="AA547" s="58" t="n">
        <x:f>O546*'Scenario Inputs'!$C$31*(1-'Scenario Inputs'!$C$29)</x:f>
        <x:v>1.4938631664</x:v>
      </x:c>
      <x:c r="AB547" s="58" t="n">
        <x:f>P546*'Scenario Inputs'!$C$31*(1-'Scenario Inputs'!$C$29)</x:f>
        <x:v>1.615299785088</x:v>
      </x:c>
      <x:c r="AC547" s="58" t="n">
        <x:f>Q546*'Scenario Inputs'!$C$31*(1-'Scenario Inputs'!$C$29)</x:f>
        <x:v>2.23320014201856</x:v>
      </x:c>
      <x:c r="AD547" s="58" t="n">
        <x:f>R546*'Scenario Inputs'!$C$31*(1-'Scenario Inputs'!$C$29)</x:f>
        <x:v>2.385530236500787</x:v>
      </x:c>
      <x:c r="AE547" s="58" t="n">
        <x:f>S546*'Scenario Inputs'!$C$31*(1-'Scenario Inputs'!$C$29)</x:f>
        <x:v>2.5561399423208817</x:v>
      </x:c>
      <x:c r="AF547" s="58" t="n">
        <x:f>T546*'Scenario Inputs'!$C$31*(1-'Scenario Inputs'!$C$29)</x:f>
        <x:v>3.7913207248393883</x:v>
      </x:c>
      <x:c r="AG547" s="58" t="n">
        <x:f>U546*'Scenario Inputs'!$C$31*(1-'Scenario Inputs'!$C$29)</x:f>
        <x:v>4.005333539820115</x:v>
      </x:c>
      <x:c r="AH547" s="58" t="n">
        <x:f>V546*'Scenario Inputs'!$C$31*(1-'Scenario Inputs'!$C$29)</x:f>
        <x:v>4.245027892598528</x:v>
      </x:c>
      <x:c r="AI547" s="58" t="n">
        <x:f>W546*'Scenario Inputs'!$C$31*(1-'Scenario Inputs'!$C$29)</x:f>
        <x:v>4.513485567710354</x:v>
      </x:c>
      <x:c r="AJ547" s="58" t="n">
        <x:f>X546*'Scenario Inputs'!$C$31*(1-'Scenario Inputs'!$C$29)</x:f>
        <x:v>4.814158163835595</x:v>
      </x:c>
      <x:c r="AK547" s="58" t="n">
        <x:f>Y546*'Scenario Inputs'!$C$31*(1-'Scenario Inputs'!$C$29)</x:f>
        <x:v>5.150911471495866</x:v>
      </x:c>
    </x:row>
    <x:row r="548" ht="18" customHeight="1">
      <x:c r="A548" s="4" t="str">
        <x:v>Annual terms ending this month</x:v>
      </x:c>
      <x:c r="B548" s="58" t="n">
        <x:f>0+0+0</x:f>
        <x:v>0</x:v>
      </x:c>
      <x:c r="C548" s="58" t="n">
        <x:f>0+0+0</x:f>
        <x:v>0</x:v>
      </x:c>
      <x:c r="D548" s="58" t="n">
        <x:f>0+0+0</x:f>
        <x:v>0</x:v>
      </x:c>
      <x:c r="E548" s="58" t="n">
        <x:f>0+0+0</x:f>
        <x:v>0</x:v>
      </x:c>
      <x:c r="F548" s="58" t="n">
        <x:f>0+0+0</x:f>
        <x:v>0</x:v>
      </x:c>
      <x:c r="G548" s="58" t="n">
        <x:f>0+0+0</x:f>
        <x:v>0</x:v>
      </x:c>
      <x:c r="H548" s="58" t="n">
        <x:f>0+0+0</x:f>
        <x:v>0</x:v>
      </x:c>
      <x:c r="I548" s="58" t="n">
        <x:f>0+0+0</x:f>
        <x:v>0</x:v>
      </x:c>
      <x:c r="J548" s="58" t="n">
        <x:f>0+0+0</x:f>
        <x:v>0</x:v>
      </x:c>
      <x:c r="K548" s="58" t="n">
        <x:f>0+0+0</x:f>
        <x:v>0</x:v>
      </x:c>
      <x:c r="L548" s="58" t="n">
        <x:f>0+0+0</x:f>
        <x:v>0</x:v>
      </x:c>
      <x:c r="M548" s="58" t="n">
        <x:f>0+0+0</x:f>
        <x:v>0</x:v>
      </x:c>
      <x:c r="N548" s="58" t="n">
        <x:f>B545+B546+B547</x:f>
        <x:v>8.924000000000001</x:v>
      </x:c>
      <x:c r="O548" s="58" t="n">
        <x:f>C545+C546+C547</x:f>
        <x:v>9.6224</x:v>
      </x:c>
      <x:c r="P548" s="58" t="n">
        <x:f>D545+D546+D547</x:f>
        <x:v>10.404608</x:v>
      </x:c>
      <x:c r="Q548" s="58" t="n">
        <x:f>E545+E546+E547</x:f>
        <x:v>14.38468096</x:v>
      </x:c>
      <x:c r="R548" s="58" t="n">
        <x:f>F545+F546+F547</x:f>
        <x:v>15.365882675200002</x:v>
      </x:c>
      <x:c r="S548" s="58" t="n">
        <x:f>G545+G546+G547</x:f>
        <x:v>16.464828596224002</x:v>
      </x:c>
      <x:c r="T548" s="58" t="n">
        <x:f>H545+H546+H547</x:f>
        <x:v>24.42098136110422</x:v>
      </x:c>
      <x:c r="U548" s="58" t="n">
        <x:f>I545+I546+I547</x:f>
        <x:v>25.799499124436725</x:v>
      </x:c>
      <x:c r="V548" s="58" t="n">
        <x:f>J545+J546+J547</x:f>
        <x:v>27.343439019369132</x:v>
      </x:c>
      <x:c r="W548" s="58" t="n">
        <x:f>K545+K546+K547</x:f>
        <x:v>29.072651701693434</x:v>
      </x:c>
      <x:c r="X548" s="58" t="n">
        <x:f>L545+L546+L547</x:f>
        <x:v>31.009369905896648</x:v>
      </x:c>
      <x:c r="Y548" s="58" t="n">
        <x:f>M545+M546+M547</x:f>
        <x:v>33.17849429460424</x:v>
      </x:c>
      <x:c r="Z548" s="58" t="n">
        <x:f>N545+N546+N547</x:f>
        <x:v>47.9768093533241</x:v>
      </x:c>
      <x:c r="AA548" s="58" t="n">
        <x:f>O545+O546+O547</x:f>
        <x:v>49.92922566037791</x:v>
      </x:c>
      <x:c r="AB548" s="58" t="n">
        <x:f>P545+P546+P547</x:f>
        <x:v>52.04596464799603</x:v>
      </x:c>
      <x:c r="AC548" s="58" t="n">
        <x:f>Q545+Q546+Q547</x:f>
        <x:v>55.244411655743576</x:v>
      </x:c>
      <x:c r="AD548" s="58" t="n">
        <x:f>R545+R546+R547</x:f>
        <x:v>57.73340679336535</x:v>
      </x:c>
      <x:c r="AE548" s="58" t="n">
        <x:f>S545+S546+S547</x:f>
        <x:v>60.432942729961795</x:v>
      </x:c>
      <x:c r="AF548" s="58" t="n">
        <x:f>T545+T546+T547</x:f>
        <x:v>77.07588102958242</x:v>
      </x:c>
      <x:c r="AG548" s="58" t="n">
        <x:f>U545+U546+U547</x:f>
        <x:v>80.2527615531741</x:v>
      </x:c>
      <x:c r="AH548" s="58" t="n">
        <x:f>V545+V546+V547</x:f>
        <x:v>83.69983846541828</x:v>
      </x:c>
      <x:c r="AI548" s="58" t="n">
        <x:f>W545+W546+W547</x:f>
        <x:v>87.44065299101901</x:v>
      </x:c>
      <x:c r="AJ548" s="58" t="n">
        <x:f>X545+X546+X547</x:f>
        <x:v>91.50086071429007</x:v>
      </x:c>
      <x:c r="AK548" s="58" t="n">
        <x:f>Y545+Y546+Y547</x:f>
        <x:v>95.90842845531972</x:v>
      </x:c>
    </x:row>
    <x:row r="549" ht="18" customHeight="1">
      <x:c r="A549" s="74" t="str">
        <x:v>ACTIVE ANNUAL SUBSCRIBERS</x:v>
      </x:c>
      <x:c r="B549" s="75" t="n">
        <x:f>0+SUM(B545:B547)-B548</x:f>
        <x:v>8.924000000000001</x:v>
      </x:c>
      <x:c r="C549" s="75" t="n">
        <x:f>B549+SUM(C545:C547)-C548</x:f>
        <x:v>18.546400000000002</x:v>
      </x:c>
      <x:c r="D549" s="75" t="n">
        <x:f>C549+SUM(D545:D547)-D548</x:f>
        <x:v>28.951008</x:v>
      </x:c>
      <x:c r="E549" s="75" t="n">
        <x:f>D549+SUM(E545:E547)-E548</x:f>
        <x:v>43.33568896</x:v>
      </x:c>
      <x:c r="F549" s="75" t="n">
        <x:f>E549+SUM(F545:F547)-F548</x:f>
        <x:v>58.7015716352</x:v>
      </x:c>
      <x:c r="G549" s="75" t="n">
        <x:f>F549+SUM(G545:G547)-G548</x:f>
        <x:v>75.166400231424</x:v>
      </x:c>
      <x:c r="H549" s="75" t="n">
        <x:f>G549+SUM(H545:H547)-H548</x:f>
        <x:v>99.58738159252823</x:v>
      </x:c>
      <x:c r="I549" s="75" t="n">
        <x:f>H549+SUM(I545:I547)-I548</x:f>
        <x:v>125.38688071696495</x:v>
      </x:c>
      <x:c r="J549" s="75" t="n">
        <x:f>I549+SUM(J545:J547)-J548</x:f>
        <x:v>152.73031973633408</x:v>
      </x:c>
      <x:c r="K549" s="75" t="n">
        <x:f>J549+SUM(K545:K547)-K548</x:f>
        <x:v>181.80297143802753</x:v>
      </x:c>
      <x:c r="L549" s="75" t="n">
        <x:f>K549+SUM(L545:L547)-L548</x:f>
        <x:v>212.81234134392417</x:v>
      </x:c>
      <x:c r="M549" s="75" t="n">
        <x:f>L549+SUM(M545:M547)-M548</x:f>
        <x:v>245.9908356385284</x:v>
      </x:c>
      <x:c r="N549" s="75" t="n">
        <x:f>M549+SUM(N545:N547)-N548</x:f>
        <x:v>285.04364499185255</x:v>
      </x:c>
      <x:c r="O549" s="75" t="n">
        <x:f>N549+SUM(O545:O547)-O548</x:f>
        <x:v>325.3504706522304</x:v>
      </x:c>
      <x:c r="P549" s="75" t="n">
        <x:f>O549+SUM(P545:P547)-P548</x:f>
        <x:v>366.9918273002264</x:v>
      </x:c>
      <x:c r="Q549" s="75" t="n">
        <x:f>P549+SUM(Q545:Q547)-Q548</x:f>
        <x:v>407.85155799597</x:v>
      </x:c>
      <x:c r="R549" s="75" t="n">
        <x:f>Q549+SUM(R545:R547)-R548</x:f>
        <x:v>450.21908211413535</x:v>
      </x:c>
      <x:c r="S549" s="75" t="n">
        <x:f>R549+SUM(S545:S547)-S548</x:f>
        <x:v>494.18719624787315</x:v>
      </x:c>
      <x:c r="T549" s="75" t="n">
        <x:f>S549+SUM(T545:T547)-T548</x:f>
        <x:v>546.8420959163514</x:v>
      </x:c>
      <x:c r="U549" s="75" t="n">
        <x:f>T549+SUM(U545:U547)-U548</x:f>
        <x:v>601.2953583450887</x:v>
      </x:c>
      <x:c r="V549" s="75" t="n">
        <x:f>U549+SUM(V545:V547)-V548</x:f>
        <x:v>657.6517577911378</x:v>
      </x:c>
      <x:c r="W549" s="75" t="n">
        <x:f>V549+SUM(W545:W547)-W548</x:f>
        <x:v>716.0197590804634</x:v>
      </x:c>
      <x:c r="X549" s="75" t="n">
        <x:f>W549+SUM(X545:X547)-X548</x:f>
        <x:v>776.5112498888568</x:v>
      </x:c>
      <x:c r="Y549" s="75" t="n">
        <x:f>X549+SUM(Y545:Y547)-Y548</x:f>
        <x:v>839.2411840495723</x:v>
      </x:c>
      <x:c r="Z549" s="75" t="n">
        <x:f>Y549+SUM(Z545:Z547)-Z548</x:f>
        <x:v>902.649796428139</x:v>
      </x:c>
      <x:c r="AA549" s="75" t="n">
        <x:f>Z549+SUM(AA545:AA547)-AA548</x:f>
        <x:v>967.9658062812106</x:v>
      </x:c>
      <x:c r="AB549" s="75" t="n">
        <x:f>AA549+SUM(AB545:AB547)-AB548</x:f>
        <x:v>1035.2731655269595</x:v>
      </x:c>
      <x:c r="AC549" s="75" t="n">
        <x:f>AB549+SUM(AC545:AC547)-AC548</x:f>
        <x:v>1104.2368236469902</x:v>
      </x:c>
      <x:c r="AD549" s="75" t="n">
        <x:f>AC549+SUM(AD545:AD547)-AD548</x:f>
        <x:v>1175.3667472109046</x:v>
      </x:c>
      <x:c r="AE549" s="75" t="n">
        <x:f>AD549+SUM(AE545:AE547)-AE548</x:f>
        <x:v>1248.7536750291392</x:v>
      </x:c>
      <x:c r="AF549" s="75" t="n">
        <x:f>AE549+SUM(AF545:AF547)-AF548</x:f>
        <x:v>1325.9299415264486</x:v>
      </x:c>
      <x:c r="AG549" s="75" t="n">
        <x:f>AF549+SUM(AG545:AG547)-AG548</x:f>
        <x:v>1405.5504510272524</x:v>
      </x:c>
      <x:c r="AH549" s="75" t="n">
        <x:f>AG549+SUM(AH545:AH547)-AH548</x:f>
        <x:v>1487.7112700828154</x:v>
      </x:c>
      <x:c r="AI549" s="75" t="n">
        <x:f>AH549+SUM(AI545:AI547)-AI548</x:f>
        <x:v>1572.5097330691121</x:v>
      </x:c>
      <x:c r="AJ549" s="75" t="n">
        <x:f>AI549+SUM(AJ545:AJ547)-AJ548</x:f>
        <x:v>1660.0441046677151</x:v>
      </x:c>
      <x:c r="AK549" s="75" t="n">
        <x:f>AJ549+SUM(AK545:AK547)-AK548</x:f>
        <x:v>1750.4131825410323</x:v>
      </x:c>
    </x:row>
    <x:row r="550" ht="18" customHeight="1">
      <x:c r="A550" s="4" t="str">
        <x:v>Annual charge events before refunds</x:v>
      </x:c>
      <x:c r="B550" s="58" t="n">
        <x:f>SUM(B545:B547)/(1-'Scenario Inputs'!$C$29)</x:f>
        <x:v>9.200000000000001</x:v>
      </x:c>
      <x:c r="C550" s="58" t="n">
        <x:f>SUM(C545:C547)/(1-'Scenario Inputs'!$C$29)</x:f>
        <x:v>9.920000000000002</x:v>
      </x:c>
      <x:c r="D550" s="58" t="n">
        <x:f>SUM(D545:D547)/(1-'Scenario Inputs'!$C$29)</x:f>
        <x:v>10.7264</x:v>
      </x:c>
      <x:c r="E550" s="58" t="n">
        <x:f>SUM(E545:E547)/(1-'Scenario Inputs'!$C$29)</x:f>
        <x:v>14.829568000000002</x:v>
      </x:c>
      <x:c r="F550" s="58" t="n">
        <x:f>SUM(F545:F547)/(1-'Scenario Inputs'!$C$29)</x:f>
        <x:v>15.841116160000002</x:v>
      </x:c>
      <x:c r="G550" s="58" t="n">
        <x:f>SUM(G545:G547)/(1-'Scenario Inputs'!$C$29)</x:f>
        <x:v>16.974050099200003</x:v>
      </x:c>
      <x:c r="H550" s="58" t="n">
        <x:f>SUM(H545:H547)/(1-'Scenario Inputs'!$C$29)</x:f>
        <x:v>25.17626944443734</x:v>
      </x:c>
      <x:c r="I550" s="58" t="n">
        <x:f>SUM(I545:I547)/(1-'Scenario Inputs'!$C$29)</x:f>
        <x:v>26.59742177776982</x:v>
      </x:c>
      <x:c r="J550" s="58" t="n">
        <x:f>SUM(J545:J547)/(1-'Scenario Inputs'!$C$29)</x:f>
        <x:v>28.1891123911022</x:v>
      </x:c>
      <x:c r="K550" s="58" t="n">
        <x:f>SUM(K545:K547)/(1-'Scenario Inputs'!$C$29)</x:f>
        <x:v>29.97180587803447</x:v>
      </x:c>
      <x:c r="L550" s="58" t="n">
        <x:f>SUM(L545:L547)/(1-'Scenario Inputs'!$C$29)</x:f>
        <x:v>31.968422583398606</x:v>
      </x:c>
      <x:c r="M550" s="58" t="n">
        <x:f>SUM(M545:M547)/(1-'Scenario Inputs'!$C$29)</x:f>
        <x:v>34.20463329340644</x:v>
      </x:c>
      <x:c r="N550" s="58" t="n">
        <x:f>SUM(N545:N547)/(1-'Scenario Inputs'!$C$29)</x:f>
        <x:v>49.460628199303194</x:v>
      </x:c>
      <x:c r="O550" s="58" t="n">
        <x:f>SUM(O545:O547)/(1-'Scenario Inputs'!$C$29)</x:f>
        <x:v>51.47342851585351</x:v>
      </x:c>
      <x:c r="P550" s="58" t="n">
        <x:f>SUM(P545:P547)/(1-'Scenario Inputs'!$C$29)</x:f>
        <x:v>53.65563365772787</x:v>
      </x:c>
      <x:c r="Q550" s="58" t="n">
        <x:f>SUM(Q545:Q547)/(1-'Scenario Inputs'!$C$29)</x:f>
        <x:v>56.95300170695214</x:v>
      </x:c>
      <x:c r="R550" s="58" t="n">
        <x:f>SUM(R545:R547)/(1-'Scenario Inputs'!$C$29)</x:f>
        <x:v>59.51897607563438</x:v>
      </x:c>
      <x:c r="S550" s="58" t="n">
        <x:f>SUM(S545:S547)/(1-'Scenario Inputs'!$C$29)</x:f>
        <x:v>62.3020028143936</x:v>
      </x:c>
      <x:c r="T550" s="58" t="n">
        <x:f>SUM(T545:T547)/(1-'Scenario Inputs'!$C$29)</x:f>
        <x:v>79.45967116451796</x:v>
      </x:c>
      <x:c r="U550" s="58" t="n">
        <x:f>SUM(U545:U547)/(1-'Scenario Inputs'!$C$29)</x:f>
        <x:v>82.73480572492176</x:v>
      </x:c>
      <x:c r="V550" s="58" t="n">
        <x:f>SUM(V545:V547)/(1-'Scenario Inputs'!$C$29)</x:f>
        <x:v>86.28849326331782</x:v>
      </x:c>
      <x:c r="W550" s="58" t="n">
        <x:f>SUM(W545:W547)/(1-'Scenario Inputs'!$C$29)</x:f>
        <x:v>90.14500308352476</x:v>
      </x:c>
      <x:c r="X550" s="58" t="n">
        <x:f>SUM(X545:X547)/(1-'Scenario Inputs'!$C$29)</x:f>
        <x:v>94.33078424153615</x:v>
      </x:c>
      <x:c r="Y550" s="58" t="n">
        <x:f>SUM(Y545:Y547)/(1-'Scenario Inputs'!$C$29)</x:f>
        <x:v>98.8746685106389</x:v>
      </x:c>
      <x:c r="Z550" s="58" t="n">
        <x:f>SUM(Z545:Z547)/(1-'Scenario Inputs'!$C$29)</x:f>
        <x:v>114.83033168236167</x:v>
      </x:c>
      <x:c r="AA550" s="58" t="n">
        <x:f>SUM(AA545:AA547)/(1-'Scenario Inputs'!$C$29)</x:f>
        <x:v>118.80952114788613</x:v>
      </x:c>
      <x:c r="AB550" s="58" t="n">
        <x:f>SUM(AB545:AB547)/(1-'Scenario Inputs'!$C$29)</x:f>
        <x:v>123.04466380798438</x:v>
      </x:c>
      <x:c r="AC550" s="58" t="n">
        <x:f>SUM(AC545:AC547)/(1-'Scenario Inputs'!$C$29)</x:f>
        <x:v>128.04955646987023</x:v>
      </x:c>
      <x:c r="AD550" s="58" t="n">
        <x:f>SUM(AD545:AD547)/(1-'Scenario Inputs'!$C$29)</x:f>
        <x:v>132.84879418276245</x:v>
      </x:c>
      <x:c r="AE550" s="58" t="n">
        <x:f>SUM(AE545:AE547)/(1-'Scenario Inputs'!$C$29)</x:f>
        <x:v>137.95862943113022</x:v>
      </x:c>
      <x:c r="AF550" s="58" t="n">
        <x:f>SUM(AF545:AF547)/(1-'Scenario Inputs'!$C$29)</x:f>
        <x:v>159.02283250195038</x:v>
      </x:c>
      <x:c r="AG550" s="58" t="n">
        <x:f>SUM(AG545:AG547)/(1-'Scenario Inputs'!$C$29)</x:f>
        <x:v>164.81780521028668</x:v>
      </x:c>
      <x:c r="AH550" s="58" t="n">
        <x:f>SUM(AH545:AH547)/(1-'Scenario Inputs'!$C$29)</x:f>
        <x:v>170.99036857833124</x:v>
      </x:c>
      <x:c r="AI550" s="58" t="n">
        <x:f>SUM(AI545:AI547)/(1-'Scenario Inputs'!$C$29)</x:f>
        <x:v>177.5660989456864</x:v>
      </x:c>
      <x:c r="AJ550" s="58" t="n">
        <x:f>SUM(AJ545:AJ547)/(1-'Scenario Inputs'!$C$29)</x:f>
        <x:v>184.57240444628152</x:v>
      </x:c>
      <x:c r="AK550" s="58" t="n">
        <x:f>SUM(AK545:AK547)/(1-'Scenario Inputs'!$C$29)</x:f>
        <x:v>192.03866631818244</x:v>
      </x:c>
    </x:row>
    <x:row r="551" ht="18" customHeight="1">
      <x:c r="A551" s="4" t="str"/>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c r="AA551" s="58"/>
      <x:c r="AB551" s="58"/>
      <x:c r="AC551" s="58"/>
      <x:c r="AD551" s="58"/>
      <x:c r="AE551" s="58"/>
      <x:c r="AF551" s="58"/>
      <x:c r="AG551" s="58"/>
      <x:c r="AH551" s="58"/>
      <x:c r="AI551" s="58"/>
      <x:c r="AJ551" s="58"/>
      <x:c r="AK551" s="58"/>
    </x:row>
    <x:row r="552" ht="18" customHeight="1">
      <x:c r="A552" s="4" t="str">
        <x:v>New monthly payers after refunds</x:v>
      </x:c>
      <x:c r="B552" s="58" t="n">
        <x:f>B537*(1-'Stress Inputs'!$C$10)*(1-'Scenario Inputs'!$C$29)</x:f>
        <x:v>13.386</x:v>
      </x:c>
      <x:c r="C552" s="58" t="n">
        <x:f>C537*(1-'Stress Inputs'!$C$10)*(1-'Scenario Inputs'!$C$29)</x:f>
        <x:v>14.433599999999998</x:v>
      </x:c>
      <x:c r="D552" s="58" t="n">
        <x:f>D537*(1-'Stress Inputs'!$C$10)*(1-'Scenario Inputs'!$C$29)</x:f>
        <x:v>15.606911999999998</x:v>
      </x:c>
      <x:c r="E552" s="58" t="n">
        <x:f>E537*(1-'Stress Inputs'!$C$10)*(1-'Scenario Inputs'!$C$29)</x:f>
        <x:v>21.57702144</x:v>
      </x:c>
      <x:c r="F552" s="58" t="n">
        <x:f>F537*(1-'Stress Inputs'!$C$10)*(1-'Scenario Inputs'!$C$29)</x:f>
        <x:v>23.0488240128</x:v>
      </x:c>
      <x:c r="G552" s="58" t="n">
        <x:f>G537*(1-'Stress Inputs'!$C$10)*(1-'Scenario Inputs'!$C$29)</x:f>
        <x:v>24.697242894336004</x:v>
      </x:c>
      <x:c r="H552" s="58" t="n">
        <x:f>H537*(1-'Stress Inputs'!$C$10)*(1-'Scenario Inputs'!$C$29)</x:f>
        <x:v>36.63147204165632</x:v>
      </x:c>
      <x:c r="I552" s="58" t="n">
        <x:f>I537*(1-'Stress Inputs'!$C$10)*(1-'Scenario Inputs'!$C$29)</x:f>
        <x:v>38.69924868665509</x:v>
      </x:c>
      <x:c r="J552" s="58" t="n">
        <x:f>J537*(1-'Stress Inputs'!$C$10)*(1-'Scenario Inputs'!$C$29)</x:f>
        <x:v>41.01515852905369</x:v>
      </x:c>
      <x:c r="K552" s="58" t="n">
        <x:f>K537*(1-'Stress Inputs'!$C$10)*(1-'Scenario Inputs'!$C$29)</x:f>
        <x:v>43.60897755254015</x:v>
      </x:c>
      <x:c r="L552" s="58" t="n">
        <x:f>L537*(1-'Stress Inputs'!$C$10)*(1-'Scenario Inputs'!$C$29)</x:f>
        <x:v>46.514054858844965</x:v>
      </x:c>
      <x:c r="M552" s="58" t="n">
        <x:f>M537*(1-'Stress Inputs'!$C$10)*(1-'Scenario Inputs'!$C$29)</x:f>
        <x:v>49.76774144190636</x:v>
      </x:c>
      <x:c r="N552" s="58" t="n">
        <x:f>N537*(1-'Stress Inputs'!$C$10)*(1-'Scenario Inputs'!$C$29)</x:f>
        <x:v>68.06988802998613</x:v>
      </x:c>
      <x:c r="O552" s="58" t="n">
        <x:f>O537*(1-'Stress Inputs'!$C$10)*(1-'Scenario Inputs'!$C$29)</x:f>
        <x:v>70.69366089056686</x:v>
      </x:c>
      <x:c r="P552" s="58" t="n">
        <x:f>P537*(1-'Stress Inputs'!$C$10)*(1-'Scenario Inputs'!$C$29)</x:f>
        <x:v>73.52733557999404</x:v>
      </x:c>
      <x:c r="Q552" s="58" t="n">
        <x:f>Q537*(1-'Stress Inputs'!$C$10)*(1-'Scenario Inputs'!$C$29)</x:f>
        <x:v>76.58770424457536</x:v>
      </x:c>
      <x:c r="R552" s="58" t="n">
        <x:f>R537*(1-'Stress Inputs'!$C$10)*(1-'Scenario Inputs'!$C$29)</x:f>
        <x:v>79.89290240232322</x:v>
      </x:c>
      <x:c r="S552" s="58" t="n">
        <x:f>S537*(1-'Stress Inputs'!$C$10)*(1-'Scenario Inputs'!$C$29)</x:f>
        <x:v>83.4625164126909</x:v>
      </x:c>
      <x:c r="T552" s="58" t="n">
        <x:f>T537*(1-'Stress Inputs'!$C$10)*(1-'Scenario Inputs'!$C$29)</x:f>
        <x:v>104.95406318025164</x:v>
      </x:c>
      <x:c r="U552" s="58" t="n">
        <x:f>U537*(1-'Stress Inputs'!$C$10)*(1-'Scenario Inputs'!$C$29)</x:f>
        <x:v>109.11766096194448</x:v>
      </x:c>
      <x:c r="V552" s="58" t="n">
        <x:f>V537*(1-'Stress Inputs'!$C$10)*(1-'Scenario Inputs'!$C$29)</x:f>
        <x:v>113.61434656617278</x:v>
      </x:c>
      <x:c r="W552" s="58" t="n">
        <x:f>W537*(1-'Stress Inputs'!$C$10)*(1-'Scenario Inputs'!$C$29)</x:f>
        <x:v>118.47076701873934</x:v>
      </x:c>
      <x:c r="X552" s="58" t="n">
        <x:f>X537*(1-'Stress Inputs'!$C$10)*(1-'Scenario Inputs'!$C$29)</x:f>
        <x:v>123.7157011075112</x:v>
      </x:c>
      <x:c r="Y552" s="58" t="n">
        <x:f>Y537*(1-'Stress Inputs'!$C$10)*(1-'Scenario Inputs'!$C$29)</x:f>
        <x:v>129.3802299233848</x:v>
      </x:c>
      <x:c r="Z552" s="58" t="n">
        <x:f>Z537*(1-'Stress Inputs'!$C$10)*(1-'Scenario Inputs'!$C$29)</x:f>
        <x:v>145.19163876011024</x:v>
      </x:c>
      <x:c r="AA552" s="58" t="n">
        <x:f>AA537*(1-'Stress Inputs'!$C$10)*(1-'Scenario Inputs'!$C$29)</x:f>
        <x:v>150.05520320141935</x:v>
      </x:c>
      <x:c r="AB552" s="58" t="n">
        <x:f>AB537*(1-'Stress Inputs'!$C$10)*(1-'Scenario Inputs'!$C$29)</x:f>
        <x:v>155.21058150920697</x:v>
      </x:c>
      <x:c r="AC552" s="58" t="n">
        <x:f>AC537*(1-'Stress Inputs'!$C$10)*(1-'Scenario Inputs'!$C$29)</x:f>
        <x:v>160.6752825154619</x:v>
      </x:c>
      <x:c r="AD552" s="58" t="n">
        <x:f>AD537*(1-'Stress Inputs'!$C$10)*(1-'Scenario Inputs'!$C$29)</x:f>
        <x:v>166.4678655820921</x:v>
      </x:c>
      <x:c r="AE552" s="58" t="n">
        <x:f>AE537*(1-'Stress Inputs'!$C$10)*(1-'Scenario Inputs'!$C$29)</x:f>
        <x:v>172.6080036327201</x:v>
      </x:c>
      <x:c r="AF552" s="58" t="n">
        <x:f>AF537*(1-'Stress Inputs'!$C$10)*(1-'Scenario Inputs'!$C$29)</x:f>
        <x:v>195.14960781762545</x:v>
      </x:c>
      <x:c r="AG552" s="58" t="n">
        <x:f>AG537*(1-'Stress Inputs'!$C$10)*(1-'Scenario Inputs'!$C$29)</x:f>
        <x:v>202.0486669313111</x:v>
      </x:c>
      <x:c r="AH552" s="58" t="n">
        <x:f>AH537*(1-'Stress Inputs'!$C$10)*(1-'Scenario Inputs'!$C$29)</x:f>
        <x:v>209.36166959181787</x:v>
      </x:c>
      <x:c r="AI552" s="58" t="n">
        <x:f>AI537*(1-'Stress Inputs'!$C$10)*(1-'Scenario Inputs'!$C$29)</x:f>
        <x:v>217.11345241195502</x:v>
      </x:c>
      <x:c r="AJ552" s="58" t="n">
        <x:f>AJ537*(1-'Stress Inputs'!$C$10)*(1-'Scenario Inputs'!$C$29)</x:f>
        <x:v>225.33034220130043</x:v>
      </x:c>
      <x:c r="AK552" s="58" t="n">
        <x:f>AK537*(1-'Stress Inputs'!$C$10)*(1-'Scenario Inputs'!$C$29)</x:f>
        <x:v>234.04024537800657</x:v>
      </x:c>
    </x:row>
    <x:row r="553" ht="18" customHeight="1">
      <x:c r="A553" s="4" t="str">
        <x:v>First monthly renewals after refunds</x:v>
      </x:c>
      <x:c r="B553" s="58" t="n">
        <x:f>0*'Scenario Inputs'!$C$32*(1-'Scenario Inputs'!$C$29)</x:f>
        <x:v>0</x:v>
      </x:c>
      <x:c r="C553" s="58" t="n">
        <x:f>B552*'Scenario Inputs'!$C$32*(1-'Scenario Inputs'!$C$29)</x:f>
        <x:v>7.790651999999999</x:v>
      </x:c>
      <x:c r="D553" s="58" t="n">
        <x:f>C552*'Scenario Inputs'!$C$32*(1-'Scenario Inputs'!$C$29)</x:f>
        <x:v>8.4003552</x:v>
      </x:c>
      <x:c r="E553" s="58" t="n">
        <x:f>D552*'Scenario Inputs'!$C$32*(1-'Scenario Inputs'!$C$29)</x:f>
        <x:v>9.083222783999998</x:v>
      </x:c>
      <x:c r="F553" s="58" t="n">
        <x:f>E552*'Scenario Inputs'!$C$32*(1-'Scenario Inputs'!$C$29)</x:f>
        <x:v>12.557826478079999</x:v>
      </x:c>
      <x:c r="G553" s="58" t="n">
        <x:f>F552*'Scenario Inputs'!$C$32*(1-'Scenario Inputs'!$C$29)</x:f>
        <x:v>13.4144155754496</x:v>
      </x:c>
      <x:c r="H553" s="58" t="n">
        <x:f>G552*'Scenario Inputs'!$C$32*(1-'Scenario Inputs'!$C$29)</x:f>
        <x:v>14.373795364503554</x:v>
      </x:c>
      <x:c r="I553" s="58" t="n">
        <x:f>H552*'Scenario Inputs'!$C$32*(1-'Scenario Inputs'!$C$29)</x:f>
        <x:v>21.31951672824398</x:v>
      </x:c>
      <x:c r="J553" s="58" t="n">
        <x:f>I552*'Scenario Inputs'!$C$32*(1-'Scenario Inputs'!$C$29)</x:f>
        <x:v>22.52296273563326</x:v>
      </x:c>
      <x:c r="K553" s="58" t="n">
        <x:f>J552*'Scenario Inputs'!$C$32*(1-'Scenario Inputs'!$C$29)</x:f>
        <x:v>23.870822263909247</x:v>
      </x:c>
      <x:c r="L553" s="58" t="n">
        <x:f>K552*'Scenario Inputs'!$C$32*(1-'Scenario Inputs'!$C$29)</x:f>
        <x:v>25.380424935578368</x:v>
      </x:c>
      <x:c r="M553" s="58" t="n">
        <x:f>L552*'Scenario Inputs'!$C$32*(1-'Scenario Inputs'!$C$29)</x:f>
        <x:v>27.07117992784777</x:v>
      </x:c>
      <x:c r="N553" s="58" t="n">
        <x:f>M552*'Scenario Inputs'!$C$32*(1-'Scenario Inputs'!$C$29)</x:f>
        <x:v>28.9648255191895</x:v>
      </x:c>
      <x:c r="O553" s="58" t="n">
        <x:f>N552*'Scenario Inputs'!$C$32*(1-'Scenario Inputs'!$C$29)</x:f>
        <x:v>39.616674833451924</x:v>
      </x:c>
      <x:c r="P553" s="58" t="n">
        <x:f>O552*'Scenario Inputs'!$C$32*(1-'Scenario Inputs'!$C$29)</x:f>
        <x:v>41.14371063830991</x:v>
      </x:c>
      <x:c r="Q553" s="58" t="n">
        <x:f>P552*'Scenario Inputs'!$C$32*(1-'Scenario Inputs'!$C$29)</x:f>
        <x:v>42.79290930755653</x:v>
      </x:c>
      <x:c r="R553" s="58" t="n">
        <x:f>Q552*'Scenario Inputs'!$C$32*(1-'Scenario Inputs'!$C$29)</x:f>
        <x:v>44.57404387034286</x:v>
      </x:c>
      <x:c r="S553" s="58" t="n">
        <x:f>R552*'Scenario Inputs'!$C$32*(1-'Scenario Inputs'!$C$29)</x:f>
        <x:v>46.49766919815211</x:v>
      </x:c>
      <x:c r="T553" s="58" t="n">
        <x:f>S552*'Scenario Inputs'!$C$32*(1-'Scenario Inputs'!$C$29)</x:f>
        <x:v>48.57518455218611</x:v>
      </x:c>
      <x:c r="U553" s="58" t="n">
        <x:f>T552*'Scenario Inputs'!$C$32*(1-'Scenario Inputs'!$C$29)</x:f>
        <x:v>61.083264770906446</x:v>
      </x:c>
      <x:c r="V553" s="58" t="n">
        <x:f>U552*'Scenario Inputs'!$C$32*(1-'Scenario Inputs'!$C$29)</x:f>
        <x:v>63.50647867985169</x:v>
      </x:c>
      <x:c r="W553" s="58" t="n">
        <x:f>V552*'Scenario Inputs'!$C$32*(1-'Scenario Inputs'!$C$29)</x:f>
        <x:v>66.12354970151254</x:v>
      </x:c>
      <x:c r="X553" s="58" t="n">
        <x:f>W552*'Scenario Inputs'!$C$32*(1-'Scenario Inputs'!$C$29)</x:f>
        <x:v>68.94998640490628</x:v>
      </x:c>
      <x:c r="Y553" s="58" t="n">
        <x:f>X552*'Scenario Inputs'!$C$32*(1-'Scenario Inputs'!$C$29)</x:f>
        <x:v>72.00253804457151</x:v>
      </x:c>
      <x:c r="Z553" s="58" t="n">
        <x:f>Y552*'Scenario Inputs'!$C$32*(1-'Scenario Inputs'!$C$29)</x:f>
        <x:v>75.29929381540995</x:v>
      </x:c>
      <x:c r="AA553" s="58" t="n">
        <x:f>Z552*'Scenario Inputs'!$C$32*(1-'Scenario Inputs'!$C$29)</x:f>
        <x:v>84.50153375838416</x:v>
      </x:c>
      <x:c r="AB553" s="58" t="n">
        <x:f>AA552*'Scenario Inputs'!$C$32*(1-'Scenario Inputs'!$C$29)</x:f>
        <x:v>87.33212826322605</x:v>
      </x:c>
      <x:c r="AC553" s="58" t="n">
        <x:f>AB552*'Scenario Inputs'!$C$32*(1-'Scenario Inputs'!$C$29)</x:f>
        <x:v>90.33255843835845</x:v>
      </x:c>
      <x:c r="AD553" s="58" t="n">
        <x:f>AC552*'Scenario Inputs'!$C$32*(1-'Scenario Inputs'!$C$29)</x:f>
        <x:v>93.51301442399883</x:v>
      </x:c>
      <x:c r="AE553" s="58" t="n">
        <x:f>AD552*'Scenario Inputs'!$C$32*(1-'Scenario Inputs'!$C$29)</x:f>
        <x:v>96.88429776877759</x:v>
      </x:c>
      <x:c r="AF553" s="58" t="n">
        <x:f>AE552*'Scenario Inputs'!$C$32*(1-'Scenario Inputs'!$C$29)</x:f>
        <x:v>100.45785811424311</x:v>
      </x:c>
      <x:c r="AG553" s="58" t="n">
        <x:f>AF552*'Scenario Inputs'!$C$32*(1-'Scenario Inputs'!$C$29)</x:f>
        <x:v>113.577071749858</x:v>
      </x:c>
      <x:c r="AH553" s="58" t="n">
        <x:f>AG552*'Scenario Inputs'!$C$32*(1-'Scenario Inputs'!$C$29)</x:f>
        <x:v>117.59232415402305</x:v>
      </x:c>
      <x:c r="AI553" s="58" t="n">
        <x:f>AH552*'Scenario Inputs'!$C$32*(1-'Scenario Inputs'!$C$29)</x:f>
        <x:v>121.84849170243798</x:v>
      </x:c>
      <x:c r="AJ553" s="58" t="n">
        <x:f>AI552*'Scenario Inputs'!$C$32*(1-'Scenario Inputs'!$C$29)</x:f>
        <x:v>126.36002930375783</x:v>
      </x:c>
      <x:c r="AK553" s="58" t="n">
        <x:f>AJ552*'Scenario Inputs'!$C$32*(1-'Scenario Inputs'!$C$29)</x:f>
        <x:v>131.14225916115686</x:v>
      </x:c>
    </x:row>
    <x:row r="554" ht="18" customHeight="1">
      <x:c r="A554" s="4" t="str">
        <x:v>Second monthly renewals after refunds</x:v>
      </x:c>
      <x:c r="B554" s="58" t="n">
        <x:f>0*'Scenario Inputs'!$C$33*(1-'Scenario Inputs'!$C$29)</x:f>
        <x:v>0</x:v>
      </x:c>
      <x:c r="C554" s="58" t="n">
        <x:f>B553*'Scenario Inputs'!$C$33*(1-'Scenario Inputs'!$C$29)</x:f>
        <x:v>0</x:v>
      </x:c>
      <x:c r="D554" s="58" t="n">
        <x:f>C553*'Scenario Inputs'!$C$33*(1-'Scenario Inputs'!$C$29)</x:f>
        <x:v>5.66769933</x:v>
      </x:c>
      <x:c r="E554" s="58" t="n">
        <x:f>D553*'Scenario Inputs'!$C$33*(1-'Scenario Inputs'!$C$29)</x:f>
        <x:v>6.111258407999999</x:v>
      </x:c>
      <x:c r="F554" s="58" t="n">
        <x:f>E553*'Scenario Inputs'!$C$33*(1-'Scenario Inputs'!$C$29)</x:f>
        <x:v>6.608044575359998</x:v>
      </x:c>
      <x:c r="G554" s="58" t="n">
        <x:f>F553*'Scenario Inputs'!$C$33*(1-'Scenario Inputs'!$C$29)</x:f>
        <x:v>9.135818762803199</x:v>
      </x:c>
      <x:c r="H554" s="58" t="n">
        <x:f>G553*'Scenario Inputs'!$C$33*(1-'Scenario Inputs'!$C$29)</x:f>
        <x:v>9.758987331139584</x:v>
      </x:c>
      <x:c r="I554" s="58" t="n">
        <x:f>H553*'Scenario Inputs'!$C$33*(1-'Scenario Inputs'!$C$29)</x:f>
        <x:v>10.456936127676336</x:v>
      </x:c>
      <x:c r="J554" s="58" t="n">
        <x:f>I553*'Scenario Inputs'!$C$33*(1-'Scenario Inputs'!$C$29)</x:f>
        <x:v>15.509948419797494</x:v>
      </x:c>
      <x:c r="K554" s="58" t="n">
        <x:f>J553*'Scenario Inputs'!$C$33*(1-'Scenario Inputs'!$C$29)</x:f>
        <x:v>16.3854553901732</x:v>
      </x:c>
      <x:c r="L554" s="58" t="n">
        <x:f>K553*'Scenario Inputs'!$C$33*(1-'Scenario Inputs'!$C$29)</x:f>
        <x:v>17.366023196993975</x:v>
      </x:c>
      <x:c r="M554" s="58" t="n">
        <x:f>L553*'Scenario Inputs'!$C$33*(1-'Scenario Inputs'!$C$29)</x:f>
        <x:v>18.464259140633263</x:v>
      </x:c>
      <x:c r="N554" s="58" t="n">
        <x:f>M553*'Scenario Inputs'!$C$33*(1-'Scenario Inputs'!$C$29)</x:f>
        <x:v>19.694283397509253</x:v>
      </x:c>
      <x:c r="O554" s="58" t="n">
        <x:f>N553*'Scenario Inputs'!$C$33*(1-'Scenario Inputs'!$C$29)</x:f>
        <x:v>21.07191056521036</x:v>
      </x:c>
      <x:c r="P554" s="58" t="n">
        <x:f>O553*'Scenario Inputs'!$C$33*(1-'Scenario Inputs'!$C$29)</x:f>
        <x:v>28.821130941336275</x:v>
      </x:c>
      <x:c r="Q554" s="58" t="n">
        <x:f>P553*'Scenario Inputs'!$C$33*(1-'Scenario Inputs'!$C$29)</x:f>
        <x:v>29.93204948937046</x:v>
      </x:c>
      <x:c r="R554" s="58" t="n">
        <x:f>Q553*'Scenario Inputs'!$C$33*(1-'Scenario Inputs'!$C$29)</x:f>
        <x:v>31.131841521247374</x:v>
      </x:c>
      <x:c r="S554" s="58" t="n">
        <x:f>R553*'Scenario Inputs'!$C$33*(1-'Scenario Inputs'!$C$29)</x:f>
        <x:v>32.427616915674434</x:v>
      </x:c>
      <x:c r="T554" s="58" t="n">
        <x:f>S553*'Scenario Inputs'!$C$33*(1-'Scenario Inputs'!$C$29)</x:f>
        <x:v>33.82705434165566</x:v>
      </x:c>
      <x:c r="U554" s="58" t="n">
        <x:f>T553*'Scenario Inputs'!$C$33*(1-'Scenario Inputs'!$C$29)</x:f>
        <x:v>35.338446761715396</x:v>
      </x:c>
      <x:c r="V554" s="58" t="n">
        <x:f>U553*'Scenario Inputs'!$C$33*(1-'Scenario Inputs'!$C$29)</x:f>
        <x:v>44.438075120834434</x:v>
      </x:c>
      <x:c r="W554" s="58" t="n">
        <x:f>V553*'Scenario Inputs'!$C$33*(1-'Scenario Inputs'!$C$29)</x:f>
        <x:v>46.200963239592106</x:v>
      </x:c>
      <x:c r="X554" s="58" t="n">
        <x:f>W553*'Scenario Inputs'!$C$33*(1-'Scenario Inputs'!$C$29)</x:f>
        <x:v>48.10488240785037</x:v>
      </x:c>
      <x:c r="Y554" s="58" t="n">
        <x:f>X553*'Scenario Inputs'!$C$33*(1-'Scenario Inputs'!$C$29)</x:f>
        <x:v>50.16111510956932</x:v>
      </x:c>
      <x:c r="Z554" s="58" t="n">
        <x:f>Y553*'Scenario Inputs'!$C$33*(1-'Scenario Inputs'!$C$29)</x:f>
        <x:v>52.38184642742577</x:v>
      </x:c>
      <x:c r="AA554" s="58" t="n">
        <x:f>Z553*'Scenario Inputs'!$C$33*(1-'Scenario Inputs'!$C$29)</x:f>
        <x:v>54.780236250710736</x:v>
      </x:c>
      <x:c r="AB554" s="58" t="n">
        <x:f>AA553*'Scenario Inputs'!$C$33*(1-'Scenario Inputs'!$C$29)</x:f>
        <x:v>61.474865809224475</x:v>
      </x:c>
      <x:c r="AC554" s="58" t="n">
        <x:f>AB553*'Scenario Inputs'!$C$33*(1-'Scenario Inputs'!$C$29)</x:f>
        <x:v>63.53412331149695</x:v>
      </x:c>
      <x:c r="AD554" s="58" t="n">
        <x:f>AC553*'Scenario Inputs'!$C$33*(1-'Scenario Inputs'!$C$29)</x:f>
        <x:v>65.71693626390577</x:v>
      </x:c>
      <x:c r="AE554" s="58" t="n">
        <x:f>AD553*'Scenario Inputs'!$C$33*(1-'Scenario Inputs'!$C$29)</x:f>
        <x:v>68.03071799345915</x:v>
      </x:c>
      <x:c r="AF554" s="58" t="n">
        <x:f>AE553*'Scenario Inputs'!$C$33*(1-'Scenario Inputs'!$C$29)</x:f>
        <x:v>70.4833266267857</x:v>
      </x:c>
      <x:c r="AG554" s="58" t="n">
        <x:f>AF553*'Scenario Inputs'!$C$33*(1-'Scenario Inputs'!$C$29)</x:f>
        <x:v>73.08309177811186</x:v>
      </x:c>
      <x:c r="AH554" s="58" t="n">
        <x:f>AG553*'Scenario Inputs'!$C$33*(1-'Scenario Inputs'!$C$29)</x:f>
        <x:v>82.6273196980217</x:v>
      </x:c>
      <x:c r="AI554" s="58" t="n">
        <x:f>AH553*'Scenario Inputs'!$C$33*(1-'Scenario Inputs'!$C$29)</x:f>
        <x:v>85.54841582205177</x:v>
      </x:c>
      <x:c r="AJ554" s="58" t="n">
        <x:f>AI553*'Scenario Inputs'!$C$33*(1-'Scenario Inputs'!$C$29)</x:f>
        <x:v>88.64477771352364</x:v>
      </x:c>
      <x:c r="AK554" s="58" t="n">
        <x:f>AJ553*'Scenario Inputs'!$C$33*(1-'Scenario Inputs'!$C$29)</x:f>
        <x:v>91.92692131848382</x:v>
      </x:c>
    </x:row>
    <x:row r="555" ht="18" customHeight="1">
      <x:c r="A555" s="4" t="str">
        <x:v>Later monthly renewals after refunds</x:v>
      </x:c>
      <x:c r="B555" s="58" t="n">
        <x:f>(0+0)*'Scenario Inputs'!$C$34*(1-'Scenario Inputs'!$C$29)</x:f>
        <x:v>0</x:v>
      </x:c>
      <x:c r="C555" s="58" t="n">
        <x:f>(B554+B555)*'Scenario Inputs'!$C$34*(1-'Scenario Inputs'!$C$29)</x:f>
        <x:v>0</x:v>
      </x:c>
      <x:c r="D555" s="58" t="n">
        <x:f>(C554+C555)*'Scenario Inputs'!$C$34*(1-'Scenario Inputs'!$C$29)</x:f>
        <x:v>0</x:v>
      </x:c>
      <x:c r="E555" s="58" t="n">
        <x:f>(D554+D555)*'Scenario Inputs'!$C$34*(1-'Scenario Inputs'!$C$29)</x:f>
        <x:v>4.8379481480879996</x:v>
      </x:c>
      <x:c r="F555" s="58" t="n">
        <x:f>(E554+E555)*'Scenario Inputs'!$C$34*(1-'Scenario Inputs'!$C$29)</x:f>
        <x:v>9.346242716276715</x:v>
      </x:c>
      <x:c r="G555" s="58" t="n">
        <x:f>(F554+F555)*'Scenario Inputs'!$C$34*(1-'Scenario Inputs'!$C$29)</x:f>
        <x:v>13.618579632141099</x:v>
      </x:c>
      <x:c r="H555" s="58" t="n">
        <x:f>(G554+G555)*'Scenario Inputs'!$C$34*(1-'Scenario Inputs'!$C$29)</x:f>
        <x:v>19.42315446992445</x:v>
      </x:c>
      <x:c r="I555" s="58" t="n">
        <x:f>(H554+H555)*'Scenario Inputs'!$C$34*(1-'Scenario Inputs'!$C$29)</x:f>
        <x:v>24.90987624138826</x:v>
      </x:c>
      <x:c r="J555" s="58" t="n">
        <x:f>(I554+I555)*'Scenario Inputs'!$C$34*(1-'Scenario Inputs'!$C$29)</x:f>
        <x:v>30.189111038233538</x:v>
      </x:c>
      <x:c r="K555" s="58" t="n">
        <x:f>(J554+J555)*'Scenario Inputs'!$C$34*(1-'Scenario Inputs'!$C$29)</x:f>
        <x:v>39.00871715337529</x:v>
      </x:c>
      <x:c r="L555" s="58" t="n">
        <x:f>(K554+K555)*'Scenario Inputs'!$C$34*(1-'Scenario Inputs'!$C$29)</x:f>
        <x:v>47.28446568317299</x:v>
      </x:c>
      <x:c r="M555" s="58" t="n">
        <x:f>(L554+L555)*'Scenario Inputs'!$C$34*(1-'Scenario Inputs'!$C$29)</x:f>
        <x:v>55.18565730811052</x:v>
      </x:c>
      <x:c r="N555" s="58" t="n">
        <x:f>(M554+M555)*'Scenario Inputs'!$C$34*(1-'Scenario Inputs'!$C$29)</x:f>
        <x:v>62.86756868064769</x:v>
      </x:c>
      <x:c r="O555" s="58" t="n">
        <x:f>(N554+N555)*'Scenario Inputs'!$C$34*(1-'Scenario Inputs'!$C$29)</x:f>
        <x:v>70.47479693391476</x:v>
      </x:c>
      <x:c r="P555" s="58" t="n">
        <x:f>(O554+O555)*'Scenario Inputs'!$C$34*(1-'Scenario Inputs'!$C$29)</x:f>
        <x:v>78.14426952125321</x:v>
      </x:c>
      <x:c r="Q555" s="58" t="n">
        <x:f>(P554+P555)*'Scenario Inputs'!$C$34*(1-'Scenario Inputs'!$C$29)</x:f>
        <x:v>91.30566583486639</x:v>
      </x:c>
      <x:c r="R555" s="58" t="n">
        <x:f>(Q554+Q555)*'Scenario Inputs'!$C$34*(1-'Scenario Inputs'!$C$29)</x:f>
        <x:v>103.48851380076857</x:v>
      </x:c>
      <x:c r="S555" s="58" t="n">
        <x:f>(R554+R555)*'Scenario Inputs'!$C$34*(1-'Scenario Inputs'!$C$29)</x:f>
        <x:v>114.9119353028728</x:v>
      </x:c>
      <x:c r="T555" s="58" t="n">
        <x:f>(S554+S555)*'Scenario Inputs'!$C$34*(1-'Scenario Inputs'!$C$29)</x:f>
        <x:v>125.76904177375191</x:v>
      </x:c>
      <x:c r="U555" s="58" t="n">
        <x:f>(T554+T555)*'Scenario Inputs'!$C$34*(1-'Scenario Inputs'!$C$29)</x:f>
        <x:v>136.2312276441119</x:v>
      </x:c>
      <x:c r="V555" s="58" t="n">
        <x:f>(U554+U555)*'Scenario Inputs'!$C$34*(1-'Scenario Inputs'!$C$29)</x:f>
        <x:v>146.45187407281418</x:v>
      </x:c>
      <x:c r="W555" s="58" t="n">
        <x:f>(V554+V555)*'Scenario Inputs'!$C$34*(1-'Scenario Inputs'!$C$29)</x:f>
        <x:v>162.94366063169846</x:v>
      </x:c>
      <x:c r="X555" s="58" t="n">
        <x:f>(W554+W555)*'Scenario Inputs'!$C$34*(1-'Scenario Inputs'!$C$29)</x:f>
        <x:v>178.52585093653363</x:v>
      </x:c>
      <x:c r="Y555" s="58" t="n">
        <x:f>(X554+X555)*'Scenario Inputs'!$C$34*(1-'Scenario Inputs'!$C$29)</x:f>
        <x:v>193.45199398276617</x:v>
      </x:c>
      <x:c r="Z555" s="58" t="n">
        <x:f>(Y554+Y555)*'Scenario Inputs'!$C$34*(1-'Scenario Inputs'!$C$29)</x:f>
        <x:v>207.94814992121758</x:v>
      </x:c>
      <x:c r="AA555" s="58" t="n">
        <x:f>(Z554+Z555)*'Scenario Inputs'!$C$34*(1-'Scenario Inputs'!$C$29)</x:f>
        <x:v>222.21768488320197</x:v>
      </x:c>
      <x:c r="AB555" s="58" t="n">
        <x:f>(AA554+AA555)*'Scenario Inputs'!$C$34*(1-'Scenario Inputs'!$C$29)</x:f>
        <x:v>236.4454254799079</x:v>
      </x:c>
      <x:c r="AC555" s="58" t="n">
        <x:f>(AB554+AB555)*'Scenario Inputs'!$C$34*(1-'Scenario Inputs'!$C$29)</x:f>
        <x:v>254.30476064440336</x:v>
      </x:c>
      <x:c r="AD555" s="58" t="n">
        <x:f>(AC554+AC555)*'Scenario Inputs'!$C$34*(1-'Scenario Inputs'!$C$29)</x:f>
        <x:v>271.30727134475654</x:v>
      </x:c>
      <x:c r="AE555" s="58" t="n">
        <x:f>(AD554+AD555)*'Scenario Inputs'!$C$34*(1-'Scenario Inputs'!$C$29)</x:f>
        <x:v>287.68386361475416</x:v>
      </x:c>
      <x:c r="AF555" s="58" t="n">
        <x:f>(AE554+AE555)*'Scenario Inputs'!$C$34*(1-'Scenario Inputs'!$C$29)</x:f>
        <x:v>303.63796686077086</x:v>
      </x:c>
      <x:c r="AG555" s="58" t="n">
        <x:f>(AF554+AF555)*'Scenario Inputs'!$C$34*(1-'Scenario Inputs'!$C$29)</x:f>
        <x:v>319.34993612097827</x:v>
      </x:c>
      <x:c r="AH555" s="58" t="n">
        <x:f>(AG554+AG555)*'Scenario Inputs'!$C$34*(1-'Scenario Inputs'!$C$29)</x:f>
        <x:v>334.9808326146633</x:v>
      </x:c>
      <x:c r="AI555" s="58" t="n">
        <x:f>(AH554+AH555)*'Scenario Inputs'!$C$34*(1-'Scenario Inputs'!$C$29)</x:f>
        <x:v>356.4703188141079</x:v>
      </x:c>
      <x:c r="AJ555" s="58" t="n">
        <x:f>(AI554+AI555)*'Scenario Inputs'!$C$34*(1-'Scenario Inputs'!$C$29)</x:f>
        <x:v>377.3071918854259</x:v>
      </x:c>
      <x:c r="AK555" s="58" t="n">
        <x:f>(AJ554+AJ555)*'Scenario Inputs'!$C$34*(1-'Scenario Inputs'!$C$29)</x:f>
        <x:v>397.7366012496633</x:v>
      </x:c>
    </x:row>
    <x:row r="556" ht="18" customHeight="1">
      <x:c r="A556" s="74" t="str">
        <x:v>ACTIVE MONTHLY SUBSCRIBERS</x:v>
      </x:c>
      <x:c r="B556" s="75" t="n">
        <x:f>SUM(B552:B555)</x:f>
        <x:v>13.386</x:v>
      </x:c>
      <x:c r="C556" s="75" t="n">
        <x:f>SUM(C552:C555)</x:f>
        <x:v>22.224251999999996</x:v>
      </x:c>
      <x:c r="D556" s="75" t="n">
        <x:f>SUM(D552:D555)</x:f>
        <x:v>29.67496653</x:v>
      </x:c>
      <x:c r="E556" s="75" t="n">
        <x:f>SUM(E552:E555)</x:f>
        <x:v>41.609450780088</x:v>
      </x:c>
      <x:c r="F556" s="75" t="n">
        <x:f>SUM(F552:F555)</x:f>
        <x:v>51.56093778251671</x:v>
      </x:c>
      <x:c r="G556" s="75" t="n">
        <x:f>SUM(G552:G555)</x:f>
        <x:v>60.8660568647299</x:v>
      </x:c>
      <x:c r="H556" s="75" t="n">
        <x:f>SUM(H552:H555)</x:f>
        <x:v>80.18740920722391</x:v>
      </x:c>
      <x:c r="I556" s="75" t="n">
        <x:f>SUM(I552:I555)</x:f>
        <x:v>95.38557778396365</x:v>
      </x:c>
      <x:c r="J556" s="75" t="n">
        <x:f>SUM(J552:J555)</x:f>
        <x:v>109.23718072271798</x:v>
      </x:c>
      <x:c r="K556" s="75" t="n">
        <x:f>SUM(K552:K555)</x:f>
        <x:v>122.8739723599979</x:v>
      </x:c>
      <x:c r="L556" s="75" t="n">
        <x:f>SUM(L552:L555)</x:f>
        <x:v>136.5449686745903</x:v>
      </x:c>
      <x:c r="M556" s="75" t="n">
        <x:f>SUM(M552:M555)</x:f>
        <x:v>150.48883781849793</x:v>
      </x:c>
      <x:c r="N556" s="75" t="n">
        <x:f>SUM(N552:N555)</x:f>
        <x:v>179.59656562733258</x:v>
      </x:c>
      <x:c r="O556" s="75" t="n">
        <x:f>SUM(O552:O555)</x:f>
        <x:v>201.85704322314393</x:v>
      </x:c>
      <x:c r="P556" s="75" t="n">
        <x:f>SUM(P552:P555)</x:f>
        <x:v>221.6364466808934</x:v>
      </x:c>
      <x:c r="Q556" s="75" t="n">
        <x:f>SUM(Q552:Q555)</x:f>
        <x:v>240.61832887636876</x:v>
      </x:c>
      <x:c r="R556" s="75" t="n">
        <x:f>SUM(R552:R555)</x:f>
        <x:v>259.087301594682</x:v>
      </x:c>
      <x:c r="S556" s="75" t="n">
        <x:f>SUM(S552:S555)</x:f>
        <x:v>277.29973782939027</x:v>
      </x:c>
      <x:c r="T556" s="75" t="n">
        <x:f>SUM(T552:T555)</x:f>
        <x:v>313.12534384784533</x:v>
      </x:c>
      <x:c r="U556" s="75" t="n">
        <x:f>SUM(U552:U555)</x:f>
        <x:v>341.7706001386782</x:v>
      </x:c>
      <x:c r="V556" s="75" t="n">
        <x:f>SUM(V552:V555)</x:f>
        <x:v>368.0107744396731</x:v>
      </x:c>
      <x:c r="W556" s="75" t="n">
        <x:f>SUM(W552:W555)</x:f>
        <x:v>393.7389405915425</x:v>
      </x:c>
      <x:c r="X556" s="75" t="n">
        <x:f>SUM(X552:X555)</x:f>
        <x:v>419.2964208568015</x:v>
      </x:c>
      <x:c r="Y556" s="75" t="n">
        <x:f>SUM(Y552:Y555)</x:f>
        <x:v>444.99587706029183</x:v>
      </x:c>
      <x:c r="Z556" s="75" t="n">
        <x:f>SUM(Z552:Z555)</x:f>
        <x:v>480.8209289241635</x:v>
      </x:c>
      <x:c r="AA556" s="75" t="n">
        <x:f>SUM(AA552:AA555)</x:f>
        <x:v>511.5546580937162</x:v>
      </x:c>
      <x:c r="AB556" s="75" t="n">
        <x:f>SUM(AB552:AB555)</x:f>
        <x:v>540.4630010615654</x:v>
      </x:c>
      <x:c r="AC556" s="75" t="n">
        <x:f>SUM(AC552:AC555)</x:f>
        <x:v>568.8467249097207</x:v>
      </x:c>
      <x:c r="AD556" s="75" t="n">
        <x:f>SUM(AD552:AD555)</x:f>
        <x:v>597.0050876147532</x:v>
      </x:c>
      <x:c r="AE556" s="75" t="n">
        <x:f>SUM(AE552:AE555)</x:f>
        <x:v>625.206883009711</x:v>
      </x:c>
      <x:c r="AF556" s="75" t="n">
        <x:f>SUM(AF552:AF555)</x:f>
        <x:v>669.7287594194252</x:v>
      </x:c>
      <x:c r="AG556" s="75" t="n">
        <x:f>SUM(AG552:AG555)</x:f>
        <x:v>708.0587665802592</x:v>
      </x:c>
      <x:c r="AH556" s="75" t="n">
        <x:f>SUM(AH552:AH555)</x:f>
        <x:v>744.562146058526</x:v>
      </x:c>
      <x:c r="AI556" s="75" t="n">
        <x:f>SUM(AI552:AI555)</x:f>
        <x:v>780.9806787505527</x:v>
      </x:c>
      <x:c r="AJ556" s="75" t="n">
        <x:f>SUM(AJ552:AJ555)</x:f>
        <x:v>817.6423411040078</x:v>
      </x:c>
      <x:c r="AK556" s="75" t="n">
        <x:f>SUM(AK552:AK555)</x:f>
        <x:v>854.8460271073106</x:v>
      </x:c>
    </x:row>
    <x:row r="557" ht="18" customHeight="1">
      <x:c r="A557" s="4" t="str">
        <x:v>Monthly charge events before refunds</x:v>
      </x:c>
      <x:c r="B557" s="58" t="n">
        <x:f>B556/(1-'Scenario Inputs'!$C$29)</x:f>
        <x:v>13.799999999999999</x:v>
      </x:c>
      <x:c r="C557" s="58" t="n">
        <x:f>C556/(1-'Scenario Inputs'!$C$29)</x:f>
        <x:v>22.911599999999996</x:v>
      </x:c>
      <x:c r="D557" s="58" t="n">
        <x:f>D556/(1-'Scenario Inputs'!$C$29)</x:f>
        <x:v>30.592749</x:v>
      </x:c>
      <x:c r="E557" s="58" t="n">
        <x:f>E556/(1-'Scenario Inputs'!$C$29)</x:f>
        <x:v>42.8963410104</x:v>
      </x:c>
      <x:c r="F557" s="58" t="n">
        <x:f>F556/(1-'Scenario Inputs'!$C$29)</x:f>
        <x:v>53.15560596135744</x:v>
      </x:c>
      <x:c r="G557" s="58" t="n">
        <x:f>G556/(1-'Scenario Inputs'!$C$29)</x:f>
        <x:v>62.74851223168031</x:v>
      </x:c>
      <x:c r="H557" s="58" t="n">
        <x:f>H556/(1-'Scenario Inputs'!$C$29)</x:f>
        <x:v>82.66743217239578</x:v>
      </x:c>
      <x:c r="I557" s="58" t="n">
        <x:f>I556/(1-'Scenario Inputs'!$C$29)</x:f>
        <x:v>98.33564719996254</x:v>
      </x:c>
      <x:c r="J557" s="58" t="n">
        <x:f>J556/(1-'Scenario Inputs'!$C$29)</x:f>
        <x:v>112.61565022960617</x:v>
      </x:c>
      <x:c r="K557" s="58" t="n">
        <x:f>K556/(1-'Scenario Inputs'!$C$29)</x:f>
        <x:v>126.67419830927618</x:v>
      </x:c>
      <x:c r="L557" s="58" t="n">
        <x:f>L556/(1-'Scenario Inputs'!$C$29)</x:f>
        <x:v>140.7680089428766</x:v>
      </x:c>
      <x:c r="M557" s="58" t="n">
        <x:f>M556/(1-'Scenario Inputs'!$C$29)</x:f>
        <x:v>155.14313177164735</x:v>
      </x:c>
      <x:c r="N557" s="58" t="n">
        <x:f>N556/(1-'Scenario Inputs'!$C$29)</x:f>
        <x:v>185.15109858487895</x:v>
      </x:c>
      <x:c r="O557" s="58" t="n">
        <x:f>O556/(1-'Scenario Inputs'!$C$29)</x:f>
        <x:v>208.1000445599422</x:v>
      </x:c>
      <x:c r="P557" s="58" t="n">
        <x:f>P556/(1-'Scenario Inputs'!$C$29)</x:f>
        <x:v>228.49118214525095</x:v>
      </x:c>
      <x:c r="Q557" s="58" t="n">
        <x:f>Q556/(1-'Scenario Inputs'!$C$29)</x:f>
        <x:v>248.06013286223583</x:v>
      </x:c>
      <x:c r="R557" s="58" t="n">
        <x:f>R556/(1-'Scenario Inputs'!$C$29)</x:f>
        <x:v>267.1003109223526</x:v>
      </x:c>
      <x:c r="S557" s="58" t="n">
        <x:f>S556/(1-'Scenario Inputs'!$C$29)</x:f>
        <x:v>285.87601838081474</x:v>
      </x:c>
      <x:c r="T557" s="58" t="n">
        <x:f>T556/(1-'Scenario Inputs'!$C$29)</x:f>
        <x:v>322.80963283283023</x:v>
      </x:c>
      <x:c r="U557" s="58" t="n">
        <x:f>U556/(1-'Scenario Inputs'!$C$29)</x:f>
        <x:v>352.3408248852353</x:v>
      </x:c>
      <x:c r="V557" s="58" t="n">
        <x:f>V556/(1-'Scenario Inputs'!$C$29)</x:f>
        <x:v>379.3925509687352</x:v>
      </x:c>
      <x:c r="W557" s="58" t="n">
        <x:f>W556/(1-'Scenario Inputs'!$C$29)</x:f>
        <x:v>405.9164335995283</x:v>
      </x:c>
      <x:c r="X557" s="58" t="n">
        <x:f>X556/(1-'Scenario Inputs'!$C$29)</x:f>
        <x:v>432.26435139876446</x:v>
      </x:c>
      <x:c r="Y557" s="58" t="n">
        <x:f>Y556/(1-'Scenario Inputs'!$C$29)</x:f>
        <x:v>458.75863614463077</x:v>
      </x:c>
      <x:c r="Z557" s="58" t="n">
        <x:f>Z556/(1-'Scenario Inputs'!$C$29)</x:f>
        <x:v>495.69167930326137</x:v>
      </x:c>
      <x:c r="AA557" s="58" t="n">
        <x:f>AA556/(1-'Scenario Inputs'!$C$29)</x:f>
        <x:v>527.3759361790889</x:v>
      </x:c>
      <x:c r="AB557" s="58" t="n">
        <x:f>AB556/(1-'Scenario Inputs'!$C$29)</x:f>
        <x:v>557.1783516098612</x:v>
      </x:c>
      <x:c r="AC557" s="58" t="n">
        <x:f>AC556/(1-'Scenario Inputs'!$C$29)</x:f>
        <x:v>586.4399225873409</x:v>
      </x:c>
      <x:c r="AD557" s="58" t="n">
        <x:f>AD556/(1-'Scenario Inputs'!$C$29)</x:f>
        <x:v>615.4691624894363</x:v>
      </x:c>
      <x:c r="AE557" s="58" t="n">
        <x:f>AE556/(1-'Scenario Inputs'!$C$29)</x:f>
        <x:v>644.5431783605268</x:v>
      </x:c>
      <x:c r="AF557" s="58" t="n">
        <x:f>AF556/(1-'Scenario Inputs'!$C$29)</x:f>
        <x:v>690.442020020026</x:v>
      </x:c>
      <x:c r="AG557" s="58" t="n">
        <x:f>AG556/(1-'Scenario Inputs'!$C$29)</x:f>
        <x:v>729.9574913198549</x:v>
      </x:c>
      <x:c r="AH557" s="58" t="n">
        <x:f>AH556/(1-'Scenario Inputs'!$C$29)</x:f>
        <x:v>767.5898412974494</x:v>
      </x:c>
      <x:c r="AI557" s="58" t="n">
        <x:f>AI556/(1-'Scenario Inputs'!$C$29)</x:f>
        <x:v>805.1347203613946</x:v>
      </x:c>
      <x:c r="AJ557" s="58" t="n">
        <x:f>AJ556/(1-'Scenario Inputs'!$C$29)</x:f>
        <x:v>842.9302485608328</x:v>
      </x:c>
      <x:c r="AK557" s="58" t="n">
        <x:f>AK556/(1-'Scenario Inputs'!$C$29)</x:f>
        <x:v>881.2845640281554</x:v>
      </x:c>
    </x:row>
    <x:row r="558" ht="18" customHeight="1">
      <x:c r="A558" s="4" t="str"/>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c r="AA558" s="58"/>
      <x:c r="AB558" s="58"/>
      <x:c r="AC558" s="58"/>
      <x:c r="AD558" s="58"/>
      <x:c r="AE558" s="58"/>
      <x:c r="AF558" s="58"/>
      <x:c r="AG558" s="58"/>
      <x:c r="AH558" s="58"/>
      <x:c r="AI558" s="58"/>
      <x:c r="AJ558" s="58"/>
      <x:c r="AK558" s="58"/>
    </x:row>
    <x:row r="559" ht="18" customHeight="1">
      <x:c r="A559" s="74" t="str">
        <x:v>TOTAL ACTIVE PAID SUBSCRIBERS</x:v>
      </x:c>
      <x:c r="B559" s="75" t="n">
        <x:f>B549+B556</x:f>
        <x:v>22.310000000000002</x:v>
      </x:c>
      <x:c r="C559" s="75" t="n">
        <x:f>C549+C556</x:f>
        <x:v>40.770652</x:v>
      </x:c>
      <x:c r="D559" s="75" t="n">
        <x:f>D549+D556</x:f>
        <x:v>58.62597453</x:v>
      </x:c>
      <x:c r="E559" s="75" t="n">
        <x:f>E549+E556</x:f>
        <x:v>84.945139740088</x:v>
      </x:c>
      <x:c r="F559" s="75" t="n">
        <x:f>F549+F556</x:f>
        <x:v>110.2625094177167</x:v>
      </x:c>
      <x:c r="G559" s="75" t="n">
        <x:f>G549+G556</x:f>
        <x:v>136.0324570961539</x:v>
      </x:c>
      <x:c r="H559" s="75" t="n">
        <x:f>H549+H556</x:f>
        <x:v>179.77479079975214</x:v>
      </x:c>
      <x:c r="I559" s="75" t="n">
        <x:f>I549+I556</x:f>
        <x:v>220.77245850092862</x:v>
      </x:c>
      <x:c r="J559" s="75" t="n">
        <x:f>J549+J556</x:f>
        <x:v>261.9675004590521</x:v>
      </x:c>
      <x:c r="K559" s="75" t="n">
        <x:f>K549+K556</x:f>
        <x:v>304.67694379802543</x:v>
      </x:c>
      <x:c r="L559" s="75" t="n">
        <x:f>L549+L556</x:f>
        <x:v>349.35731001851445</x:v>
      </x:c>
      <x:c r="M559" s="75" t="n">
        <x:f>M549+M556</x:f>
        <x:v>396.47967345702637</x:v>
      </x:c>
      <x:c r="N559" s="75" t="n">
        <x:f>N549+N556</x:f>
        <x:v>464.64021061918515</x:v>
      </x:c>
      <x:c r="O559" s="75" t="n">
        <x:f>O549+O556</x:f>
        <x:v>527.2075138753744</x:v>
      </x:c>
      <x:c r="P559" s="75" t="n">
        <x:f>P549+P556</x:f>
        <x:v>588.6282739811198</x:v>
      </x:c>
      <x:c r="Q559" s="75" t="n">
        <x:f>Q549+Q556</x:f>
        <x:v>648.4698868723387</x:v>
      </x:c>
      <x:c r="R559" s="75" t="n">
        <x:f>R549+R556</x:f>
        <x:v>709.3063837088173</x:v>
      </x:c>
      <x:c r="S559" s="75" t="n">
        <x:f>S549+S556</x:f>
        <x:v>771.4869340772634</x:v>
      </x:c>
      <x:c r="T559" s="75" t="n">
        <x:f>T549+T556</x:f>
        <x:v>859.9674397641967</x:v>
      </x:c>
      <x:c r="U559" s="75" t="n">
        <x:f>U549+U556</x:f>
        <x:v>943.065958483767</x:v>
      </x:c>
      <x:c r="V559" s="75" t="n">
        <x:f>V549+V556</x:f>
        <x:v>1025.662532230811</x:v>
      </x:c>
      <x:c r="W559" s="75" t="n">
        <x:f>W549+W556</x:f>
        <x:v>1109.7586996720058</x:v>
      </x:c>
      <x:c r="X559" s="75" t="n">
        <x:f>X549+X556</x:f>
        <x:v>1195.8076707456582</x:v>
      </x:c>
      <x:c r="Y559" s="75" t="n">
        <x:f>Y549+Y556</x:f>
        <x:v>1284.237061109864</x:v>
      </x:c>
      <x:c r="Z559" s="75" t="n">
        <x:f>Z549+Z556</x:f>
        <x:v>1383.4707253523025</x:v>
      </x:c>
      <x:c r="AA559" s="75" t="n">
        <x:f>AA549+AA556</x:f>
        <x:v>1479.5204643749269</x:v>
      </x:c>
      <x:c r="AB559" s="75" t="n">
        <x:f>AB549+AB556</x:f>
        <x:v>1575.7361665885248</x:v>
      </x:c>
      <x:c r="AC559" s="75" t="n">
        <x:f>AC549+AC556</x:f>
        <x:v>1673.0835485567109</x:v>
      </x:c>
      <x:c r="AD559" s="75" t="n">
        <x:f>AD549+AD556</x:f>
        <x:v>1772.3718348256577</x:v>
      </x:c>
      <x:c r="AE559" s="75" t="n">
        <x:f>AE549+AE556</x:f>
        <x:v>1873.9605580388502</x:v>
      </x:c>
      <x:c r="AF559" s="75" t="n">
        <x:f>AF549+AF556</x:f>
        <x:v>1995.6587009458738</x:v>
      </x:c>
      <x:c r="AG559" s="75" t="n">
        <x:f>AG549+AG556</x:f>
        <x:v>2113.6092176075117</x:v>
      </x:c>
      <x:c r="AH559" s="75" t="n">
        <x:f>AH549+AH556</x:f>
        <x:v>2232.2734161413414</x:v>
      </x:c>
      <x:c r="AI559" s="75" t="n">
        <x:f>AI549+AI556</x:f>
        <x:v>2353.4904118196646</x:v>
      </x:c>
      <x:c r="AJ559" s="75" t="n">
        <x:f>AJ549+AJ556</x:f>
        <x:v>2477.686445771723</x:v>
      </x:c>
      <x:c r="AK559" s="75" t="n">
        <x:f>AK549+AK556</x:f>
        <x:v>2605.259209648343</x:v>
      </x:c>
    </x:row>
    <x:row r="560" ht="18" customHeight="1">
      <x:c r="A560" s="4" t="str">
        <x:v>Estimated active free users</x:v>
      </x:c>
      <x:c r="B560" s="58" t="n">
        <x:f>MAX('Commercial Inputs'!$B$27,B559*'Commercial Inputs'!$B$26)</x:f>
        <x:v>500</x:v>
      </x:c>
      <x:c r="C560" s="58" t="n">
        <x:f>MAX('Commercial Inputs'!$B$27,C559*'Commercial Inputs'!$B$26)</x:f>
        <x:v>815.4130399999999</x:v>
      </x:c>
      <x:c r="D560" s="58" t="n">
        <x:f>MAX('Commercial Inputs'!$B$27,D559*'Commercial Inputs'!$B$26)</x:f>
        <x:v>1172.5194906</x:v>
      </x:c>
      <x:c r="E560" s="58" t="n">
        <x:f>MAX('Commercial Inputs'!$B$27,E559*'Commercial Inputs'!$B$26)</x:f>
        <x:v>1698.90279480176</x:v>
      </x:c>
      <x:c r="F560" s="58" t="n">
        <x:f>MAX('Commercial Inputs'!$B$27,F559*'Commercial Inputs'!$B$26)</x:f>
        <x:v>2205.250188354334</x:v>
      </x:c>
      <x:c r="G560" s="58" t="n">
        <x:f>MAX('Commercial Inputs'!$B$27,G559*'Commercial Inputs'!$B$26)</x:f>
        <x:v>2720.649141923078</x:v>
      </x:c>
      <x:c r="H560" s="58" t="n">
        <x:f>MAX('Commercial Inputs'!$B$27,H559*'Commercial Inputs'!$B$26)</x:f>
        <x:v>3595.495815995043</x:v>
      </x:c>
      <x:c r="I560" s="58" t="n">
        <x:f>MAX('Commercial Inputs'!$B$27,I559*'Commercial Inputs'!$B$26)</x:f>
        <x:v>4415.449170018573</x:v>
      </x:c>
      <x:c r="J560" s="58" t="n">
        <x:f>MAX('Commercial Inputs'!$B$27,J559*'Commercial Inputs'!$B$26)</x:f>
        <x:v>5239.350009181042</x:v>
      </x:c>
      <x:c r="K560" s="58" t="n">
        <x:f>MAX('Commercial Inputs'!$B$27,K559*'Commercial Inputs'!$B$26)</x:f>
        <x:v>6093.538875960508</x:v>
      </x:c>
      <x:c r="L560" s="58" t="n">
        <x:f>MAX('Commercial Inputs'!$B$27,L559*'Commercial Inputs'!$B$26)</x:f>
        <x:v>6987.146200370289</x:v>
      </x:c>
      <x:c r="M560" s="58" t="n">
        <x:f>MAX('Commercial Inputs'!$B$27,M559*'Commercial Inputs'!$B$26)</x:f>
        <x:v>7929.593469140527</x:v>
      </x:c>
      <x:c r="N560" s="58" t="n">
        <x:f>MAX('Commercial Inputs'!$B$27,N559*'Commercial Inputs'!$B$26)</x:f>
        <x:v>9292.804212383704</x:v>
      </x:c>
      <x:c r="O560" s="58" t="n">
        <x:f>MAX('Commercial Inputs'!$B$27,O559*'Commercial Inputs'!$B$26)</x:f>
        <x:v>10544.150277507488</x:v>
      </x:c>
      <x:c r="P560" s="58" t="n">
        <x:f>MAX('Commercial Inputs'!$B$27,P559*'Commercial Inputs'!$B$26)</x:f>
        <x:v>11772.565479622397</x:v>
      </x:c>
      <x:c r="Q560" s="58" t="n">
        <x:f>MAX('Commercial Inputs'!$B$27,Q559*'Commercial Inputs'!$B$26)</x:f>
        <x:v>12969.397737446776</x:v>
      </x:c>
      <x:c r="R560" s="58" t="n">
        <x:f>MAX('Commercial Inputs'!$B$27,R559*'Commercial Inputs'!$B$26)</x:f>
        <x:v>14186.127674176347</x:v>
      </x:c>
      <x:c r="S560" s="58" t="n">
        <x:f>MAX('Commercial Inputs'!$B$27,S559*'Commercial Inputs'!$B$26)</x:f>
        <x:v>15429.738681545268</x:v>
      </x:c>
      <x:c r="T560" s="58" t="n">
        <x:f>MAX('Commercial Inputs'!$B$27,T559*'Commercial Inputs'!$B$26)</x:f>
        <x:v>17199.348795283935</x:v>
      </x:c>
      <x:c r="U560" s="58" t="n">
        <x:f>MAX('Commercial Inputs'!$B$27,U559*'Commercial Inputs'!$B$26)</x:f>
        <x:v>18861.31916967534</x:v>
      </x:c>
      <x:c r="V560" s="58" t="n">
        <x:f>MAX('Commercial Inputs'!$B$27,V559*'Commercial Inputs'!$B$26)</x:f>
        <x:v>20513.25064461622</x:v>
      </x:c>
      <x:c r="W560" s="58" t="n">
        <x:f>MAX('Commercial Inputs'!$B$27,W559*'Commercial Inputs'!$B$26)</x:f>
        <x:v>22195.173993440116</x:v>
      </x:c>
      <x:c r="X560" s="58" t="n">
        <x:f>MAX('Commercial Inputs'!$B$27,X559*'Commercial Inputs'!$B$26)</x:f>
        <x:v>23916.153414913166</x:v>
      </x:c>
      <x:c r="Y560" s="58" t="n">
        <x:f>MAX('Commercial Inputs'!$B$27,Y559*'Commercial Inputs'!$B$26)</x:f>
        <x:v>25684.74122219728</x:v>
      </x:c>
      <x:c r="Z560" s="58" t="n">
        <x:f>MAX('Commercial Inputs'!$B$27,Z559*'Commercial Inputs'!$B$26)</x:f>
        <x:v>27669.41450704605</x:v>
      </x:c>
      <x:c r="AA560" s="58" t="n">
        <x:f>MAX('Commercial Inputs'!$B$27,AA559*'Commercial Inputs'!$B$26)</x:f>
        <x:v>29590.409287498536</x:v>
      </x:c>
      <x:c r="AB560" s="58" t="n">
        <x:f>MAX('Commercial Inputs'!$B$27,AB559*'Commercial Inputs'!$B$26)</x:f>
        <x:v>31514.723331770496</x:v>
      </x:c>
      <x:c r="AC560" s="58" t="n">
        <x:f>MAX('Commercial Inputs'!$B$27,AC559*'Commercial Inputs'!$B$26)</x:f>
        <x:v>33461.67097113422</x:v>
      </x:c>
      <x:c r="AD560" s="58" t="n">
        <x:f>MAX('Commercial Inputs'!$B$27,AD559*'Commercial Inputs'!$B$26)</x:f>
        <x:v>35447.436696513156</x:v>
      </x:c>
      <x:c r="AE560" s="58" t="n">
        <x:f>MAX('Commercial Inputs'!$B$27,AE559*'Commercial Inputs'!$B$26)</x:f>
        <x:v>37479.211160777006</x:v>
      </x:c>
      <x:c r="AF560" s="58" t="n">
        <x:f>MAX('Commercial Inputs'!$B$27,AF559*'Commercial Inputs'!$B$26)</x:f>
        <x:v>39913.174018917474</x:v>
      </x:c>
      <x:c r="AG560" s="58" t="n">
        <x:f>MAX('Commercial Inputs'!$B$27,AG559*'Commercial Inputs'!$B$26)</x:f>
        <x:v>42272.18435215023</x:v>
      </x:c>
      <x:c r="AH560" s="58" t="n">
        <x:f>MAX('Commercial Inputs'!$B$27,AH559*'Commercial Inputs'!$B$26)</x:f>
        <x:v>44645.468322826826</x:v>
      </x:c>
      <x:c r="AI560" s="58" t="n">
        <x:f>MAX('Commercial Inputs'!$B$27,AI559*'Commercial Inputs'!$B$26)</x:f>
        <x:v>47069.80823639329</x:v>
      </x:c>
      <x:c r="AJ560" s="58" t="n">
        <x:f>MAX('Commercial Inputs'!$B$27,AJ559*'Commercial Inputs'!$B$26)</x:f>
        <x:v>49553.72891543446</x:v>
      </x:c>
      <x:c r="AK560" s="58" t="n">
        <x:f>MAX('Commercial Inputs'!$B$27,AK559*'Commercial Inputs'!$B$26)</x:f>
        <x:v>52105.18419296686</x:v>
      </x:c>
    </x:row>
    <x:row r="561" ht="18" customHeight="1">
      <x:c r="A561" s="4" t="str">
        <x:v>Earned annual-plan revenue (INR)</x:v>
      </x:c>
      <x:c r="B561" s="58" t="n">
        <x:f>B549*$B$609/'Commercial Inputs'!$B$46</x:f>
        <x:v>2109.8471205649726</x:v>
      </x:c>
      <x:c r="C561" s="58" t="n">
        <x:f>C549*$B$609/'Commercial Inputs'!$B$46</x:f>
        <x:v>4384.812711435029</x:v>
      </x:c>
      <x:c r="D561" s="58" t="n">
        <x:f>D549*$B$609/'Commercial Inputs'!$B$46</x:f>
        <x:v>6844.710989046781</x:v>
      </x:c>
      <x:c r="E561" s="58" t="n">
        <x:f>E549*$B$609/'Commercial Inputs'!$B$46</x:f>
        <x:v>10245.593743831829</x:v>
      </x:c>
      <x:c r="F561" s="58" t="n">
        <x:f>F549*$B$609/'Commercial Inputs'!$B$46</x:f>
        <x:v>13878.45606086566</x:v>
      </x:c>
      <x:c r="G561" s="58" t="n">
        <x:f>G549*$B$609/'Commercial Inputs'!$B$46</x:f>
        <x:v>17771.13548761813</x:v>
      </x:c>
      <x:c r="H561" s="58" t="n">
        <x:f>H549*$B$609/'Commercial Inputs'!$B$46</x:f>
        <x:v>23544.839791304435</x:v>
      </x:c>
      <x:c r="I561" s="58" t="n">
        <x:f>I549*$B$609/'Commercial Inputs'!$B$46</x:f>
        <x:v>29644.4586774218</x:v>
      </x:c>
      <x:c r="J561" s="58" t="n">
        <x:f>J549*$B$609/'Commercial Inputs'!$B$46</x:f>
        <x:v>36109.101895861946</x:v>
      </x:c>
      <x:c r="K561" s="58" t="n">
        <x:f>K549*$B$609/'Commercial Inputs'!$B$46</x:f>
        <x:v>42982.57236650361</x:v>
      </x:c>
      <x:c r="L561" s="58" t="n">
        <x:f>L549*$B$609/'Commercial Inputs'!$B$46</x:f>
        <x:v>50313.92935961098</x:v>
      </x:c>
      <x:c r="M561" s="58" t="n">
        <x:f>M549*$B$609/'Commercial Inputs'!$B$46</x:f>
        <x:v>58158.11925787993</x:v>
      </x:c>
      <x:c r="N561" s="58" t="n">
        <x:f>N549*$B$609/'Commercial Inputs'!$B$46</x:f>
        <x:v>67391.1377881448</x:v>
      </x:c>
      <x:c r="O561" s="58" t="n">
        <x:f>O549*$B$609/'Commercial Inputs'!$B$46</x:f>
        <x:v>76920.63577768565</x:v>
      </x:c>
      <x:c r="P561" s="58" t="n">
        <x:f>P549*$B$609/'Commercial Inputs'!$B$46</x:f>
        <x:v>86765.64882342673</x:v>
      </x:c>
      <x:c r="Q561" s="58" t="n">
        <x:f>Q549*$B$609/'Commercial Inputs'!$B$46</x:f>
        <x:v>96425.86679244005</x:v>
      </x:c>
      <x:c r="R561" s="58" t="n">
        <x:f>R549*$B$609/'Commercial Inputs'!$B$46</x:f>
        <x:v>106442.56320281413</x:v>
      </x:c>
      <x:c r="S561" s="58" t="n">
        <x:f>S549*$B$609/'Commercial Inputs'!$B$46</x:f>
        <x:v>116837.67738947242</x:v>
      </x:c>
      <x:c r="T561" s="58" t="n">
        <x:f>T549*$B$609/'Commercial Inputs'!$B$46</x:f>
        <x:v>129286.5555213837</x:v>
      </x:c>
      <x:c r="U561" s="58" t="n">
        <x:f>U549*$B$609/'Commercial Inputs'!$B$46</x:f>
        <x:v>142160.60963844336</x:v>
      </x:c>
      <x:c r="V561" s="58" t="n">
        <x:f>V549*$B$609/'Commercial Inputs'!$B$46</x:f>
        <x:v>155484.61088190548</x:v>
      </x:c>
      <x:c r="W561" s="58" t="n">
        <x:f>W549*$B$609/'Commercial Inputs'!$B$46</x:f>
        <x:v>169284.20293181765</x:v>
      </x:c>
      <x:c r="X561" s="58" t="n">
        <x:f>X549*$B$609/'Commercial Inputs'!$B$46</x:f>
        <x:v>183585.83871182342</x:v>
      </x:c>
      <x:c r="Y561" s="58" t="n">
        <x:f>Y549*$B$609/'Commercial Inputs'!$B$46</x:f>
        <x:v>198416.6960585531</x:v>
      </x:c>
      <x:c r="Z561" s="58" t="n">
        <x:f>Z549*$B$609/'Commercial Inputs'!$B$46</x:f>
        <x:v>213408.00917441363</x:v>
      </x:c>
      <x:c r="AA561" s="58" t="n">
        <x:f>AA549*$B$609/'Commercial Inputs'!$B$46</x:f>
        <x:v>228850.27669069517</x:v>
      </x:c>
      <x:c r="AB561" s="58" t="n">
        <x:f>AB549*$B$609/'Commercial Inputs'!$B$46</x:f>
        <x:v>244763.34684953373</x:v>
      </x:c>
      <x:c r="AC561" s="58" t="n">
        <x:f>AC549*$B$609/'Commercial Inputs'!$B$46</x:f>
        <x:v>261068.00569177643</x:v>
      </x:c>
      <x:c r="AD561" s="58" t="n">
        <x:f>AD549*$B$609/'Commercial Inputs'!$B$46</x:f>
        <x:v>277884.8215162197</x:v>
      </x:c>
      <x:c r="AE561" s="58" t="n">
        <x:f>AE549*$B$609/'Commercial Inputs'!$B$46</x:f>
        <x:v>295235.24714871764</x:v>
      </x:c>
      <x:c r="AF561" s="58" t="n">
        <x:f>AF549*$B$609/'Commercial Inputs'!$B$46</x:f>
        <x:v>313481.56311076414</x:v>
      </x:c>
      <x:c r="AG561" s="58" t="n">
        <x:f>AG549*$B$609/'Commercial Inputs'!$B$46</x:f>
        <x:v>332305.75660114817</x:v>
      </x:c>
      <x:c r="AH561" s="58" t="n">
        <x:f>AH549*$B$609/'Commercial Inputs'!$B$46</x:f>
        <x:v>351730.54005113017</x:v>
      </x:c>
      <x:c r="AI561" s="58" t="n">
        <x:f>AI549*$B$609/'Commercial Inputs'!$B$46</x:f>
        <x:v>371778.92563606665</x:v>
      </x:c>
      <x:c r="AJ561" s="58" t="n">
        <x:f>AJ549*$B$609/'Commercial Inputs'!$B$46</x:f>
        <x:v>392474.14547781664</x:v>
      </x:c>
      <x:c r="AK561" s="58" t="n">
        <x:f>AK549*$B$609/'Commercial Inputs'!$B$46</x:f>
        <x:v>413839.5577076609</x:v>
      </x:c>
    </x:row>
    <x:row r="562" ht="18" customHeight="1">
      <x:c r="A562" s="4" t="str">
        <x:v>Earned monthly-plan revenue (INR)</x:v>
      </x:c>
      <x:c r="B562" s="58" t="n">
        <x:f>B556*$B$610</x:f>
        <x:v>5459.704712542372</x:v>
      </x:c>
      <x:c r="C562" s="58" t="n">
        <x:f>C556*$B$610</x:f>
        <x:v>9064.534093614913</x:v>
      </x:c>
      <x:c r="D562" s="58" t="n">
        <x:f>D556*$B$610</x:f>
        <x:v>12103.433035139562</x:v>
      </x:c>
      <x:c r="E562" s="58" t="n">
        <x:f>E556*$B$610</x:f>
        <x:v>16971.112693138082</x:v>
      </x:c>
      <x:c r="F562" s="58" t="n">
        <x:f>F556*$B$610</x:f>
        <x:v>21029.993649657146</x:v>
      </x:c>
      <x:c r="G562" s="58" t="n">
        <x:f>G556*$B$610</x:f>
        <x:v>24825.24260408172</x:v>
      </x:c>
      <x:c r="H562" s="58" t="n">
        <x:f>H556*$B$610</x:f>
        <x:v>32705.780362710597</x:v>
      </x:c>
      <x:c r="I562" s="58" t="n">
        <x:f>I556*$B$610</x:f>
        <x:v>38904.6084368507</x:v>
      </x:c>
      <x:c r="J562" s="58" t="n">
        <x:f>J556*$B$610</x:f>
        <x:v>44554.2171206235</x:v>
      </x:c>
      <x:c r="K562" s="58" t="n">
        <x:f>K556*$B$610</x:f>
        <x:v>50116.21141062915</x:v>
      </x:c>
      <x:c r="L562" s="58" t="n">
        <x:f>L556*$B$610</x:f>
        <x:v>55692.156652219586</x:v>
      </x:c>
      <x:c r="M562" s="58" t="n">
        <x:f>M556*$B$610</x:f>
        <x:v>61379.39765595981</x:v>
      </x:c>
      <x:c r="N562" s="58" t="n">
        <x:f>N556*$B$610</x:f>
        <x:v>73251.47286059863</x:v>
      </x:c>
      <x:c r="O562" s="58" t="n">
        <x:f>O556*$B$610</x:f>
        <x:v>82330.78217131842</x:v>
      </x:c>
      <x:c r="P562" s="58" t="n">
        <x:f>P556*$B$610</x:f>
        <x:v>90398.14376324668</x:v>
      </x:c>
      <x:c r="Q562" s="58" t="n">
        <x:f>Q556*$B$610</x:f>
        <x:v>98140.22292622001</x:v>
      </x:c>
      <x:c r="R562" s="58" t="n">
        <x:f>R556*$B$610</x:f>
        <x:v>105673.1033524856</x:v>
      </x:c>
      <x:c r="S562" s="58" t="n">
        <x:f>S556*$B$610</x:f>
        <x:v>113101.35106931768</x:v>
      </x:c>
      <x:c r="T562" s="58" t="n">
        <x:f>T556*$B$610</x:f>
        <x:v>127713.4256254693</x:v>
      </x:c>
      <x:c r="U562" s="58" t="n">
        <x:f>U556*$B$610</x:f>
        <x:v>139396.8740613758</x:v>
      </x:c>
      <x:c r="V562" s="58" t="n">
        <x:f>V556*$B$610</x:f>
        <x:v>150099.36945126636</x:v>
      </x:c>
      <x:c r="W562" s="58" t="n">
        <x:f>W556*$B$610</x:f>
        <x:v>160593.0337262129</x:v>
      </x:c>
      <x:c r="X562" s="58" t="n">
        <x:f>X556*$B$610</x:f>
        <x:v>171017.0808982541</x:v>
      </x:c>
      <x:c r="Y562" s="58" t="n">
        <x:f>Y556*$B$610</x:f>
        <x:v>181499.03533901102</x:v>
      </x:c>
      <x:c r="Z562" s="58" t="n">
        <x:f>Z556*$B$610</x:f>
        <x:v>196110.8838739173</x:v>
      </x:c>
      <x:c r="AA562" s="58" t="n">
        <x:f>AA556*$B$610</x:f>
        <x:v>208646.15101727663</x:v>
      </x:c>
      <x:c r="AB562" s="58" t="n">
        <x:f>AB556*$B$610</x:f>
        <x:v>220436.90376890945</x:v>
      </x:c>
      <x:c r="AC562" s="58" t="n">
        <x:f>AC556*$B$610</x:f>
        <x:v>232013.6818096442</x:v>
      </x:c>
      <x:c r="AD562" s="58" t="n">
        <x:f>AD556*$B$610</x:f>
        <x:v>243498.54252667265</x:v>
      </x:c>
      <x:c r="AE562" s="58" t="n">
        <x:f>AE556*$B$610</x:f>
        <x:v>255001.11799507297</x:v>
      </x:c>
      <x:c r="AF562" s="58" t="n">
        <x:f>AF556*$B$610</x:f>
        <x:v>273160.11235076893</x:v>
      </x:c>
      <x:c r="AG562" s="58" t="n">
        <x:f>AG556*$B$610</x:f>
        <x:v>288793.64893584204</x:v>
      </x:c>
      <x:c r="AH562" s="58" t="n">
        <x:f>AH556*$B$610</x:f>
        <x:v>303682.1647703867</x:v>
      </x:c>
      <x:c r="AI562" s="58" t="n">
        <x:f>AI556*$B$610</x:f>
        <x:v>318536.0744194631</x:v>
      </x:c>
      <x:c r="AJ562" s="58" t="n">
        <x:f>AJ556*$B$610</x:f>
        <x:v>333489.1485805864</x:v>
      </x:c>
      <x:c r="AK562" s="58" t="n">
        <x:f>AK556*$B$610</x:f>
        <x:v>348663.2961822732</x:v>
      </x:c>
    </x:row>
    <x:row r="563" ht="18" customHeight="1">
      <x:c r="A563" s="74" t="str">
        <x:v>EARNED REVENUE, NET OF SALES TAX / REFUNDS</x:v>
      </x:c>
      <x:c r="B563" s="75" t="n">
        <x:f>SUM(B561:B562)</x:f>
        <x:v>7569.551833107345</x:v>
      </x:c>
      <x:c r="C563" s="75" t="n">
        <x:f>SUM(C561:C562)</x:f>
        <x:v>13449.346805049943</x:v>
      </x:c>
      <x:c r="D563" s="75" t="n">
        <x:f>SUM(D561:D562)</x:f>
        <x:v>18948.144024186342</x:v>
      </x:c>
      <x:c r="E563" s="75" t="n">
        <x:f>SUM(E561:E562)</x:f>
        <x:v>27216.70643696991</x:v>
      </x:c>
      <x:c r="F563" s="75" t="n">
        <x:f>SUM(F561:F562)</x:f>
        <x:v>34908.44971052281</x:v>
      </x:c>
      <x:c r="G563" s="75" t="n">
        <x:f>SUM(G561:G562)</x:f>
        <x:v>42596.37809169985</x:v>
      </x:c>
      <x:c r="H563" s="75" t="n">
        <x:f>SUM(H561:H562)</x:f>
        <x:v>56250.620154015036</x:v>
      </x:c>
      <x:c r="I563" s="75" t="n">
        <x:f>SUM(I561:I562)</x:f>
        <x:v>68549.0671142725</x:v>
      </x:c>
      <x:c r="J563" s="75" t="n">
        <x:f>SUM(J561:J562)</x:f>
        <x:v>80663.31901648545</x:v>
      </x:c>
      <x:c r="K563" s="75" t="n">
        <x:f>SUM(K561:K562)</x:f>
        <x:v>93098.78377713276</x:v>
      </x:c>
      <x:c r="L563" s="75" t="n">
        <x:f>SUM(L561:L562)</x:f>
        <x:v>106006.08601183057</x:v>
      </x:c>
      <x:c r="M563" s="75" t="n">
        <x:f>SUM(M561:M562)</x:f>
        <x:v>119537.51691383973</x:v>
      </x:c>
      <x:c r="N563" s="75" t="n">
        <x:f>SUM(N561:N562)</x:f>
        <x:v>140642.61064874343</x:v>
      </x:c>
      <x:c r="O563" s="75" t="n">
        <x:f>SUM(O561:O562)</x:f>
        <x:v>159251.41794900407</x:v>
      </x:c>
      <x:c r="P563" s="75" t="n">
        <x:f>SUM(P561:P562)</x:f>
        <x:v>177163.7925866734</x:v>
      </x:c>
      <x:c r="Q563" s="75" t="n">
        <x:f>SUM(Q561:Q562)</x:f>
        <x:v>194566.08971866005</x:v>
      </x:c>
      <x:c r="R563" s="75" t="n">
        <x:f>SUM(R561:R562)</x:f>
        <x:v>212115.66655529971</x:v>
      </x:c>
      <x:c r="S563" s="75" t="n">
        <x:f>SUM(S561:S562)</x:f>
        <x:v>229939.0284587901</x:v>
      </x:c>
      <x:c r="T563" s="75" t="n">
        <x:f>SUM(T561:T562)</x:f>
        <x:v>256999.981146853</x:v>
      </x:c>
      <x:c r="U563" s="75" t="n">
        <x:f>SUM(U561:U562)</x:f>
        <x:v>281557.4836998192</x:v>
      </x:c>
      <x:c r="V563" s="75" t="n">
        <x:f>SUM(V561:V562)</x:f>
        <x:v>305583.98033317184</x:v>
      </x:c>
      <x:c r="W563" s="75" t="n">
        <x:f>SUM(W561:W562)</x:f>
        <x:v>329877.23665803054</x:v>
      </x:c>
      <x:c r="X563" s="75" t="n">
        <x:f>SUM(X561:X562)</x:f>
        <x:v>354602.9196100775</x:v>
      </x:c>
      <x:c r="Y563" s="75" t="n">
        <x:f>SUM(Y561:Y562)</x:f>
        <x:v>379915.7313975641</x:v>
      </x:c>
      <x:c r="Z563" s="75" t="n">
        <x:f>SUM(Z561:Z562)</x:f>
        <x:v>409518.8930483309</x:v>
      </x:c>
      <x:c r="AA563" s="75" t="n">
        <x:f>SUM(AA561:AA562)</x:f>
        <x:v>437496.4277079718</x:v>
      </x:c>
      <x:c r="AB563" s="75" t="n">
        <x:f>SUM(AB561:AB562)</x:f>
        <x:v>465200.2506184432</x:v>
      </x:c>
      <x:c r="AC563" s="75" t="n">
        <x:f>SUM(AC561:AC562)</x:f>
        <x:v>493081.6875014206</x:v>
      </x:c>
      <x:c r="AD563" s="75" t="n">
        <x:f>SUM(AD561:AD562)</x:f>
        <x:v>521383.36404289235</x:v>
      </x:c>
      <x:c r="AE563" s="75" t="n">
        <x:f>SUM(AE561:AE562)</x:f>
        <x:v>550236.3651437906</x:v>
      </x:c>
      <x:c r="AF563" s="75" t="n">
        <x:f>SUM(AF561:AF562)</x:f>
        <x:v>586641.675461533</x:v>
      </x:c>
      <x:c r="AG563" s="75" t="n">
        <x:f>SUM(AG561:AG562)</x:f>
        <x:v>621099.4055369901</x:v>
      </x:c>
      <x:c r="AH563" s="75" t="n">
        <x:f>SUM(AH561:AH562)</x:f>
        <x:v>655412.7048215169</x:v>
      </x:c>
      <x:c r="AI563" s="75" t="n">
        <x:f>SUM(AI561:AI562)</x:f>
        <x:v>690315.0000555298</x:v>
      </x:c>
      <x:c r="AJ563" s="75" t="n">
        <x:f>SUM(AJ561:AJ562)</x:f>
        <x:v>725963.294058403</x:v>
      </x:c>
      <x:c r="AK563" s="75" t="n">
        <x:f>SUM(AK561:AK562)</x:f>
        <x:v>762502.853889934</x:v>
      </x:c>
    </x:row>
    <x:row r="564" ht="18" customHeight="1">
      <x:c r="A564" s="4" t="str">
        <x:v>Annual gross billings, ex-tax (INR)</x:v>
      </x:c>
      <x:c r="B564" s="58" t="n">
        <x:f>B550*$B$609</x:f>
        <x:v>26101.20149152543</x:v>
      </x:c>
      <x:c r="C564" s="58" t="n">
        <x:f>C550*$B$609</x:f>
        <x:v>28143.904216949162</x:v>
      </x:c>
      <x:c r="D564" s="58" t="n">
        <x:f>D550*$B$609</x:f>
        <x:v>30431.731269423733</x:v>
      </x:c>
      <x:c r="E564" s="58" t="n">
        <x:f>E550*$B$609</x:f>
        <x:v>42072.776347856285</x:v>
      </x:c>
      <x:c r="F564" s="58" t="n">
        <x:f>F550*$B$609</x:f>
        <x:v>44942.62660248039</x:v>
      </x:c>
      <x:c r="G564" s="58" t="n">
        <x:f>G550*$B$609</x:f>
        <x:v>48156.85888765939</x:v>
      </x:c>
      <x:c r="H564" s="58" t="n">
        <x:f>H550*$B$609</x:f>
        <x:v>71427.26973632543</x:v>
      </x:c>
      <x:c r="I564" s="58" t="n">
        <x:f>I550*$B$609</x:f>
        <x:v>75459.20271485396</x:v>
      </x:c>
      <x:c r="J564" s="58" t="n">
        <x:f>J550*$B$609</x:f>
        <x:v>79974.96765080593</x:v>
      </x:c>
      <x:c r="K564" s="58" t="n">
        <x:f>K550*$B$609</x:f>
        <x:v>85032.62437907216</x:v>
      </x:c>
      <x:c r="L564" s="58" t="n">
        <x:f>L550*$B$609</x:f>
        <x:v>90697.19991473031</x:v>
      </x:c>
      <x:c r="M564" s="58" t="n">
        <x:f>M550*$B$609</x:f>
        <x:v>97041.52451466743</x:v>
      </x:c>
      <x:c r="N564" s="58" t="n">
        <x:f>N550*$B$609</x:f>
        <x:v>140324.11114428664</x:v>
      </x:c>
      <x:c r="O564" s="58" t="n">
        <x:f>O550*$B$609</x:f>
        <x:v>146034.60099477426</x:v>
      </x:c>
      <x:c r="P564" s="58" t="n">
        <x:f>P550*$B$609</x:f>
        <x:v>152225.70709302483</x:v>
      </x:c>
      <x:c r="Q564" s="58" t="n">
        <x:f>Q550*$B$609</x:f>
        <x:v>161580.62751090757</x:v>
      </x:c>
      <x:c r="R564" s="58" t="n">
        <x:f>R550*$B$609</x:f>
        <x:v>168860.52033906677</x:v>
      </x:c>
      <x:c r="S564" s="58" t="n">
        <x:f>S550*$B$609</x:f>
        <x:v>176756.20965044256</x:v>
      </x:c>
      <x:c r="T564" s="58" t="n">
        <x:f>T550*$B$609</x:f>
        <x:v>225434.0095125474</x:v>
      </x:c>
      <x:c r="U564" s="58" t="n">
        <x:f>U550*$B$609</x:f>
        <x:v>234725.85158569503</x:v>
      </x:c>
      <x:c r="V564" s="58" t="n">
        <x:f>V550*$B$609</x:f>
        <x:v>244807.97272456443</x:v>
      </x:c>
      <x:c r="W564" s="58" t="n">
        <x:f>W550*$B$609</x:f>
        <x:v>255749.2270583979</x:v>
      </x:c>
      <x:c r="X564" s="58" t="n">
        <x:f>X550*$B$609</x:f>
        <x:v>267624.65286325506</x:v>
      </x:c>
      <x:c r="Y564" s="58" t="n">
        <x:f>Y550*$B$609</x:f>
        <x:v>280516.0483917359</x:v>
      </x:c>
      <x:c r="Z564" s="58" t="n">
        <x:f>Z550*$B$609</x:f>
        <x:v>325783.65484565415</x:v>
      </x:c>
      <x:c r="AA564" s="58" t="n">
        <x:f>AA550*$B$609</x:f>
        <x:v>337072.96202093776</x:v>
      </x:c>
      <x:c r="AB564" s="58" t="n">
        <x:f>AB550*$B$609</x:f>
        <x:v>349088.43070752244</x:v>
      </x:c>
      <x:c r="AC564" s="58" t="n">
        <x:f>AC550*$B$609</x:f>
        <x:v>363287.747208755</x:v>
      </x:c>
      <x:c r="AD564" s="58" t="n">
        <x:f>AD550*$B$609</x:f>
        <x:v>376903.60270331235</x:v>
      </x:c>
      <x:c r="AE564" s="58" t="n">
        <x:f>AE550*$B$609</x:f>
        <x:v>391400.65046484995</x:v>
      </x:c>
      <x:c r="AF564" s="58" t="n">
        <x:f>AF550*$B$609</x:f>
        <x:v>451161.62966157665</x:v>
      </x:c>
      <x:c r="AG564" s="58" t="n">
        <x:f>AG550*$B$609</x:f>
        <x:v>467602.4720852915</x:v>
      </x:c>
      <x:c r="AH564" s="58" t="n">
        <x:f>AH550*$B$609</x:f>
        <x:v>485114.572105785</x:v>
      </x:c>
      <x:c r="AI564" s="58" t="n">
        <x:f>AI550*$B$609</x:f>
        <x:v>503770.4920266849</x:v>
      </x:c>
      <x:c r="AJ564" s="58" t="n">
        <x:f>AJ550*$B$609</x:f>
        <x:v>523647.99111170846</x:v>
      </x:c>
      <x:c r="AK564" s="58" t="n">
        <x:f>AK550*$B$609</x:f>
        <x:v>544830.4264929019</x:v>
      </x:c>
    </x:row>
    <x:row r="565" ht="18" customHeight="1">
      <x:c r="A565" s="4" t="str">
        <x:v>Monthly gross billings, ex-tax (INR)</x:v>
      </x:c>
      <x:c r="B565" s="58" t="n">
        <x:f>B557*$B$610</x:f>
        <x:v>5628.561559322034</x:v>
      </x:c>
      <x:c r="C565" s="58" t="n">
        <x:f>C557*$B$610</x:f>
        <x:v>9344.880508881355</x:v>
      </x:c>
      <x:c r="D565" s="58" t="n">
        <x:f>D557*$B$610</x:f>
        <x:v>12477.766015607796</x:v>
      </x:c>
      <x:c r="E565" s="58" t="n">
        <x:f>E557*$B$610</x:f>
        <x:v>17495.99246715266</x:v>
      </x:c>
      <x:c r="F565" s="58" t="n">
        <x:f>F557*$B$610</x:f>
        <x:v>21680.405824388814</x:v>
      </x:c>
      <x:c r="G565" s="58" t="n">
        <x:f>G557*$B$610</x:f>
        <x:v>25593.03361245538</x:v>
      </x:c>
      <x:c r="H565" s="58" t="n">
        <x:f>H557*$B$610</x:f>
        <x:v>33717.29934300061</x:v>
      </x:c>
      <x:c r="I565" s="58" t="n">
        <x:f>I557*$B$610</x:f>
        <x:v>40107.84374933062</x:v>
      </x:c>
      <x:c r="J565" s="58" t="n">
        <x:f>J557*$B$610</x:f>
        <x:v>45932.182598580934</x:v>
      </x:c>
      <x:c r="K565" s="58" t="n">
        <x:f>K557*$B$610</x:f>
        <x:v>51666.19733054551</x:v>
      </x:c>
      <x:c r="L565" s="58" t="n">
        <x:f>L557*$B$610</x:f>
        <x:v>57414.59448682432</x:v>
      </x:c>
      <x:c r="M565" s="58" t="n">
        <x:f>M557*$B$610</x:f>
        <x:v>63277.7295422266</x:v>
      </x:c>
      <x:c r="N565" s="58" t="n">
        <x:f>N557*$B$610</x:f>
        <x:v>75516.98233051405</x:v>
      </x:c>
      <x:c r="O565" s="58" t="n">
        <x:f>O557*$B$610</x:f>
        <x:v>84877.09502197776</x:v>
      </x:c>
      <x:c r="P565" s="58" t="n">
        <x:f>P557*$B$610</x:f>
        <x:v>93193.96264252235</x:v>
      </x:c>
      <x:c r="Q565" s="58" t="n">
        <x:f>Q557*$B$610</x:f>
        <x:v>101175.48755280413</x:v>
      </x:c>
      <x:c r="R565" s="58" t="n">
        <x:f>R557*$B$610</x:f>
        <x:v>108941.3436623563</x:v>
      </x:c>
      <x:c r="S565" s="58" t="n">
        <x:f>S557*$B$610</x:f>
        <x:v>116599.3309992966</x:v>
      </x:c>
      <x:c r="T565" s="58" t="n">
        <x:f>T557*$B$610</x:f>
        <x:v>131663.32538708174</x:v>
      </x:c>
      <x:c r="U565" s="58" t="n">
        <x:f>U557*$B$610</x:f>
        <x:v>143708.1175890472</x:v>
      </x:c>
      <x:c r="V565" s="58" t="n">
        <x:f>V557*$B$610</x:f>
        <x:v>154741.61799099625</x:v>
      </x:c>
      <x:c r="W565" s="58" t="n">
        <x:f>W557*$B$610</x:f>
        <x:v>165559.82858372462</x:v>
      </x:c>
      <x:c r="X565" s="58" t="n">
        <x:f>X557*$B$610</x:f>
        <x:v>176306.26896727228</x:v>
      </x:c>
      <x:c r="Y565" s="58" t="n">
        <x:f>Y557*$B$610</x:f>
        <x:v>187112.40756599075</x:v>
      </x:c>
      <x:c r="Z565" s="58" t="n">
        <x:f>Z557*$B$610</x:f>
        <x:v>202176.1689421828</x:v>
      </x:c>
      <x:c r="AA565" s="58" t="n">
        <x:f>AA557*$B$610</x:f>
        <x:v>215099.12476007896</x:v>
      </x:c>
      <x:c r="AB565" s="58" t="n">
        <x:f>AB557*$B$610</x:f>
        <x:v>227254.5399679479</x:v>
      </x:c>
      <x:c r="AC565" s="58" t="n">
        <x:f>AC557*$B$610</x:f>
        <x:v>239189.3626903548</x:v>
      </x:c>
      <x:c r="AD565" s="58" t="n">
        <x:f>AD557*$B$610</x:f>
        <x:v>251029.42528522955</x:v>
      </x:c>
      <x:c r="AE565" s="58" t="n">
        <x:f>AE557*$B$610</x:f>
        <x:v>262887.7505103845</x:v>
      </x:c>
      <x:c r="AF565" s="58" t="n">
        <x:f>AF557*$B$610</x:f>
        <x:v>281608.3632482154</x:v>
      </x:c>
      <x:c r="AG565" s="58" t="n">
        <x:f>AG557*$B$610</x:f>
        <x:v>297725.4112740639</x:v>
      </x:c>
      <x:c r="AH565" s="58" t="n">
        <x:f>AH557*$B$610</x:f>
        <x:v>313074.3966705018</x:v>
      </x:c>
      <x:c r="AI565" s="58" t="n">
        <x:f>AI557*$B$610</x:f>
        <x:v>328387.7055870754</x:v>
      </x:c>
      <x:c r="AJ565" s="58" t="n">
        <x:f>AJ557*$B$610</x:f>
        <x:v>343803.2459593674</x:v>
      </x:c>
      <x:c r="AK565" s="58" t="n">
        <x:f>AK557*$B$610</x:f>
        <x:v>359446.697095127</x:v>
      </x:c>
    </x:row>
    <x:row r="566" ht="18" customHeight="1">
      <x:c r="A566" s="4" t="str">
        <x:v>Total gross billings, ex-tax (INR)</x:v>
      </x:c>
      <x:c r="B566" s="58" t="n">
        <x:f>SUM(B564:B565)</x:f>
        <x:v>31729.76305084746</x:v>
      </x:c>
      <x:c r="C566" s="58" t="n">
        <x:f>SUM(C564:C565)</x:f>
        <x:v>37488.78472583052</x:v>
      </x:c>
      <x:c r="D566" s="58" t="n">
        <x:f>SUM(D564:D565)</x:f>
        <x:v>42909.49728503153</x:v>
      </x:c>
      <x:c r="E566" s="58" t="n">
        <x:f>SUM(E564:E565)</x:f>
        <x:v>59568.768815008945</x:v>
      </x:c>
      <x:c r="F566" s="58" t="n">
        <x:f>SUM(F564:F565)</x:f>
        <x:v>66623.0324268692</x:v>
      </x:c>
      <x:c r="G566" s="58" t="n">
        <x:f>SUM(G564:G565)</x:f>
        <x:v>73749.89250011477</x:v>
      </x:c>
      <x:c r="H566" s="58" t="n">
        <x:f>SUM(H564:H565)</x:f>
        <x:v>105144.56907932603</x:v>
      </x:c>
      <x:c r="I566" s="58" t="n">
        <x:f>SUM(I564:I565)</x:f>
        <x:v>115567.04646418459</x:v>
      </x:c>
      <x:c r="J566" s="58" t="n">
        <x:f>SUM(J564:J565)</x:f>
        <x:v>125907.15024938688</x:v>
      </x:c>
      <x:c r="K566" s="58" t="n">
        <x:f>SUM(K564:K565)</x:f>
        <x:v>136698.82170961768</x:v>
      </x:c>
      <x:c r="L566" s="58" t="n">
        <x:f>SUM(L564:L565)</x:f>
        <x:v>148111.79440155462</x:v>
      </x:c>
      <x:c r="M566" s="58" t="n">
        <x:f>SUM(M564:M565)</x:f>
        <x:v>160319.25405689405</x:v>
      </x:c>
      <x:c r="N566" s="58" t="n">
        <x:f>SUM(N564:N565)</x:f>
        <x:v>215841.0934748007</x:v>
      </x:c>
      <x:c r="O566" s="58" t="n">
        <x:f>SUM(O564:O565)</x:f>
        <x:v>230911.69601675202</x:v>
      </x:c>
      <x:c r="P566" s="58" t="n">
        <x:f>SUM(P564:P565)</x:f>
        <x:v>245419.66973554718</x:v>
      </x:c>
      <x:c r="Q566" s="58" t="n">
        <x:f>SUM(Q564:Q565)</x:f>
        <x:v>262756.1150637117</x:v>
      </x:c>
      <x:c r="R566" s="58" t="n">
        <x:f>SUM(R564:R565)</x:f>
        <x:v>277801.86400142306</x:v>
      </x:c>
      <x:c r="S566" s="58" t="n">
        <x:f>SUM(S564:S565)</x:f>
        <x:v>293355.54064973915</x:v>
      </x:c>
      <x:c r="T566" s="58" t="n">
        <x:f>SUM(T564:T565)</x:f>
        <x:v>357097.3348996291</x:v>
      </x:c>
      <x:c r="U566" s="58" t="n">
        <x:f>SUM(U564:U565)</x:f>
        <x:v>378433.96917474223</x:v>
      </x:c>
      <x:c r="V566" s="58" t="n">
        <x:f>SUM(V564:V565)</x:f>
        <x:v>399549.5907155607</x:v>
      </x:c>
      <x:c r="W566" s="58" t="n">
        <x:f>SUM(W564:W565)</x:f>
        <x:v>421309.0556421225</x:v>
      </x:c>
      <x:c r="X566" s="58" t="n">
        <x:f>SUM(X564:X565)</x:f>
        <x:v>443930.92183052737</x:v>
      </x:c>
      <x:c r="Y566" s="58" t="n">
        <x:f>SUM(Y564:Y565)</x:f>
        <x:v>467628.45595772663</x:v>
      </x:c>
      <x:c r="Z566" s="58" t="n">
        <x:f>SUM(Z564:Z565)</x:f>
        <x:v>527959.8237878369</x:v>
      </x:c>
      <x:c r="AA566" s="58" t="n">
        <x:f>SUM(AA564:AA565)</x:f>
        <x:v>552172.0867810168</x:v>
      </x:c>
      <x:c r="AB566" s="58" t="n">
        <x:f>SUM(AB564:AB565)</x:f>
        <x:v>576342.9706754703</x:v>
      </x:c>
      <x:c r="AC566" s="58" t="n">
        <x:f>SUM(AC564:AC565)</x:f>
        <x:v>602477.1098991098</x:v>
      </x:c>
      <x:c r="AD566" s="58" t="n">
        <x:f>SUM(AD564:AD565)</x:f>
        <x:v>627933.0279885419</x:v>
      </x:c>
      <x:c r="AE566" s="58" t="n">
        <x:f>SUM(AE564:AE565)</x:f>
        <x:v>654288.4009752345</x:v>
      </x:c>
      <x:c r="AF566" s="58" t="n">
        <x:f>SUM(AF564:AF565)</x:f>
        <x:v>732769.9929097921</x:v>
      </x:c>
      <x:c r="AG566" s="58" t="n">
        <x:f>SUM(AG564:AG565)</x:f>
        <x:v>765327.8833593554</x:v>
      </x:c>
      <x:c r="AH566" s="58" t="n">
        <x:f>SUM(AH564:AH565)</x:f>
        <x:v>798188.9687762868</x:v>
      </x:c>
      <x:c r="AI566" s="58" t="n">
        <x:f>SUM(AI564:AI565)</x:f>
        <x:v>832158.1976137604</x:v>
      </x:c>
      <x:c r="AJ566" s="58" t="n">
        <x:f>SUM(AJ564:AJ565)</x:f>
        <x:v>867451.237071076</x:v>
      </x:c>
      <x:c r="AK566" s="58" t="n">
        <x:f>SUM(AK564:AK565)</x:f>
        <x:v>904277.1235880288</x:v>
      </x:c>
    </x:row>
    <x:row r="567" ht="18" customHeight="1">
      <x:c r="A567" s="4" t="str">
        <x:v>Refunds (INR)</x:v>
      </x:c>
      <x:c r="B567" s="58" t="n">
        <x:f>B566*'Scenario Inputs'!$C$29</x:f>
        <x:v>951.8928915254238</x:v>
      </x:c>
      <x:c r="C567" s="58" t="n">
        <x:f>C566*'Scenario Inputs'!$C$29</x:f>
        <x:v>1124.6635417749155</x:v>
      </x:c>
      <x:c r="D567" s="58" t="n">
        <x:f>D566*'Scenario Inputs'!$C$29</x:f>
        <x:v>1287.2849185509458</x:v>
      </x:c>
      <x:c r="E567" s="58" t="n">
        <x:f>E566*'Scenario Inputs'!$C$29</x:f>
        <x:v>1787.0630644502683</x:v>
      </x:c>
      <x:c r="F567" s="58" t="n">
        <x:f>F566*'Scenario Inputs'!$C$29</x:f>
        <x:v>1998.6909728060762</x:v>
      </x:c>
      <x:c r="G567" s="58" t="n">
        <x:f>G566*'Scenario Inputs'!$C$29</x:f>
        <x:v>2212.496775003443</x:v>
      </x:c>
      <x:c r="H567" s="58" t="n">
        <x:f>H566*'Scenario Inputs'!$C$29</x:f>
        <x:v>3154.3370723797807</x:v>
      </x:c>
      <x:c r="I567" s="58" t="n">
        <x:f>I566*'Scenario Inputs'!$C$29</x:f>
        <x:v>3467.0113939255375</x:v>
      </x:c>
      <x:c r="J567" s="58" t="n">
        <x:f>J566*'Scenario Inputs'!$C$29</x:f>
        <x:v>3777.2145074816062</x:v>
      </x:c>
      <x:c r="K567" s="58" t="n">
        <x:f>K566*'Scenario Inputs'!$C$29</x:f>
        <x:v>4100.96465128853</x:v>
      </x:c>
      <x:c r="L567" s="58" t="n">
        <x:f>L566*'Scenario Inputs'!$C$29</x:f>
        <x:v>4443.353832046639</x:v>
      </x:c>
      <x:c r="M567" s="58" t="n">
        <x:f>M566*'Scenario Inputs'!$C$29</x:f>
        <x:v>4809.577621706821</x:v>
      </x:c>
      <x:c r="N567" s="58" t="n">
        <x:f>N566*'Scenario Inputs'!$C$29</x:f>
        <x:v>6475.23280424402</x:v>
      </x:c>
      <x:c r="O567" s="58" t="n">
        <x:f>O566*'Scenario Inputs'!$C$29</x:f>
        <x:v>6927.35088050256</x:v>
      </x:c>
      <x:c r="P567" s="58" t="n">
        <x:f>P566*'Scenario Inputs'!$C$29</x:f>
        <x:v>7362.590092066415</x:v>
      </x:c>
      <x:c r="Q567" s="58" t="n">
        <x:f>Q566*'Scenario Inputs'!$C$29</x:f>
        <x:v>7882.683451911351</x:v>
      </x:c>
      <x:c r="R567" s="58" t="n">
        <x:f>R566*'Scenario Inputs'!$C$29</x:f>
        <x:v>8334.055920042692</x:v>
      </x:c>
      <x:c r="S567" s="58" t="n">
        <x:f>S566*'Scenario Inputs'!$C$29</x:f>
        <x:v>8800.666219492174</x:v>
      </x:c>
      <x:c r="T567" s="58" t="n">
        <x:f>T566*'Scenario Inputs'!$C$29</x:f>
        <x:v>10712.920046988873</x:v>
      </x:c>
      <x:c r="U567" s="58" t="n">
        <x:f>U566*'Scenario Inputs'!$C$29</x:f>
        <x:v>11353.019075242266</x:v>
      </x:c>
      <x:c r="V567" s="58" t="n">
        <x:f>V566*'Scenario Inputs'!$C$29</x:f>
        <x:v>11986.487721466821</x:v>
      </x:c>
      <x:c r="W567" s="58" t="n">
        <x:f>W566*'Scenario Inputs'!$C$29</x:f>
        <x:v>12639.271669263675</x:v>
      </x:c>
      <x:c r="X567" s="58" t="n">
        <x:f>X566*'Scenario Inputs'!$C$29</x:f>
        <x:v>13317.92765491582</x:v>
      </x:c>
      <x:c r="Y567" s="58" t="n">
        <x:f>Y566*'Scenario Inputs'!$C$29</x:f>
        <x:v>14028.853678731799</x:v>
      </x:c>
      <x:c r="Z567" s="58" t="n">
        <x:f>Z566*'Scenario Inputs'!$C$29</x:f>
        <x:v>15838.794713635107</x:v>
      </x:c>
      <x:c r="AA567" s="58" t="n">
        <x:f>AA566*'Scenario Inputs'!$C$29</x:f>
        <x:v>16565.162603430505</x:v>
      </x:c>
      <x:c r="AB567" s="58" t="n">
        <x:f>AB566*'Scenario Inputs'!$C$29</x:f>
        <x:v>17290.289120264108</x:v>
      </x:c>
      <x:c r="AC567" s="58" t="n">
        <x:f>AC566*'Scenario Inputs'!$C$29</x:f>
        <x:v>18074.313296973294</x:v>
      </x:c>
      <x:c r="AD567" s="58" t="n">
        <x:f>AD566*'Scenario Inputs'!$C$29</x:f>
        <x:v>18837.990839656257</x:v>
      </x:c>
      <x:c r="AE567" s="58" t="n">
        <x:f>AE566*'Scenario Inputs'!$C$29</x:f>
        <x:v>19628.65202925703</x:v>
      </x:c>
      <x:c r="AF567" s="58" t="n">
        <x:f>AF566*'Scenario Inputs'!$C$29</x:f>
        <x:v>21983.099787293762</x:v>
      </x:c>
      <x:c r="AG567" s="58" t="n">
        <x:f>AG566*'Scenario Inputs'!$C$29</x:f>
        <x:v>22959.83650078066</x:v>
      </x:c>
      <x:c r="AH567" s="58" t="n">
        <x:f>AH566*'Scenario Inputs'!$C$29</x:f>
        <x:v>23945.669063288602</x:v>
      </x:c>
      <x:c r="AI567" s="58" t="n">
        <x:f>AI566*'Scenario Inputs'!$C$29</x:f>
        <x:v>24964.74592841281</x:v>
      </x:c>
      <x:c r="AJ567" s="58" t="n">
        <x:f>AJ566*'Scenario Inputs'!$C$29</x:f>
        <x:v>26023.53711213228</x:v>
      </x:c>
      <x:c r="AK567" s="58" t="n">
        <x:f>AK566*'Scenario Inputs'!$C$29</x:f>
        <x:v>27128.313707640864</x:v>
      </x:c>
    </x:row>
    <x:row r="568" ht="18" customHeight="1">
      <x:c r="A568" s="4" t="str">
        <x:v>Net billings, ex-tax (INR)</x:v>
      </x:c>
      <x:c r="B568" s="58" t="n">
        <x:f>B566-B567</x:f>
        <x:v>30777.870159322036</x:v>
      </x:c>
      <x:c r="C568" s="58" t="n">
        <x:f>C566-C567</x:f>
        <x:v>36364.121184055606</x:v>
      </x:c>
      <x:c r="D568" s="58" t="n">
        <x:f>D566-D567</x:f>
        <x:v>41622.212366480584</x:v>
      </x:c>
      <x:c r="E568" s="58" t="n">
        <x:f>E566-E567</x:f>
        <x:v>57781.70575055868</x:v>
      </x:c>
      <x:c r="F568" s="58" t="n">
        <x:f>F566-F567</x:f>
        <x:v>64624.34145406313</x:v>
      </x:c>
      <x:c r="G568" s="58" t="n">
        <x:f>G566-G567</x:f>
        <x:v>71537.39572511133</x:v>
      </x:c>
      <x:c r="H568" s="58" t="n">
        <x:f>H566-H567</x:f>
        <x:v>101990.23200694624</x:v>
      </x:c>
      <x:c r="I568" s="58" t="n">
        <x:f>I566-I567</x:f>
        <x:v>112100.03507025905</x:v>
      </x:c>
      <x:c r="J568" s="58" t="n">
        <x:f>J566-J567</x:f>
        <x:v>122129.93574190527</x:v>
      </x:c>
      <x:c r="K568" s="58" t="n">
        <x:f>K566-K567</x:f>
        <x:v>132597.85705832916</x:v>
      </x:c>
      <x:c r="L568" s="58" t="n">
        <x:f>L566-L567</x:f>
        <x:v>143668.44056950798</x:v>
      </x:c>
      <x:c r="M568" s="58" t="n">
        <x:f>M566-M567</x:f>
        <x:v>155509.67643518723</x:v>
      </x:c>
      <x:c r="N568" s="58" t="n">
        <x:f>N566-N567</x:f>
        <x:v>209365.86067055666</x:v>
      </x:c>
      <x:c r="O568" s="58" t="n">
        <x:f>O566-O567</x:f>
        <x:v>223984.34513624947</x:v>
      </x:c>
      <x:c r="P568" s="58" t="n">
        <x:f>P566-P567</x:f>
        <x:v>238057.07964348077</x:v>
      </x:c>
      <x:c r="Q568" s="58" t="n">
        <x:f>Q566-Q567</x:f>
        <x:v>254873.43161180036</x:v>
      </x:c>
      <x:c r="R568" s="58" t="n">
        <x:f>R566-R567</x:f>
        <x:v>269467.8080813804</x:v>
      </x:c>
      <x:c r="S568" s="58" t="n">
        <x:f>S566-S567</x:f>
        <x:v>284554.874430247</x:v>
      </x:c>
      <x:c r="T568" s="58" t="n">
        <x:f>T566-T567</x:f>
        <x:v>346384.41485264024</x:v>
      </x:c>
      <x:c r="U568" s="58" t="n">
        <x:f>U566-U567</x:f>
        <x:v>367080.95009949995</x:v>
      </x:c>
      <x:c r="V568" s="58" t="n">
        <x:f>V566-V567</x:f>
        <x:v>387563.1029940939</x:v>
      </x:c>
      <x:c r="W568" s="58" t="n">
        <x:f>W566-W567</x:f>
        <x:v>408669.78397285886</x:v>
      </x:c>
      <x:c r="X568" s="58" t="n">
        <x:f>X566-X567</x:f>
        <x:v>430612.99417561153</x:v>
      </x:c>
      <x:c r="Y568" s="58" t="n">
        <x:f>Y566-Y567</x:f>
        <x:v>453599.60227899486</x:v>
      </x:c>
      <x:c r="Z568" s="58" t="n">
        <x:f>Z566-Z567</x:f>
        <x:v>512121.0290742018</x:v>
      </x:c>
      <x:c r="AA568" s="58" t="n">
        <x:f>AA566-AA567</x:f>
        <x:v>535606.9241775863</x:v>
      </x:c>
      <x:c r="AB568" s="58" t="n">
        <x:f>AB566-AB567</x:f>
        <x:v>559052.6815552062</x:v>
      </x:c>
      <x:c r="AC568" s="58" t="n">
        <x:f>AC566-AC567</x:f>
        <x:v>584402.7966021366</x:v>
      </x:c>
      <x:c r="AD568" s="58" t="n">
        <x:f>AD566-AD567</x:f>
        <x:v>609095.0371488857</x:v>
      </x:c>
      <x:c r="AE568" s="58" t="n">
        <x:f>AE566-AE567</x:f>
        <x:v>634659.7489459774</x:v>
      </x:c>
      <x:c r="AF568" s="58" t="n">
        <x:f>AF566-AF567</x:f>
        <x:v>710786.8931224983</x:v>
      </x:c>
      <x:c r="AG568" s="58" t="n">
        <x:f>AG566-AG567</x:f>
        <x:v>742368.0468585747</x:v>
      </x:c>
      <x:c r="AH568" s="58" t="n">
        <x:f>AH566-AH567</x:f>
        <x:v>774243.2997129982</x:v>
      </x:c>
      <x:c r="AI568" s="58" t="n">
        <x:f>AI566-AI567</x:f>
        <x:v>807193.4516853476</x:v>
      </x:c>
      <x:c r="AJ568" s="58" t="n">
        <x:f>AJ566-AJ567</x:f>
        <x:v>841427.6999589436</x:v>
      </x:c>
      <x:c r="AK568" s="58" t="n">
        <x:f>AK566-AK567</x:f>
        <x:v>877148.809880388</x:v>
      </x:c>
    </x:row>
    <x:row r="569" ht="18" customHeight="1">
      <x:c r="A569" s="4" t="str">
        <x:v>Payment / store fees (INR)</x:v>
      </x:c>
      <x:c r="B569" s="58" t="n">
        <x:f>B550*$B$611+B557*$B$612</x:f>
        <x:v>3401.525168813559</x:v>
      </x:c>
      <x:c r="C569" s="58" t="n">
        <x:f>C550*$B$611+C557*$B$612</x:f>
        <x:v>4096.231710685288</x:v>
      </x:c>
      <x:c r="D569" s="58" t="n">
        <x:f>D550*$B$611+D557*$B$612</x:f>
        <x:v>4739.651499702584</x:v>
      </x:c>
      <x:c r="E569" s="58" t="n">
        <x:f>E550*$B$611+E557*$B$612</x:f>
        <x:v>6584.771505200412</x:v>
      </x:c>
      <x:c r="F569" s="58" t="n">
        <x:f>F550*$B$611+F557*$B$612</x:f>
        <x:v>7425.170492888261</x:v>
      </x:c>
      <x:c r="G569" s="58" t="n">
        <x:f>G550*$B$611+G557*$B$612</x:f>
        <x:v>8265.183915693064</x:v>
      </x:c>
      <x:c r="H569" s="58" t="n">
        <x:f>H550*$B$611+H557*$B$612</x:f>
        <x:v>11704.104044648178</x:v>
      </x:c>
      <x:c r="I569" s="58" t="n">
        <x:f>I550*$B$611+I557*$B$612</x:f>
        <x:v>12951.743879093825</x:v>
      </x:c>
      <x:c r="J569" s="58" t="n">
        <x:f>J550*$B$611+J557*$B$612</x:f>
        <x:v>14174.725625530897</x:v>
      </x:c>
      <x:c r="K569" s="58" t="n">
        <x:f>K550*$B$611+K557*$B$612</x:f>
        <x:v>15441.226519766315</x:v>
      </x:c>
      <x:c r="L569" s="58" t="n">
        <x:f>L550*$B$611+L557*$B$612</x:f>
        <x:v>16771.582999619604</x:v>
      </x:c>
      <x:c r="M569" s="58" t="n">
        <x:f>M550*$B$611+M557*$B$612</x:f>
        <x:v>18186.359165340386</x:v>
      </x:c>
      <x:c r="N569" s="58" t="n">
        <x:f>N550*$B$611+N557*$B$612</x:f>
        <x:v>24207.050144365974</x:v>
      </x:c>
      <x:c r="O569" s="58" t="n">
        <x:f>O550*$B$611+O557*$B$612</x:f>
        <x:v>26014.53237766221</x:v>
      </x:c>
      <x:c r="P569" s="58" t="n">
        <x:f>P550*$B$611+P557*$B$612</x:f>
        <x:v>27734.628098076504</x:v>
      </x:c>
      <x:c r="Q569" s="58" t="n">
        <x:f>Q550*$B$611+Q557*$B$612</x:f>
        <x:v>29733.92506840115</x:v>
      </x:c>
      <x:c r="R569" s="58" t="n">
        <x:f>R550*$B$611+R557*$B$612</x:f>
        <x:v>31493.123898768124</x:v>
      </x:c>
      <x:c r="S569" s="58" t="n">
        <x:f>S550*$B$611+S557*$B$612</x:f>
        <x:v>33301.09354043866</x:v>
      </x:c>
      <x:c r="T569" s="58" t="n">
        <x:f>T550*$B$611+T557*$B$612</x:f>
        <x:v>40242.20130608323</x:v>
      </x:c>
      <x:c r="U569" s="58" t="n">
        <x:f>U550*$B$611+U557*$B$612</x:f>
        <x:v>42766.56055347709</x:v>
      </x:c>
      <x:c r="V569" s="58" t="n">
        <x:f>V550*$B$611+V557*$B$612</x:f>
        <x:v>45239.333577788595</x:v>
      </x:c>
      <x:c r="W569" s="58" t="n">
        <x:f>W550*$B$611+W557*$B$612</x:f>
        <x:v>47771.67382842647</x:v>
      </x:c>
      <x:c r="X569" s="58" t="n">
        <x:f>X550*$B$611+X557*$B$612</x:f>
        <x:v>50390.01703832582</x:v>
      </x:c>
      <x:c r="Y569" s="58" t="n">
        <x:f>Y550*$B$611+Y557*$B$612</x:f>
        <x:v>53119.91284460192</x:v>
      </x:c>
      <x:c r="Z569" s="58" t="n">
        <x:f>Z550*$B$611+Z557*$B$612</x:f>
        <x:v>59712.7652472168</x:v>
      </x:c>
      <x:c r="AA569" s="58" t="n">
        <x:f>AA550*$B$611+AA557*$B$612</x:f>
        <x:v>62555.96139282175</x:v>
      </x:c>
      <x:c r="AB569" s="58" t="n">
        <x:f>AB550*$B$611+AB557*$B$612</x:f>
        <x:v>65372.90842037831</x:v>
      </x:c>
      <x:c r="AC569" s="58" t="n">
        <x:f>AC550*$B$611+AC557*$B$612</x:f>
        <x:v>68383.99955545625</x:v>
      </x:c>
      <x:c r="AD569" s="58" t="n">
        <x:f>AD550*$B$611+AD557*$B$612</x:f>
        <x:v>71323.11649190116</x:v>
      </x:c>
      <x:c r="AE569" s="58" t="n">
        <x:f>AE550*$B$611+AE557*$B$612</x:f>
        <x:v>74354.60344168857</x:v>
      </x:c>
      <x:c r="AF569" s="58" t="n">
        <x:f>AF550*$B$611+AF557*$B$612</x:f>
        <x:v>82905.7581673777</x:v>
      </x:c>
      <x:c r="AG569" s="58" t="n">
        <x:f>AG550*$B$611+AG557*$B$612</x:f>
        <x:v>86692.80203119462</x:v>
      </x:c>
      <x:c r="AH569" s="58" t="n">
        <x:f>AH550*$B$611+AH557*$B$612</x:f>
        <x:v>90488.76726997027</x:v>
      </x:c>
      <x:c r="AI569" s="58" t="n">
        <x:f>AI550*$B$611+AI557*$B$612</x:f>
        <x:v>94396.86459481792</x:v>
      </x:c>
      <x:c r="AJ569" s="58" t="n">
        <x:f>AJ550*$B$611+AJ557*$B$612</x:f>
        <x:v>98443.07354230556</x:v>
      </x:c>
      <x:c r="AK569" s="58" t="n">
        <x:f>AK550*$B$611+AK557*$B$612</x:f>
        <x:v>102652.34567492758</x:v>
      </x:c>
    </x:row>
    <x:row r="570" ht="18" customHeight="1">
      <x:c r="A570" s="4" t="str">
        <x:v>Billing / entitlement reserve (INR)</x:v>
      </x:c>
      <x:c r="B570" s="58" t="n">
        <x:f>B550*$B$613+B557*$B$614</x:f>
        <x:v>330.6158</x:v>
      </x:c>
      <x:c r="C570" s="58" t="n">
        <x:f>C550*$B$613+C557*$B$614</x:f>
        <x:v>390.46856696000003</x:v>
      </x:c>
      <x:c r="D570" s="58" t="n">
        <x:f>D550*$B$613+D557*$B$614</x:f>
        <x:v>446.82629575939995</x:v>
      </x:c>
      <x:c r="E570" s="58" t="n">
        <x:f>E550*$B$613+E557*$B$614</x:f>
        <x:v>620.2930751393983</x:v>
      </x:c>
      <x:c r="F570" s="58" t="n">
        <x:f>F550*$B$613+F557*$B$614</x:f>
        <x:v>693.6282384242148</x:v>
      </x:c>
      <x:c r="G570" s="58" t="n">
        <x:f>G550*$B$613+G557*$B$614</x:f>
        <x:v>767.7361827127343</x:v>
      </x:c>
      <x:c r="H570" s="58" t="n">
        <x:f>H550*$B$613+H557*$B$614</x:f>
        <x:v>1094.713757171105</x:v>
      </x:c>
      <x:c r="I570" s="58" t="n">
        <x:f>I550*$B$613+I557*$B$614</x:f>
        <x:v>1203.0524579014373</x:v>
      </x:c>
      <x:c r="J570" s="58" t="n">
        <x:f>J550*$B$613+J557*$B$614</x:f>
        <x:v>1310.5645189815205</x:v>
      </x:c>
      <x:c r="K570" s="58" t="n">
        <x:f>K550*$B$613+K557*$B$614</x:f>
        <x:v>1422.7915823817905</x:v>
      </x:c>
      <x:c r="L570" s="58" t="n">
        <x:f>L550*$B$613+L557*$B$614</x:f>
        <x:v>1541.4979439300485</x:v>
      </x:c>
      <x:c r="M570" s="58" t="n">
        <x:f>M550*$B$613+M557*$B$614</x:f>
        <x:v>1668.4841552050038</x:v>
      </x:c>
      <x:c r="N570" s="58" t="n">
        <x:f>N550*$B$613+N557*$B$614</x:f>
        <x:v>2246.8699024674897</x:v>
      </x:c>
      <x:c r="O570" s="58" t="n">
        <x:f>O550*$B$613+O557*$B$614</x:f>
        <x:v>2403.517682356506</x:v>
      </x:c>
      <x:c r="P570" s="58" t="n">
        <x:f>P550*$B$613+P557*$B$614</x:f>
        <x:v>2554.3571884960606</x:v>
      </x:c>
      <x:c r="Q570" s="58" t="n">
        <x:f>Q550*$B$613+Q557*$B$614</x:f>
        <x:v>2734.7166903967127</x:v>
      </x:c>
      <x:c r="R570" s="58" t="n">
        <x:f>R550*$B$613+R557*$B$614</x:f>
        <x:v>2891.1967888517715</x:v>
      </x:c>
      <x:c r="S570" s="58" t="n">
        <x:f>S550*$B$613+S557*$B$614</x:f>
        <x:v>3052.98072784147</x:v>
      </x:c>
      <x:c r="T570" s="58" t="n">
        <x:f>T550*$B$613+T557*$B$614</x:f>
        <x:v>3716.9377782233564</x:v>
      </x:c>
      <x:c r="U570" s="58" t="n">
        <x:f>U550*$B$613+U557*$B$614</x:f>
        <x:v>3938.785636043346</x:v>
      </x:c>
      <x:c r="V570" s="58" t="n">
        <x:f>V550*$B$613+V557*$B$614</x:f>
        <x:v>4158.386414885863</x:v>
      </x:c>
      <x:c r="W570" s="58" t="n">
        <x:f>W550*$B$613+W557*$B$614</x:f>
        <x:v>4384.714792229512</x:v>
      </x:c>
      <x:c r="X570" s="58" t="n">
        <x:f>X550*$B$613+X557*$B$614</x:f>
        <x:v>4620.042069205212</x:v>
      </x:c>
      <x:c r="Y570" s="58" t="n">
        <x:f>Y550*$B$613+Y557*$B$614</x:f>
        <x:v>4866.585052104387</x:v>
      </x:c>
      <x:c r="Z570" s="58" t="n">
        <x:f>Z550*$B$613+Z557*$B$614</x:f>
        <x:v>5494.971631140468</x:v>
      </x:c>
      <x:c r="AA570" s="58" t="n">
        <x:f>AA550*$B$613+AA557*$B$614</x:f>
        <x:v>5746.761652077892</x:v>
      </x:c>
      <x:c r="AB570" s="58" t="n">
        <x:f>AB550*$B$613+AB557*$B$614</x:f>
        <x:v>5998.164163197222</x:v>
      </x:c>
      <x:c r="AC570" s="58" t="n">
        <x:f>AC550*$B$613+AC557*$B$614</x:f>
        <x:v>6270.055942175346</x:v>
      </x:c>
      <x:c r="AD570" s="58" t="n">
        <x:f>AD550*$B$613+AD557*$B$614</x:f>
        <x:v>6534.879367972259</x:v>
      </x:c>
      <x:c r="AE570" s="58" t="n">
        <x:f>AE550*$B$613+AE557*$B$614</x:f>
        <x:v>6809.082990416846</x:v>
      </x:c>
      <x:c r="AF570" s="58" t="n">
        <x:f>AF550*$B$613+AF557*$B$614</x:f>
        <x:v>7626.565037328935</x:v>
      </x:c>
      <x:c r="AG570" s="58" t="n">
        <x:f>AG550*$B$613+AG557*$B$614</x:f>
        <x:v>7965.215909633286</x:v>
      </x:c>
      <x:c r="AH570" s="58" t="n">
        <x:f>AH550*$B$613+AH557*$B$614</x:f>
        <x:v>8307.073183046958</x:v>
      </x:c>
      <x:c r="AI570" s="58" t="n">
        <x:f>AI550*$B$613+AI557*$B$614</x:f>
        <x:v>8660.490355423144</x:v>
      </x:c>
      <x:c r="AJ570" s="58" t="n">
        <x:f>AJ550*$B$613+AJ557*$B$614</x:f>
        <x:v>9027.708900569596</x:v>
      </x:c>
      <x:c r="AK570" s="58" t="n">
        <x:f>AK550*$B$613+AK557*$B$614</x:f>
        <x:v>9410.901836132321</x:v>
      </x:c>
    </x:row>
    <x:row r="571" ht="18" customHeight="1">
      <x:c r="A571" s="4" t="str">
        <x:v>Paid users: AI cost (INR)</x:v>
      </x:c>
      <x:c r="B571" s="58" t="n">
        <x:f>B559*'Commercial Inputs'!$B$24*$B$615</x:f>
        <x:v>143.56485</x:v>
      </x:c>
      <x:c r="C571" s="58" t="n">
        <x:f>C559*'Commercial Inputs'!$B$24*$B$615</x:f>
        <x:v>262.35914562</x:v>
      </x:c>
      <x:c r="D571" s="58" t="n">
        <x:f>D559*'Commercial Inputs'!$B$24*$B$615</x:f>
        <x:v>377.25814610055005</x:v>
      </x:c>
      <x:c r="E571" s="58" t="n">
        <x:f>E559*'Commercial Inputs'!$B$24*$B$615</x:f>
        <x:v>546.6219742274664</x:v>
      </x:c>
      <x:c r="F571" s="58" t="n">
        <x:f>F559*'Commercial Inputs'!$B$24*$B$615</x:f>
        <x:v>709.539248103007</x:v>
      </x:c>
      <x:c r="G571" s="58" t="n">
        <x:f>G559*'Commercial Inputs'!$B$24*$B$615</x:f>
        <x:v>875.3688614137504</x:v>
      </x:c>
      <x:c r="H571" s="58" t="n">
        <x:f>H559*'Commercial Inputs'!$B$24*$B$615</x:f>
        <x:v>1156.8507787964052</x:v>
      </x:c>
      <x:c r="I571" s="58" t="n">
        <x:f>I559*'Commercial Inputs'!$B$24*$B$615</x:f>
        <x:v>1420.6707704534758</x:v>
      </x:c>
      <x:c r="J571" s="58" t="n">
        <x:f>J559*'Commercial Inputs'!$B$24*$B$615</x:f>
        <x:v>1685.7608654540002</x:v>
      </x:c>
      <x:c r="K571" s="58" t="n">
        <x:f>K559*'Commercial Inputs'!$B$24*$B$615</x:f>
        <x:v>1960.5961333402938</x:v>
      </x:c>
      <x:c r="L571" s="58" t="n">
        <x:f>L559*'Commercial Inputs'!$B$24*$B$615</x:f>
        <x:v>2248.114289969141</x:v>
      </x:c>
      <x:c r="M571" s="58" t="n">
        <x:f>M559*'Commercial Inputs'!$B$24*$B$615</x:f>
        <x:v>2551.3466986959647</x:v>
      </x:c>
      <x:c r="N571" s="58" t="n">
        <x:f>N559*'Commercial Inputs'!$B$24*$B$615</x:f>
        <x:v>2989.9597553344565</x:v>
      </x:c>
      <x:c r="O571" s="58" t="n">
        <x:f>O559*'Commercial Inputs'!$B$24*$B$615</x:f>
        <x:v>3392.5803517880345</x:v>
      </x:c>
      <x:c r="P571" s="58" t="n">
        <x:f>P559*'Commercial Inputs'!$B$24*$B$615</x:f>
        <x:v>3787.8229430685064</x:v>
      </x:c>
      <x:c r="Q571" s="58" t="n">
        <x:f>Q559*'Commercial Inputs'!$B$24*$B$615</x:f>
        <x:v>4172.9037220235</x:v>
      </x:c>
      <x:c r="R571" s="58" t="n">
        <x:f>R559*'Commercial Inputs'!$B$24*$B$615</x:f>
        <x:v>4564.386579166239</x:v>
      </x:c>
      <x:c r="S571" s="58" t="n">
        <x:f>S559*'Commercial Inputs'!$B$24*$B$615</x:f>
        <x:v>4964.518420787191</x:v>
      </x:c>
      <x:c r="T571" s="58" t="n">
        <x:f>T559*'Commercial Inputs'!$B$24*$B$615</x:f>
        <x:v>5533.890474882606</x:v>
      </x:c>
      <x:c r="U571" s="58" t="n">
        <x:f>U559*'Commercial Inputs'!$B$24*$B$615</x:f>
        <x:v>6068.629442843041</x:v>
      </x:c>
      <x:c r="V571" s="58" t="n">
        <x:f>V559*'Commercial Inputs'!$B$24*$B$615</x:f>
        <x:v>6600.138394905269</x:v>
      </x:c>
      <x:c r="W571" s="58" t="n">
        <x:f>W559*'Commercial Inputs'!$B$24*$B$615</x:f>
        <x:v>7141.297232389358</x:v>
      </x:c>
      <x:c r="X571" s="58" t="n">
        <x:f>X559*'Commercial Inputs'!$B$24*$B$615</x:f>
        <x:v>7695.022361248311</x:v>
      </x:c>
      <x:c r="Y571" s="58" t="n">
        <x:f>Y559*'Commercial Inputs'!$B$24*$B$615</x:f>
        <x:v>8264.065488241975</x:v>
      </x:c>
      <x:c r="Z571" s="58" t="n">
        <x:f>Z559*'Commercial Inputs'!$B$24*$B$615</x:f>
        <x:v>8902.634117642068</x:v>
      </x:c>
      <x:c r="AA571" s="58" t="n">
        <x:f>AA559*'Commercial Inputs'!$B$24*$B$615</x:f>
        <x:v>9520.714188252654</x:v>
      </x:c>
      <x:c r="AB571" s="58" t="n">
        <x:f>AB559*'Commercial Inputs'!$B$24*$B$615</x:f>
        <x:v>10139.862231997158</x:v>
      </x:c>
      <x:c r="AC571" s="58" t="n">
        <x:f>AC559*'Commercial Inputs'!$B$24*$B$615</x:f>
        <x:v>10766.292634962436</x:v>
      </x:c>
      <x:c r="AD571" s="58" t="n">
        <x:f>AD559*'Commercial Inputs'!$B$24*$B$615</x:f>
        <x:v>11405.212757103109</x:v>
      </x:c>
      <x:c r="AE571" s="58" t="n">
        <x:f>AE559*'Commercial Inputs'!$B$24*$B$615</x:f>
        <x:v>12058.93619098</x:v>
      </x:c>
      <x:c r="AF571" s="58" t="n">
        <x:f>AF559*'Commercial Inputs'!$B$24*$B$615</x:f>
        <x:v>12842.0637405867</x:v>
      </x:c>
      <x:c r="AG571" s="58" t="n">
        <x:f>AG559*'Commercial Inputs'!$B$24*$B$615</x:f>
        <x:v>13601.075315304339</x:v>
      </x:c>
      <x:c r="AH571" s="58" t="n">
        <x:f>AH559*'Commercial Inputs'!$B$24*$B$615</x:f>
        <x:v>14364.679432869532</x:v>
      </x:c>
      <x:c r="AI571" s="58" t="n">
        <x:f>AI559*'Commercial Inputs'!$B$24*$B$615</x:f>
        <x:v>15144.710800059544</x:v>
      </x:c>
      <x:c r="AJ571" s="58" t="n">
        <x:f>AJ559*'Commercial Inputs'!$B$24*$B$615</x:f>
        <x:v>15943.912278541038</x:v>
      </x:c>
      <x:c r="AK571" s="58" t="n">
        <x:f>AK559*'Commercial Inputs'!$B$24*$B$615</x:f>
        <x:v>16764.843014087088</x:v>
      </x:c>
    </x:row>
    <x:row r="572" ht="18" customHeight="1">
      <x:c r="A572" s="4" t="str">
        <x:v>Free users: AI cost (INR)</x:v>
      </x:c>
      <x:c r="B572" s="58" t="n">
        <x:f>B560*'Commercial Inputs'!$B$25*$B$615</x:f>
        <x:v>193.05</x:v>
      </x:c>
      <x:c r="C572" s="58" t="n">
        <x:f>C560*'Commercial Inputs'!$B$25*$B$615</x:f>
        <x:v>314.830974744</x:v>
      </x:c>
      <x:c r="D572" s="58" t="n">
        <x:f>D560*'Commercial Inputs'!$B$25*$B$615</x:f>
        <x:v>452.70977532066</x:v>
      </x:c>
      <x:c r="E572" s="58" t="n">
        <x:f>E560*'Commercial Inputs'!$B$25*$B$615</x:f>
        <x:v>655.9463690729596</x:v>
      </x:c>
      <x:c r="F572" s="58" t="n">
        <x:f>F560*'Commercial Inputs'!$B$25*$B$615</x:f>
        <x:v>851.4470977236085</x:v>
      </x:c>
      <x:c r="G572" s="58" t="n">
        <x:f>G560*'Commercial Inputs'!$B$25*$B$615</x:f>
        <x:v>1050.4426336965005</x:v>
      </x:c>
      <x:c r="H572" s="58" t="n">
        <x:f>H560*'Commercial Inputs'!$B$25*$B$615</x:f>
        <x:v>1388.220934555686</x:v>
      </x:c>
      <x:c r="I572" s="58" t="n">
        <x:f>I560*'Commercial Inputs'!$B$25*$B$615</x:f>
        <x:v>1704.8049245441712</x:v>
      </x:c>
      <x:c r="J572" s="58" t="n">
        <x:f>J560*'Commercial Inputs'!$B$25*$B$615</x:f>
        <x:v>2022.9130385448004</x:v>
      </x:c>
      <x:c r="K572" s="58" t="n">
        <x:f>K560*'Commercial Inputs'!$B$25*$B$615</x:f>
        <x:v>2352.7153600083525</x:v>
      </x:c>
      <x:c r="L572" s="58" t="n">
        <x:f>L560*'Commercial Inputs'!$B$25*$B$615</x:f>
        <x:v>2697.7371479629687</x:v>
      </x:c>
      <x:c r="M572" s="58" t="n">
        <x:f>M560*'Commercial Inputs'!$B$25*$B$615</x:f>
        <x:v>3061.616038435158</x:v>
      </x:c>
      <x:c r="N572" s="58" t="n">
        <x:f>N560*'Commercial Inputs'!$B$25*$B$615</x:f>
        <x:v>3587.9517064013485</x:v>
      </x:c>
      <x:c r="O572" s="58" t="n">
        <x:f>O560*'Commercial Inputs'!$B$25*$B$615</x:f>
        <x:v>4071.096422145641</x:v>
      </x:c>
      <x:c r="P572" s="58" t="n">
        <x:f>P560*'Commercial Inputs'!$B$25*$B$615</x:f>
        <x:v>4545.387531682208</x:v>
      </x:c>
      <x:c r="Q572" s="58" t="n">
        <x:f>Q560*'Commercial Inputs'!$B$25*$B$615</x:f>
        <x:v>5007.4844664282</x:v>
      </x:c>
      <x:c r="R572" s="58" t="n">
        <x:f>R560*'Commercial Inputs'!$B$25*$B$615</x:f>
        <x:v>5477.263894999488</x:v>
      </x:c>
      <x:c r="S572" s="58" t="n">
        <x:f>S560*'Commercial Inputs'!$B$25*$B$615</x:f>
        <x:v>5957.422104944629</x:v>
      </x:c>
      <x:c r="T572" s="58" t="n">
        <x:f>T560*'Commercial Inputs'!$B$25*$B$615</x:f>
        <x:v>6640.668569859128</x:v>
      </x:c>
      <x:c r="U572" s="58" t="n">
        <x:f>U560*'Commercial Inputs'!$B$25*$B$615</x:f>
        <x:v>7282.355331411649</x:v>
      </x:c>
      <x:c r="V572" s="58" t="n">
        <x:f>V560*'Commercial Inputs'!$B$25*$B$615</x:f>
        <x:v>7920.166073886323</x:v>
      </x:c>
      <x:c r="W572" s="58" t="n">
        <x:f>W560*'Commercial Inputs'!$B$25*$B$615</x:f>
        <x:v>8569.55667886723</x:v>
      </x:c>
      <x:c r="X572" s="58" t="n">
        <x:f>X560*'Commercial Inputs'!$B$25*$B$615</x:f>
        <x:v>9234.026833497974</x:v>
      </x:c>
      <x:c r="Y572" s="58" t="n">
        <x:f>Y560*'Commercial Inputs'!$B$25*$B$615</x:f>
        <x:v>9916.878585890372</x:v>
      </x:c>
      <x:c r="Z572" s="58" t="n">
        <x:f>Z560*'Commercial Inputs'!$B$25*$B$615</x:f>
        <x:v>10683.160941170481</x:v>
      </x:c>
      <x:c r="AA572" s="58" t="n">
        <x:f>AA560*'Commercial Inputs'!$B$25*$B$615</x:f>
        <x:v>11424.857025903186</x:v>
      </x:c>
      <x:c r="AB572" s="58" t="n">
        <x:f>AB560*'Commercial Inputs'!$B$25*$B$615</x:f>
        <x:v>12167.83467839659</x:v>
      </x:c>
      <x:c r="AC572" s="58" t="n">
        <x:f>AC560*'Commercial Inputs'!$B$25*$B$615</x:f>
        <x:v>12919.551161954923</x:v>
      </x:c>
      <x:c r="AD572" s="58" t="n">
        <x:f>AD560*'Commercial Inputs'!$B$25*$B$615</x:f>
        <x:v>13686.25530852373</x:v>
      </x:c>
      <x:c r="AE572" s="58" t="n">
        <x:f>AE560*'Commercial Inputs'!$B$25*$B$615</x:f>
        <x:v>14470.723429176003</x:v>
      </x:c>
      <x:c r="AF572" s="58" t="n">
        <x:f>AF560*'Commercial Inputs'!$B$25*$B$615</x:f>
        <x:v>15410.476488704038</x:v>
      </x:c>
      <x:c r="AG572" s="58" t="n">
        <x:f>AG560*'Commercial Inputs'!$B$25*$B$615</x:f>
        <x:v>16321.290378365205</x:v>
      </x:c>
      <x:c r="AH572" s="58" t="n">
        <x:f>AH560*'Commercial Inputs'!$B$25*$B$615</x:f>
        <x:v>17237.615319443437</x:v>
      </x:c>
      <x:c r="AI572" s="58" t="n">
        <x:f>AI560*'Commercial Inputs'!$B$25*$B$615</x:f>
        <x:v>18173.652960071453</x:v>
      </x:c>
      <x:c r="AJ572" s="58" t="n">
        <x:f>AJ560*'Commercial Inputs'!$B$25*$B$615</x:f>
        <x:v>19132.69473424925</x:v>
      </x:c>
      <x:c r="AK572" s="58" t="n">
        <x:f>AK560*'Commercial Inputs'!$B$25*$B$615</x:f>
        <x:v>20117.811616904506</x:v>
      </x:c>
    </x:row>
    <x:row r="573" ht="18" customHeight="1">
      <x:c r="A573" s="4" t="str">
        <x:v>Variable support/tools (INR)</x:v>
      </x:c>
      <x:c r="B573" s="58" t="n">
        <x:f>B559*'Commercial Inputs'!$B$28</x:f>
        <x:v>111.55000000000001</x:v>
      </x:c>
      <x:c r="C573" s="58" t="n">
        <x:f>C559*'Commercial Inputs'!$B$28</x:f>
        <x:v>203.85325999999998</x:v>
      </x:c>
      <x:c r="D573" s="58" t="n">
        <x:f>D559*'Commercial Inputs'!$B$28</x:f>
        <x:v>293.12987265</x:v>
      </x:c>
      <x:c r="E573" s="58" t="n">
        <x:f>E559*'Commercial Inputs'!$B$28</x:f>
        <x:v>424.72569870044</x:v>
      </x:c>
      <x:c r="F573" s="58" t="n">
        <x:f>F559*'Commercial Inputs'!$B$28</x:f>
        <x:v>551.3125470885835</x:v>
      </x:c>
      <x:c r="G573" s="58" t="n">
        <x:f>G559*'Commercial Inputs'!$B$28</x:f>
        <x:v>680.1622854807695</x:v>
      </x:c>
      <x:c r="H573" s="58" t="n">
        <x:f>H559*'Commercial Inputs'!$B$28</x:f>
        <x:v>898.8739539987607</x:v>
      </x:c>
      <x:c r="I573" s="58" t="n">
        <x:f>I559*'Commercial Inputs'!$B$28</x:f>
        <x:v>1103.8622925046432</x:v>
      </x:c>
      <x:c r="J573" s="58" t="n">
        <x:f>J559*'Commercial Inputs'!$B$28</x:f>
        <x:v>1309.8375022952605</x:v>
      </x:c>
      <x:c r="K573" s="58" t="n">
        <x:f>K559*'Commercial Inputs'!$B$28</x:f>
        <x:v>1523.384718990127</x:v>
      </x:c>
      <x:c r="L573" s="58" t="n">
        <x:f>L559*'Commercial Inputs'!$B$28</x:f>
        <x:v>1746.7865500925723</x:v>
      </x:c>
      <x:c r="M573" s="58" t="n">
        <x:f>M559*'Commercial Inputs'!$B$28</x:f>
        <x:v>1982.3983672851318</x:v>
      </x:c>
      <x:c r="N573" s="58" t="n">
        <x:f>N559*'Commercial Inputs'!$B$28</x:f>
        <x:v>2323.201053095926</x:v>
      </x:c>
      <x:c r="O573" s="58" t="n">
        <x:f>O559*'Commercial Inputs'!$B$28</x:f>
        <x:v>2636.037569376872</x:v>
      </x:c>
      <x:c r="P573" s="58" t="n">
        <x:f>P559*'Commercial Inputs'!$B$28</x:f>
        <x:v>2943.1413699055993</x:v>
      </x:c>
      <x:c r="Q573" s="58" t="n">
        <x:f>Q559*'Commercial Inputs'!$B$28</x:f>
        <x:v>3242.349434361694</x:v>
      </x:c>
      <x:c r="R573" s="58" t="n">
        <x:f>R559*'Commercial Inputs'!$B$28</x:f>
        <x:v>3546.5319185440867</x:v>
      </x:c>
      <x:c r="S573" s="58" t="n">
        <x:f>S559*'Commercial Inputs'!$B$28</x:f>
        <x:v>3857.434670386317</x:v>
      </x:c>
      <x:c r="T573" s="58" t="n">
        <x:f>T559*'Commercial Inputs'!$B$28</x:f>
        <x:v>4299.837198820984</x:v>
      </x:c>
      <x:c r="U573" s="58" t="n">
        <x:f>U559*'Commercial Inputs'!$B$28</x:f>
        <x:v>4715.329792418835</x:v>
      </x:c>
      <x:c r="V573" s="58" t="n">
        <x:f>V559*'Commercial Inputs'!$B$28</x:f>
        <x:v>5128.312661154055</x:v>
      </x:c>
      <x:c r="W573" s="58" t="n">
        <x:f>W559*'Commercial Inputs'!$B$28</x:f>
        <x:v>5548.793498360029</x:v>
      </x:c>
      <x:c r="X573" s="58" t="n">
        <x:f>X559*'Commercial Inputs'!$B$28</x:f>
        <x:v>5979.038353728291</x:v>
      </x:c>
      <x:c r="Y573" s="58" t="n">
        <x:f>Y559*'Commercial Inputs'!$B$28</x:f>
        <x:v>6421.18530554932</x:v>
      </x:c>
      <x:c r="Z573" s="58" t="n">
        <x:f>Z559*'Commercial Inputs'!$B$28</x:f>
        <x:v>6917.353626761513</x:v>
      </x:c>
      <x:c r="AA573" s="58" t="n">
        <x:f>AA559*'Commercial Inputs'!$B$28</x:f>
        <x:v>7397.602321874634</x:v>
      </x:c>
      <x:c r="AB573" s="58" t="n">
        <x:f>AB559*'Commercial Inputs'!$B$28</x:f>
        <x:v>7878.680832942624</x:v>
      </x:c>
      <x:c r="AC573" s="58" t="n">
        <x:f>AC559*'Commercial Inputs'!$B$28</x:f>
        <x:v>8365.417742783555</x:v>
      </x:c>
      <x:c r="AD573" s="58" t="n">
        <x:f>AD559*'Commercial Inputs'!$B$28</x:f>
        <x:v>8861.859174128289</x:v>
      </x:c>
      <x:c r="AE573" s="58" t="n">
        <x:f>AE559*'Commercial Inputs'!$B$28</x:f>
        <x:v>9369.802790194251</x:v>
      </x:c>
      <x:c r="AF573" s="58" t="n">
        <x:f>AF559*'Commercial Inputs'!$B$28</x:f>
        <x:v>9978.293504729369</x:v>
      </x:c>
      <x:c r="AG573" s="58" t="n">
        <x:f>AG559*'Commercial Inputs'!$B$28</x:f>
        <x:v>10568.046088037558</x:v>
      </x:c>
      <x:c r="AH573" s="58" t="n">
        <x:f>AH559*'Commercial Inputs'!$B$28</x:f>
        <x:v>11161.367080706706</x:v>
      </x:c>
      <x:c r="AI573" s="58" t="n">
        <x:f>AI559*'Commercial Inputs'!$B$28</x:f>
        <x:v>11767.452059098323</x:v>
      </x:c>
      <x:c r="AJ573" s="58" t="n">
        <x:f>AJ559*'Commercial Inputs'!$B$28</x:f>
        <x:v>12388.432228858615</x:v>
      </x:c>
      <x:c r="AK573" s="58" t="n">
        <x:f>AK559*'Commercial Inputs'!$B$28</x:f>
        <x:v>13026.296048241715</x:v>
      </x:c>
    </x:row>
    <x:row r="574" ht="18" customHeight="1">
      <x:c r="A574" s="4" t="str">
        <x:v>Total direct costs (INR)</x:v>
      </x:c>
      <x:c r="B574" s="58" t="n">
        <x:f>SUM(B569:B573)</x:f>
        <x:v>4180.305818813559</x:v>
      </x:c>
      <x:c r="C574" s="58" t="n">
        <x:f>SUM(C569:C573)</x:f>
        <x:v>5267.743658009288</x:v>
      </x:c>
      <x:c r="D574" s="58" t="n">
        <x:f>SUM(D569:D573)</x:f>
        <x:v>6309.575589533194</x:v>
      </x:c>
      <x:c r="E574" s="58" t="n">
        <x:f>SUM(E569:E573)</x:f>
        <x:v>8832.358622340676</x:v>
      </x:c>
      <x:c r="F574" s="58" t="n">
        <x:f>SUM(F569:F573)</x:f>
        <x:v>10231.097624227676</x:v>
      </x:c>
      <x:c r="G574" s="58" t="n">
        <x:f>SUM(G569:G573)</x:f>
        <x:v>11638.893878996818</x:v>
      </x:c>
      <x:c r="H574" s="58" t="n">
        <x:f>SUM(H569:H573)</x:f>
        <x:v>16242.763469170133</x:v>
      </x:c>
      <x:c r="I574" s="58" t="n">
        <x:f>SUM(I569:I573)</x:f>
        <x:v>18384.134324497554</x:v>
      </x:c>
      <x:c r="J574" s="58" t="n">
        <x:f>SUM(J569:J573)</x:f>
        <x:v>20503.80155080648</x:v>
      </x:c>
      <x:c r="K574" s="58" t="n">
        <x:f>SUM(K569:K573)</x:f>
        <x:v>22700.71431448688</x:v>
      </x:c>
      <x:c r="L574" s="58" t="n">
        <x:f>SUM(L569:L573)</x:f>
        <x:v>25005.718931574334</x:v>
      </x:c>
      <x:c r="M574" s="58" t="n">
        <x:f>SUM(M569:M573)</x:f>
        <x:v>27450.204424961645</x:v>
      </x:c>
      <x:c r="N574" s="58" t="n">
        <x:f>SUM(N569:N573)</x:f>
        <x:v>35355.03256166519</x:v>
      </x:c>
      <x:c r="O574" s="58" t="n">
        <x:f>SUM(O569:O573)</x:f>
        <x:v>38517.76440332926</x:v>
      </x:c>
      <x:c r="P574" s="58" t="n">
        <x:f>SUM(P569:P573)</x:f>
        <x:v>41565.33713122888</x:v>
      </x:c>
      <x:c r="Q574" s="58" t="n">
        <x:f>SUM(Q569:Q573)</x:f>
        <x:v>44891.37938161125</x:v>
      </x:c>
      <x:c r="R574" s="58" t="n">
        <x:f>SUM(R569:R573)</x:f>
        <x:v>47972.50308032971</x:v>
      </x:c>
      <x:c r="S574" s="58" t="n">
        <x:f>SUM(S569:S573)</x:f>
        <x:v>51133.449464398276</x:v>
      </x:c>
      <x:c r="T574" s="58" t="n">
        <x:f>SUM(T569:T573)</x:f>
        <x:v>60433.53532786931</x:v>
      </x:c>
      <x:c r="U574" s="58" t="n">
        <x:f>SUM(U569:U573)</x:f>
        <x:v>64771.66075619396</x:v>
      </x:c>
      <x:c r="V574" s="58" t="n">
        <x:f>SUM(V569:V573)</x:f>
        <x:v>69046.3371226201</x:v>
      </x:c>
      <x:c r="W574" s="58" t="n">
        <x:f>SUM(W569:W573)</x:f>
        <x:v>73416.0360302726</x:v>
      </x:c>
      <x:c r="X574" s="58" t="n">
        <x:f>SUM(X569:X573)</x:f>
        <x:v>77918.14665600561</x:v>
      </x:c>
      <x:c r="Y574" s="58" t="n">
        <x:f>SUM(Y569:Y573)</x:f>
        <x:v>82588.62727638798</x:v>
      </x:c>
      <x:c r="Z574" s="58" t="n">
        <x:f>SUM(Z569:Z573)</x:f>
        <x:v>91710.88556393134</x:v>
      </x:c>
      <x:c r="AA574" s="58" t="n">
        <x:f>SUM(AA569:AA573)</x:f>
        <x:v>96645.8965809301</x:v>
      </x:c>
      <x:c r="AB574" s="58" t="n">
        <x:f>SUM(AB569:AB573)</x:f>
        <x:v>101557.4503269119</x:v>
      </x:c>
      <x:c r="AC574" s="58" t="n">
        <x:f>SUM(AC569:AC573)</x:f>
        <x:v>106705.3170373325</x:v>
      </x:c>
      <x:c r="AD574" s="58" t="n">
        <x:f>SUM(AD569:AD573)</x:f>
        <x:v>111811.32309962856</x:v>
      </x:c>
      <x:c r="AE574" s="58" t="n">
        <x:f>SUM(AE569:AE573)</x:f>
        <x:v>117063.14884245567</x:v>
      </x:c>
      <x:c r="AF574" s="58" t="n">
        <x:f>SUM(AF569:AF573)</x:f>
        <x:v>128763.15693872675</x:v>
      </x:c>
      <x:c r="AG574" s="58" t="n">
        <x:f>SUM(AG569:AG573)</x:f>
        <x:v>135148.429722535</x:v>
      </x:c>
      <x:c r="AH574" s="58" t="n">
        <x:f>SUM(AH569:AH573)</x:f>
        <x:v>141559.50228603688</x:v>
      </x:c>
      <x:c r="AI574" s="58" t="n">
        <x:f>SUM(AI569:AI573)</x:f>
        <x:v>148143.17076947037</x:v>
      </x:c>
      <x:c r="AJ574" s="58" t="n">
        <x:f>SUM(AJ569:AJ573)</x:f>
        <x:v>154935.82168452404</x:v>
      </x:c>
      <x:c r="AK574" s="58" t="n">
        <x:f>SUM(AK569:AK573)</x:f>
        <x:v>161972.19819029322</x:v>
      </x:c>
    </x:row>
    <x:row r="575" ht="18" customHeight="1">
      <x:c r="A575" s="74" t="str">
        <x:v>CONTRIBUTION BEFORE ACQUISITION / FIXED</x:v>
      </x:c>
      <x:c r="B575" s="75" t="n">
        <x:f>B563-B574</x:f>
        <x:v>3389.246014293786</x:v>
      </x:c>
      <x:c r="C575" s="75" t="n">
        <x:f>C563-C574</x:f>
        <x:v>8181.603147040655</x:v>
      </x:c>
      <x:c r="D575" s="75" t="n">
        <x:f>D563-D574</x:f>
        <x:v>12638.568434653149</x:v>
      </x:c>
      <x:c r="E575" s="75" t="n">
        <x:f>E563-E574</x:f>
        <x:v>18384.347814629233</x:v>
      </x:c>
      <x:c r="F575" s="75" t="n">
        <x:f>F563-F574</x:f>
        <x:v>24677.352086295134</x:v>
      </x:c>
      <x:c r="G575" s="75" t="n">
        <x:f>G563-G574</x:f>
        <x:v>30957.484212703035</x:v>
      </x:c>
      <x:c r="H575" s="75" t="n">
        <x:f>H563-H574</x:f>
        <x:v>40007.856684844905</x:v>
      </x:c>
      <x:c r="I575" s="75" t="n">
        <x:f>I563-I574</x:f>
        <x:v>50164.932789774946</x:v>
      </x:c>
      <x:c r="J575" s="75" t="n">
        <x:f>J563-J574</x:f>
        <x:v>60159.51746567897</x:v>
      </x:c>
      <x:c r="K575" s="75" t="n">
        <x:f>K563-K574</x:f>
        <x:v>70398.06946264589</x:v>
      </x:c>
      <x:c r="L575" s="75" t="n">
        <x:f>L563-L574</x:f>
        <x:v>81000.36708025624</x:v>
      </x:c>
      <x:c r="M575" s="75" t="n">
        <x:f>M563-M574</x:f>
        <x:v>92087.31248887809</x:v>
      </x:c>
      <x:c r="N575" s="75" t="n">
        <x:f>N563-N574</x:f>
        <x:v>105287.57808707823</x:v>
      </x:c>
      <x:c r="O575" s="75" t="n">
        <x:f>O563-O574</x:f>
        <x:v>120733.65354567481</x:v>
      </x:c>
      <x:c r="P575" s="75" t="n">
        <x:f>P563-P574</x:f>
        <x:v>135598.45545544452</x:v>
      </x:c>
      <x:c r="Q575" s="75" t="n">
        <x:f>Q563-Q574</x:f>
        <x:v>149674.7103370488</x:v>
      </x:c>
      <x:c r="R575" s="75" t="n">
        <x:f>R563-R574</x:f>
        <x:v>164143.16347497</x:v>
      </x:c>
      <x:c r="S575" s="75" t="n">
        <x:f>S563-S574</x:f>
        <x:v>178805.57899439184</x:v>
      </x:c>
      <x:c r="T575" s="75" t="n">
        <x:f>T563-T574</x:f>
        <x:v>196566.44581898372</x:v>
      </x:c>
      <x:c r="U575" s="75" t="n">
        <x:f>U563-U574</x:f>
        <x:v>216785.82294362521</x:v>
      </x:c>
      <x:c r="V575" s="75" t="n">
        <x:f>V563-V574</x:f>
        <x:v>236537.64321055176</x:v>
      </x:c>
      <x:c r="W575" s="75" t="n">
        <x:f>W563-W574</x:f>
        <x:v>256461.20062775793</x:v>
      </x:c>
      <x:c r="X575" s="75" t="n">
        <x:f>X563-X574</x:f>
        <x:v>276684.7729540719</x:v>
      </x:c>
      <x:c r="Y575" s="75" t="n">
        <x:f>Y563-Y574</x:f>
        <x:v>297327.1041211761</x:v>
      </x:c>
      <x:c r="Z575" s="75" t="n">
        <x:f>Z563-Z574</x:f>
        <x:v>317808.0074843996</x:v>
      </x:c>
      <x:c r="AA575" s="75" t="n">
        <x:f>AA563-AA574</x:f>
        <x:v>340850.5311270417</x:v>
      </x:c>
      <x:c r="AB575" s="75" t="n">
        <x:f>AB563-AB574</x:f>
        <x:v>363642.80029153125</x:v>
      </x:c>
      <x:c r="AC575" s="75" t="n">
        <x:f>AC563-AC574</x:f>
        <x:v>386376.3704640881</x:v>
      </x:c>
      <x:c r="AD575" s="75" t="n">
        <x:f>AD563-AD574</x:f>
        <x:v>409572.0409432638</x:v>
      </x:c>
      <x:c r="AE575" s="75" t="n">
        <x:f>AE563-AE574</x:f>
        <x:v>433173.2163013349</x:v>
      </x:c>
      <x:c r="AF575" s="75" t="n">
        <x:f>AF563-AF574</x:f>
        <x:v>457878.51852280623</x:v>
      </x:c>
      <x:c r="AG575" s="75" t="n">
        <x:f>AG563-AG574</x:f>
        <x:v>485950.9758144552</x:v>
      </x:c>
      <x:c r="AH575" s="75" t="n">
        <x:f>AH563-AH574</x:f>
        <x:v>513853.20253548</x:v>
      </x:c>
      <x:c r="AI575" s="75" t="n">
        <x:f>AI563-AI574</x:f>
        <x:v>542171.8292860594</x:v>
      </x:c>
      <x:c r="AJ575" s="75" t="n">
        <x:f>AJ563-AJ574</x:f>
        <x:v>571027.4723738789</x:v>
      </x:c>
      <x:c r="AK575" s="75" t="n">
        <x:f>AK563-AK574</x:f>
        <x:v>600530.6556996407</x:v>
      </x:c>
    </x:row>
    <x:row r="576" ht="18" customHeight="1">
      <x:c r="A576" s="4" t="str">
        <x:v>Contribution margin (%)</x:v>
      </x:c>
      <x:c r="B576" s="62" t="n">
        <x:f>IFERROR(B575/B563,0)</x:f>
        <x:v>0.44774724964165824</x:v>
      </x:c>
      <x:c r="C576" s="62" t="n">
        <x:f>IFERROR(C575/C563,0)</x:f>
        <x:v>0.6083271749650055</x:v>
      </x:c>
      <x:c r="D576" s="62" t="n">
        <x:f>IFERROR(D575/D563,0)</x:f>
        <x:v>0.6670082525507859</x:v>
      </x:c>
      <x:c r="E576" s="62" t="n">
        <x:f>IFERROR(E575/E563,0)</x:f>
        <x:v>0.67548025537935</x:v>
      </x:c>
      <x:c r="F576" s="62" t="n">
        <x:f>IFERROR(F575/F563,0)</x:f>
        <x:v>0.7069162993754028</x:v>
      </x:c>
      <x:c r="G576" s="62" t="n">
        <x:f>IFERROR(G575/G563,0)</x:f>
        <x:v>0.7267632977165088</x:v>
      </x:c>
      <x:c r="H576" s="62" t="n">
        <x:f>IFERROR(H575/H563,0)</x:f>
        <x:v>0.7112429440831549</x:v>
      </x:c>
      <x:c r="I576" s="62" t="n">
        <x:f>IFERROR(I575/I563,0)</x:f>
        <x:v>0.7318105833030393</x:v>
      </x:c>
      <x:c r="J576" s="62" t="n">
        <x:f>IFERROR(J575/J563,0)</x:f>
        <x:v>0.7458100931029624</x:v>
      </x:c>
      <x:c r="K576" s="62" t="n">
        <x:f>IFERROR(K575/K563,0)</x:f>
        <x:v>0.7561652967580152</x:v>
      </x:c>
      <x:c r="L576" s="62" t="n">
        <x:f>IFERROR(L575/L563,0)</x:f>
        <x:v>0.7641105348537854</x:v>
      </x:c>
      <x:c r="M576" s="62" t="n">
        <x:f>IFERROR(M575/M563,0)</x:f>
        <x:v>0.7703632705977387</x:v>
      </x:c>
      <x:c r="N576" s="62" t="n">
        <x:f>IFERROR(N575/N563,0)</x:f>
        <x:v>0.748617916017182</x:v>
      </x:c>
      <x:c r="O576" s="62" t="n">
        <x:f>IFERROR(O575/O563,0)</x:f>
        <x:v>0.7581323613981037</x:v>
      </x:c>
      <x:c r="P576" s="62" t="n">
        <x:f>IFERROR(P575/P563,0)</x:f>
        <x:v>0.7653846955726353</x:v>
      </x:c>
      <x:c r="Q576" s="62" t="n">
        <x:f>IFERROR(Q575/Q563,0)</x:f>
        <x:v>0.7692743918196455</x:v>
      </x:c>
      <x:c r="R576" s="62" t="n">
        <x:f>IFERROR(R575/R563,0)</x:f>
        <x:v>0.7738380014103153</x:v>
      </x:c>
      <x:c r="S576" s="62" t="n">
        <x:f>IFERROR(S575/S563,0)</x:f>
        <x:v>0.7776217034266436</x:v>
      </x:c>
      <x:c r="T576" s="62" t="n">
        <x:f>IFERROR(T575/T563,0)</x:f>
        <x:v>0.764850039839743</x:v>
      </x:c>
      <x:c r="U576" s="62" t="n">
        <x:f>IFERROR(U575/U563,0)</x:f>
        <x:v>0.769952267277506</x:v>
      </x:c>
      <x:c r="V576" s="62" t="n">
        <x:f>IFERROR(V575/V563,0)</x:f>
        <x:v>0.7740511886541294</x:v>
      </x:c>
      <x:c r="W576" s="62" t="n">
        <x:f>IFERROR(W575/W563,0)</x:f>
        <x:v>0.7774443705966294</x:v>
      </x:c>
      <x:c r="X576" s="62" t="n">
        <x:f>IFERROR(X575/X563,0)</x:f>
        <x:v>0.7802664830236461</x:v>
      </x:c>
      <x:c r="Y576" s="62" t="n">
        <x:f>IFERROR(Y575/Y563,0)</x:f>
        <x:v>0.7826132996057411</x:v>
      </x:c>
      <x:c r="Z576" s="62" t="n">
        <x:f>IFERROR(Z575/Z563,0)</x:f>
        <x:v>0.7760521257486704</x:v>
      </x:c>
      <x:c r="AA576" s="62" t="n">
        <x:f>IFERROR(AA575/AA563,0)</x:f>
        <x:v>0.7790932897732342</x:v>
      </x:c>
      <x:c r="AB576" s="62" t="n">
        <x:f>IFERROR(AB575/AB563,0)</x:f>
        <x:v>0.7816908950674464</x:v>
      </x:c>
      <x:c r="AC576" s="62" t="n">
        <x:f>IFERROR(AC575/AC563,0)</x:f>
        <x:v>0.7835950518096961</x:v>
      </x:c>
      <x:c r="AD576" s="62" t="n">
        <x:f>IFERROR(AD575/AD563,0)</x:f>
        <x:v>0.7855487328313946</x:v>
      </x:c>
      <x:c r="AE576" s="62" t="n">
        <x:f>IFERROR(AE575/AE563,0)</x:f>
        <x:v>0.7872493418135601</x:v>
      </x:c>
      <x:c r="AF576" s="62" t="n">
        <x:f>IFERROR(AF575/AF563,0)</x:f>
        <x:v>0.7805079960651893</x:v>
      </x:c>
      <x:c r="AG576" s="62" t="n">
        <x:f>IFERROR(AG575/AG563,0)</x:f>
        <x:v>0.7824045096200207</x:v>
      </x:c>
      <x:c r="AH576" s="62" t="n">
        <x:f>IFERROR(AH575/AH563,0)</x:f>
        <x:v>0.7840147112732785</x:v>
      </x:c>
      <x:c r="AI576" s="62" t="n">
        <x:f>IFERROR(AI575/AI563,0)</x:f>
        <x:v>0.7853977231299427</x:v>
      </x:c>
      <x:c r="AJ576" s="62" t="n">
        <x:f>IFERROR(AJ575/AJ563,0)</x:f>
        <x:v>0.7865789869094131</x:v>
      </x:c>
      <x:c r="AK576" s="62" t="n">
        <x:f>IFERROR(AK575/AK563,0)</x:f>
        <x:v>0.7875782400498744</x:v>
      </x:c>
    </x:row>
    <x:row r="577" ht="18" customHeight="1">
      <x:c r="A577" s="4" t="str">
        <x:v>Core operating overhead (INR)</x:v>
      </x:c>
      <x:c r="B577" s="60" t="n">
        <x:f>'Scenario Inputs'!$C$24</x:f>
        <x:v>10000</x:v>
      </x:c>
      <x:c r="C577" s="60" t="n">
        <x:f>'Scenario Inputs'!$C$24</x:f>
        <x:v>10000</x:v>
      </x:c>
      <x:c r="D577" s="60" t="n">
        <x:f>'Scenario Inputs'!$C$24</x:f>
        <x:v>10000</x:v>
      </x:c>
      <x:c r="E577" s="60" t="n">
        <x:f>'Scenario Inputs'!$C$24</x:f>
        <x:v>10000</x:v>
      </x:c>
      <x:c r="F577" s="60" t="n">
        <x:f>'Scenario Inputs'!$C$24</x:f>
        <x:v>10000</x:v>
      </x:c>
      <x:c r="G577" s="60" t="n">
        <x:f>'Scenario Inputs'!$C$24</x:f>
        <x:v>10000</x:v>
      </x:c>
      <x:c r="H577" s="60" t="n">
        <x:f>'Scenario Inputs'!$C$24</x:f>
        <x:v>10000</x:v>
      </x:c>
      <x:c r="I577" s="60" t="n">
        <x:f>'Scenario Inputs'!$C$24</x:f>
        <x:v>10000</x:v>
      </x:c>
      <x:c r="J577" s="60" t="n">
        <x:f>'Scenario Inputs'!$C$24</x:f>
        <x:v>10000</x:v>
      </x:c>
      <x:c r="K577" s="60" t="n">
        <x:f>'Scenario Inputs'!$C$24</x:f>
        <x:v>10000</x:v>
      </x:c>
      <x:c r="L577" s="60" t="n">
        <x:f>'Scenario Inputs'!$C$24</x:f>
        <x:v>10000</x:v>
      </x:c>
      <x:c r="M577" s="60" t="n">
        <x:f>'Scenario Inputs'!$C$24</x:f>
        <x:v>10000</x:v>
      </x:c>
      <x:c r="N577" s="60" t="n">
        <x:f>'Scenario Inputs'!$C$25</x:f>
        <x:v>15000</x:v>
      </x:c>
      <x:c r="O577" s="60" t="n">
        <x:f>'Scenario Inputs'!$C$25</x:f>
        <x:v>15000</x:v>
      </x:c>
      <x:c r="P577" s="60" t="n">
        <x:f>'Scenario Inputs'!$C$25</x:f>
        <x:v>15000</x:v>
      </x:c>
      <x:c r="Q577" s="60" t="n">
        <x:f>'Scenario Inputs'!$C$25</x:f>
        <x:v>15000</x:v>
      </x:c>
      <x:c r="R577" s="60" t="n">
        <x:f>'Scenario Inputs'!$C$25</x:f>
        <x:v>15000</x:v>
      </x:c>
      <x:c r="S577" s="60" t="n">
        <x:f>'Scenario Inputs'!$C$25</x:f>
        <x:v>15000</x:v>
      </x:c>
      <x:c r="T577" s="60" t="n">
        <x:f>'Scenario Inputs'!$C$25</x:f>
        <x:v>15000</x:v>
      </x:c>
      <x:c r="U577" s="60" t="n">
        <x:f>'Scenario Inputs'!$C$25</x:f>
        <x:v>15000</x:v>
      </x:c>
      <x:c r="V577" s="60" t="n">
        <x:f>'Scenario Inputs'!$C$25</x:f>
        <x:v>15000</x:v>
      </x:c>
      <x:c r="W577" s="60" t="n">
        <x:f>'Scenario Inputs'!$C$25</x:f>
        <x:v>15000</x:v>
      </x:c>
      <x:c r="X577" s="60" t="n">
        <x:f>'Scenario Inputs'!$C$25</x:f>
        <x:v>15000</x:v>
      </x:c>
      <x:c r="Y577" s="60" t="n">
        <x:f>'Scenario Inputs'!$C$25</x:f>
        <x:v>15000</x:v>
      </x:c>
      <x:c r="Z577" s="60" t="n">
        <x:f>'Scenario Inputs'!$C$26</x:f>
        <x:v>25000</x:v>
      </x:c>
      <x:c r="AA577" s="60" t="n">
        <x:f>'Scenario Inputs'!$C$26</x:f>
        <x:v>25000</x:v>
      </x:c>
      <x:c r="AB577" s="60" t="n">
        <x:f>'Scenario Inputs'!$C$26</x:f>
        <x:v>25000</x:v>
      </x:c>
      <x:c r="AC577" s="60" t="n">
        <x:f>'Scenario Inputs'!$C$26</x:f>
        <x:v>25000</x:v>
      </x:c>
      <x:c r="AD577" s="60" t="n">
        <x:f>'Scenario Inputs'!$C$26</x:f>
        <x:v>25000</x:v>
      </x:c>
      <x:c r="AE577" s="60" t="n">
        <x:f>'Scenario Inputs'!$C$26</x:f>
        <x:v>25000</x:v>
      </x:c>
      <x:c r="AF577" s="60" t="n">
        <x:f>'Scenario Inputs'!$C$26</x:f>
        <x:v>25000</x:v>
      </x:c>
      <x:c r="AG577" s="60" t="n">
        <x:f>'Scenario Inputs'!$C$26</x:f>
        <x:v>25000</x:v>
      </x:c>
      <x:c r="AH577" s="60" t="n">
        <x:f>'Scenario Inputs'!$C$26</x:f>
        <x:v>25000</x:v>
      </x:c>
      <x:c r="AI577" s="60" t="n">
        <x:f>'Scenario Inputs'!$C$26</x:f>
        <x:v>25000</x:v>
      </x:c>
      <x:c r="AJ577" s="60" t="n">
        <x:f>'Scenario Inputs'!$C$26</x:f>
        <x:v>25000</x:v>
      </x:c>
      <x:c r="AK577" s="60" t="n">
        <x:f>'Scenario Inputs'!$C$26</x:f>
        <x:v>25000</x:v>
      </x:c>
    </x:row>
    <x:row r="578" ht="18" customHeight="1">
      <x:c r="A578" s="4" t="str">
        <x:v>Scaled technical QA reserve (INR)</x:v>
      </x:c>
      <x:c r="B578" s="58" t="n">
        <x:f>IF(B559&gt;='Commercial Inputs'!$B$38,'Commercial Inputs'!$B$42,IF(B559&gt;='Commercial Inputs'!$B$37,'Commercial Inputs'!$B$41,IF(B559&gt;='Commercial Inputs'!$B$36,'Commercial Inputs'!$B$40,IF(B559&gt;='Commercial Inputs'!$B$35,'Commercial Inputs'!$B$39,0))))</x:f>
        <x:v>0</x:v>
      </x:c>
      <x:c r="C578" s="58" t="n">
        <x:f>IF(C559&gt;='Commercial Inputs'!$B$38,'Commercial Inputs'!$B$42,IF(C559&gt;='Commercial Inputs'!$B$37,'Commercial Inputs'!$B$41,IF(C559&gt;='Commercial Inputs'!$B$36,'Commercial Inputs'!$B$40,IF(C559&gt;='Commercial Inputs'!$B$35,'Commercial Inputs'!$B$39,0))))</x:f>
        <x:v>0</x:v>
      </x:c>
      <x:c r="D578" s="58" t="n">
        <x:f>IF(D559&gt;='Commercial Inputs'!$B$38,'Commercial Inputs'!$B$42,IF(D559&gt;='Commercial Inputs'!$B$37,'Commercial Inputs'!$B$41,IF(D559&gt;='Commercial Inputs'!$B$36,'Commercial Inputs'!$B$40,IF(D559&gt;='Commercial Inputs'!$B$35,'Commercial Inputs'!$B$39,0))))</x:f>
        <x:v>0</x:v>
      </x:c>
      <x:c r="E578" s="58" t="n">
        <x:f>IF(E559&gt;='Commercial Inputs'!$B$38,'Commercial Inputs'!$B$42,IF(E559&gt;='Commercial Inputs'!$B$37,'Commercial Inputs'!$B$41,IF(E559&gt;='Commercial Inputs'!$B$36,'Commercial Inputs'!$B$40,IF(E559&gt;='Commercial Inputs'!$B$35,'Commercial Inputs'!$B$39,0))))</x:f>
        <x:v>0</x:v>
      </x:c>
      <x:c r="F578" s="58" t="n">
        <x:f>IF(F559&gt;='Commercial Inputs'!$B$38,'Commercial Inputs'!$B$42,IF(F559&gt;='Commercial Inputs'!$B$37,'Commercial Inputs'!$B$41,IF(F559&gt;='Commercial Inputs'!$B$36,'Commercial Inputs'!$B$40,IF(F559&gt;='Commercial Inputs'!$B$35,'Commercial Inputs'!$B$39,0))))</x:f>
        <x:v>0</x:v>
      </x:c>
      <x:c r="G578" s="58" t="n">
        <x:f>IF(G559&gt;='Commercial Inputs'!$B$38,'Commercial Inputs'!$B$42,IF(G559&gt;='Commercial Inputs'!$B$37,'Commercial Inputs'!$B$41,IF(G559&gt;='Commercial Inputs'!$B$36,'Commercial Inputs'!$B$40,IF(G559&gt;='Commercial Inputs'!$B$35,'Commercial Inputs'!$B$39,0))))</x:f>
        <x:v>0</x:v>
      </x:c>
      <x:c r="H578" s="58" t="n">
        <x:f>IF(H559&gt;='Commercial Inputs'!$B$38,'Commercial Inputs'!$B$42,IF(H559&gt;='Commercial Inputs'!$B$37,'Commercial Inputs'!$B$41,IF(H559&gt;='Commercial Inputs'!$B$36,'Commercial Inputs'!$B$40,IF(H559&gt;='Commercial Inputs'!$B$35,'Commercial Inputs'!$B$39,0))))</x:f>
        <x:v>0</x:v>
      </x:c>
      <x:c r="I578" s="58" t="n">
        <x:f>IF(I559&gt;='Commercial Inputs'!$B$38,'Commercial Inputs'!$B$42,IF(I559&gt;='Commercial Inputs'!$B$37,'Commercial Inputs'!$B$41,IF(I559&gt;='Commercial Inputs'!$B$36,'Commercial Inputs'!$B$40,IF(I559&gt;='Commercial Inputs'!$B$35,'Commercial Inputs'!$B$39,0))))</x:f>
        <x:v>0</x:v>
      </x:c>
      <x:c r="J578" s="58" t="n">
        <x:f>IF(J559&gt;='Commercial Inputs'!$B$38,'Commercial Inputs'!$B$42,IF(J559&gt;='Commercial Inputs'!$B$37,'Commercial Inputs'!$B$41,IF(J559&gt;='Commercial Inputs'!$B$36,'Commercial Inputs'!$B$40,IF(J559&gt;='Commercial Inputs'!$B$35,'Commercial Inputs'!$B$39,0))))</x:f>
        <x:v>0</x:v>
      </x:c>
      <x:c r="K578" s="58" t="n">
        <x:f>IF(K559&gt;='Commercial Inputs'!$B$38,'Commercial Inputs'!$B$42,IF(K559&gt;='Commercial Inputs'!$B$37,'Commercial Inputs'!$B$41,IF(K559&gt;='Commercial Inputs'!$B$36,'Commercial Inputs'!$B$40,IF(K559&gt;='Commercial Inputs'!$B$35,'Commercial Inputs'!$B$39,0))))</x:f>
        <x:v>0</x:v>
      </x:c>
      <x:c r="L578" s="58" t="n">
        <x:f>IF(L559&gt;='Commercial Inputs'!$B$38,'Commercial Inputs'!$B$42,IF(L559&gt;='Commercial Inputs'!$B$37,'Commercial Inputs'!$B$41,IF(L559&gt;='Commercial Inputs'!$B$36,'Commercial Inputs'!$B$40,IF(L559&gt;='Commercial Inputs'!$B$35,'Commercial Inputs'!$B$39,0))))</x:f>
        <x:v>0</x:v>
      </x:c>
      <x:c r="M578" s="58" t="n">
        <x:f>IF(M559&gt;='Commercial Inputs'!$B$38,'Commercial Inputs'!$B$42,IF(M559&gt;='Commercial Inputs'!$B$37,'Commercial Inputs'!$B$41,IF(M559&gt;='Commercial Inputs'!$B$36,'Commercial Inputs'!$B$40,IF(M559&gt;='Commercial Inputs'!$B$35,'Commercial Inputs'!$B$39,0))))</x:f>
        <x:v>0</x:v>
      </x:c>
      <x:c r="N578" s="58" t="n">
        <x:f>IF(N559&gt;='Commercial Inputs'!$B$38,'Commercial Inputs'!$B$42,IF(N559&gt;='Commercial Inputs'!$B$37,'Commercial Inputs'!$B$41,IF(N559&gt;='Commercial Inputs'!$B$36,'Commercial Inputs'!$B$40,IF(N559&gt;='Commercial Inputs'!$B$35,'Commercial Inputs'!$B$39,0))))</x:f>
        <x:v>0</x:v>
      </x:c>
      <x:c r="O578" s="58" t="n">
        <x:f>IF(O559&gt;='Commercial Inputs'!$B$38,'Commercial Inputs'!$B$42,IF(O559&gt;='Commercial Inputs'!$B$37,'Commercial Inputs'!$B$41,IF(O559&gt;='Commercial Inputs'!$B$36,'Commercial Inputs'!$B$40,IF(O559&gt;='Commercial Inputs'!$B$35,'Commercial Inputs'!$B$39,0))))</x:f>
        <x:v>10000</x:v>
      </x:c>
      <x:c r="P578" s="58" t="n">
        <x:f>IF(P559&gt;='Commercial Inputs'!$B$38,'Commercial Inputs'!$B$42,IF(P559&gt;='Commercial Inputs'!$B$37,'Commercial Inputs'!$B$41,IF(P559&gt;='Commercial Inputs'!$B$36,'Commercial Inputs'!$B$40,IF(P559&gt;='Commercial Inputs'!$B$35,'Commercial Inputs'!$B$39,0))))</x:f>
        <x:v>10000</x:v>
      </x:c>
      <x:c r="Q578" s="58" t="n">
        <x:f>IF(Q559&gt;='Commercial Inputs'!$B$38,'Commercial Inputs'!$B$42,IF(Q559&gt;='Commercial Inputs'!$B$37,'Commercial Inputs'!$B$41,IF(Q559&gt;='Commercial Inputs'!$B$36,'Commercial Inputs'!$B$40,IF(Q559&gt;='Commercial Inputs'!$B$35,'Commercial Inputs'!$B$39,0))))</x:f>
        <x:v>10000</x:v>
      </x:c>
      <x:c r="R578" s="58" t="n">
        <x:f>IF(R559&gt;='Commercial Inputs'!$B$38,'Commercial Inputs'!$B$42,IF(R559&gt;='Commercial Inputs'!$B$37,'Commercial Inputs'!$B$41,IF(R559&gt;='Commercial Inputs'!$B$36,'Commercial Inputs'!$B$40,IF(R559&gt;='Commercial Inputs'!$B$35,'Commercial Inputs'!$B$39,0))))</x:f>
        <x:v>10000</x:v>
      </x:c>
      <x:c r="S578" s="58" t="n">
        <x:f>IF(S559&gt;='Commercial Inputs'!$B$38,'Commercial Inputs'!$B$42,IF(S559&gt;='Commercial Inputs'!$B$37,'Commercial Inputs'!$B$41,IF(S559&gt;='Commercial Inputs'!$B$36,'Commercial Inputs'!$B$40,IF(S559&gt;='Commercial Inputs'!$B$35,'Commercial Inputs'!$B$39,0))))</x:f>
        <x:v>10000</x:v>
      </x:c>
      <x:c r="T578" s="58" t="n">
        <x:f>IF(T559&gt;='Commercial Inputs'!$B$38,'Commercial Inputs'!$B$42,IF(T559&gt;='Commercial Inputs'!$B$37,'Commercial Inputs'!$B$41,IF(T559&gt;='Commercial Inputs'!$B$36,'Commercial Inputs'!$B$40,IF(T559&gt;='Commercial Inputs'!$B$35,'Commercial Inputs'!$B$39,0))))</x:f>
        <x:v>10000</x:v>
      </x:c>
      <x:c r="U578" s="58" t="n">
        <x:f>IF(U559&gt;='Commercial Inputs'!$B$38,'Commercial Inputs'!$B$42,IF(U559&gt;='Commercial Inputs'!$B$37,'Commercial Inputs'!$B$41,IF(U559&gt;='Commercial Inputs'!$B$36,'Commercial Inputs'!$B$40,IF(U559&gt;='Commercial Inputs'!$B$35,'Commercial Inputs'!$B$39,0))))</x:f>
        <x:v>10000</x:v>
      </x:c>
      <x:c r="V578" s="58" t="n">
        <x:f>IF(V559&gt;='Commercial Inputs'!$B$38,'Commercial Inputs'!$B$42,IF(V559&gt;='Commercial Inputs'!$B$37,'Commercial Inputs'!$B$41,IF(V559&gt;='Commercial Inputs'!$B$36,'Commercial Inputs'!$B$40,IF(V559&gt;='Commercial Inputs'!$B$35,'Commercial Inputs'!$B$39,0))))</x:f>
        <x:v>10000</x:v>
      </x:c>
      <x:c r="W578" s="58" t="n">
        <x:f>IF(W559&gt;='Commercial Inputs'!$B$38,'Commercial Inputs'!$B$42,IF(W559&gt;='Commercial Inputs'!$B$37,'Commercial Inputs'!$B$41,IF(W559&gt;='Commercial Inputs'!$B$36,'Commercial Inputs'!$B$40,IF(W559&gt;='Commercial Inputs'!$B$35,'Commercial Inputs'!$B$39,0))))</x:f>
        <x:v>10000</x:v>
      </x:c>
      <x:c r="X578" s="58" t="n">
        <x:f>IF(X559&gt;='Commercial Inputs'!$B$38,'Commercial Inputs'!$B$42,IF(X559&gt;='Commercial Inputs'!$B$37,'Commercial Inputs'!$B$41,IF(X559&gt;='Commercial Inputs'!$B$36,'Commercial Inputs'!$B$40,IF(X559&gt;='Commercial Inputs'!$B$35,'Commercial Inputs'!$B$39,0))))</x:f>
        <x:v>10000</x:v>
      </x:c>
      <x:c r="Y578" s="58" t="n">
        <x:f>IF(Y559&gt;='Commercial Inputs'!$B$38,'Commercial Inputs'!$B$42,IF(Y559&gt;='Commercial Inputs'!$B$37,'Commercial Inputs'!$B$41,IF(Y559&gt;='Commercial Inputs'!$B$36,'Commercial Inputs'!$B$40,IF(Y559&gt;='Commercial Inputs'!$B$35,'Commercial Inputs'!$B$39,0))))</x:f>
        <x:v>10000</x:v>
      </x:c>
      <x:c r="Z578" s="58" t="n">
        <x:f>IF(Z559&gt;='Commercial Inputs'!$B$38,'Commercial Inputs'!$B$42,IF(Z559&gt;='Commercial Inputs'!$B$37,'Commercial Inputs'!$B$41,IF(Z559&gt;='Commercial Inputs'!$B$36,'Commercial Inputs'!$B$40,IF(Z559&gt;='Commercial Inputs'!$B$35,'Commercial Inputs'!$B$39,0))))</x:f>
        <x:v>10000</x:v>
      </x:c>
      <x:c r="AA578" s="58" t="n">
        <x:f>IF(AA559&gt;='Commercial Inputs'!$B$38,'Commercial Inputs'!$B$42,IF(AA559&gt;='Commercial Inputs'!$B$37,'Commercial Inputs'!$B$41,IF(AA559&gt;='Commercial Inputs'!$B$36,'Commercial Inputs'!$B$40,IF(AA559&gt;='Commercial Inputs'!$B$35,'Commercial Inputs'!$B$39,0))))</x:f>
        <x:v>10000</x:v>
      </x:c>
      <x:c r="AB578" s="58" t="n">
        <x:f>IF(AB559&gt;='Commercial Inputs'!$B$38,'Commercial Inputs'!$B$42,IF(AB559&gt;='Commercial Inputs'!$B$37,'Commercial Inputs'!$B$41,IF(AB559&gt;='Commercial Inputs'!$B$36,'Commercial Inputs'!$B$40,IF(AB559&gt;='Commercial Inputs'!$B$35,'Commercial Inputs'!$B$39,0))))</x:f>
        <x:v>25000</x:v>
      </x:c>
      <x:c r="AC578" s="58" t="n">
        <x:f>IF(AC559&gt;='Commercial Inputs'!$B$38,'Commercial Inputs'!$B$42,IF(AC559&gt;='Commercial Inputs'!$B$37,'Commercial Inputs'!$B$41,IF(AC559&gt;='Commercial Inputs'!$B$36,'Commercial Inputs'!$B$40,IF(AC559&gt;='Commercial Inputs'!$B$35,'Commercial Inputs'!$B$39,0))))</x:f>
        <x:v>25000</x:v>
      </x:c>
      <x:c r="AD578" s="58" t="n">
        <x:f>IF(AD559&gt;='Commercial Inputs'!$B$38,'Commercial Inputs'!$B$42,IF(AD559&gt;='Commercial Inputs'!$B$37,'Commercial Inputs'!$B$41,IF(AD559&gt;='Commercial Inputs'!$B$36,'Commercial Inputs'!$B$40,IF(AD559&gt;='Commercial Inputs'!$B$35,'Commercial Inputs'!$B$39,0))))</x:f>
        <x:v>25000</x:v>
      </x:c>
      <x:c r="AE578" s="58" t="n">
        <x:f>IF(AE559&gt;='Commercial Inputs'!$B$38,'Commercial Inputs'!$B$42,IF(AE559&gt;='Commercial Inputs'!$B$37,'Commercial Inputs'!$B$41,IF(AE559&gt;='Commercial Inputs'!$B$36,'Commercial Inputs'!$B$40,IF(AE559&gt;='Commercial Inputs'!$B$35,'Commercial Inputs'!$B$39,0))))</x:f>
        <x:v>25000</x:v>
      </x:c>
      <x:c r="AF578" s="58" t="n">
        <x:f>IF(AF559&gt;='Commercial Inputs'!$B$38,'Commercial Inputs'!$B$42,IF(AF559&gt;='Commercial Inputs'!$B$37,'Commercial Inputs'!$B$41,IF(AF559&gt;='Commercial Inputs'!$B$36,'Commercial Inputs'!$B$40,IF(AF559&gt;='Commercial Inputs'!$B$35,'Commercial Inputs'!$B$39,0))))</x:f>
        <x:v>25000</x:v>
      </x:c>
      <x:c r="AG578" s="58" t="n">
        <x:f>IF(AG559&gt;='Commercial Inputs'!$B$38,'Commercial Inputs'!$B$42,IF(AG559&gt;='Commercial Inputs'!$B$37,'Commercial Inputs'!$B$41,IF(AG559&gt;='Commercial Inputs'!$B$36,'Commercial Inputs'!$B$40,IF(AG559&gt;='Commercial Inputs'!$B$35,'Commercial Inputs'!$B$39,0))))</x:f>
        <x:v>25000</x:v>
      </x:c>
      <x:c r="AH578" s="58" t="n">
        <x:f>IF(AH559&gt;='Commercial Inputs'!$B$38,'Commercial Inputs'!$B$42,IF(AH559&gt;='Commercial Inputs'!$B$37,'Commercial Inputs'!$B$41,IF(AH559&gt;='Commercial Inputs'!$B$36,'Commercial Inputs'!$B$40,IF(AH559&gt;='Commercial Inputs'!$B$35,'Commercial Inputs'!$B$39,0))))</x:f>
        <x:v>25000</x:v>
      </x:c>
      <x:c r="AI578" s="58" t="n">
        <x:f>IF(AI559&gt;='Commercial Inputs'!$B$38,'Commercial Inputs'!$B$42,IF(AI559&gt;='Commercial Inputs'!$B$37,'Commercial Inputs'!$B$41,IF(AI559&gt;='Commercial Inputs'!$B$36,'Commercial Inputs'!$B$40,IF(AI559&gt;='Commercial Inputs'!$B$35,'Commercial Inputs'!$B$39,0))))</x:f>
        <x:v>25000</x:v>
      </x:c>
      <x:c r="AJ578" s="58" t="n">
        <x:f>IF(AJ559&gt;='Commercial Inputs'!$B$38,'Commercial Inputs'!$B$42,IF(AJ559&gt;='Commercial Inputs'!$B$37,'Commercial Inputs'!$B$41,IF(AJ559&gt;='Commercial Inputs'!$B$36,'Commercial Inputs'!$B$40,IF(AJ559&gt;='Commercial Inputs'!$B$35,'Commercial Inputs'!$B$39,0))))</x:f>
        <x:v>25000</x:v>
      </x:c>
      <x:c r="AK578" s="58" t="n">
        <x:f>IF(AK559&gt;='Commercial Inputs'!$B$38,'Commercial Inputs'!$B$42,IF(AK559&gt;='Commercial Inputs'!$B$37,'Commercial Inputs'!$B$41,IF(AK559&gt;='Commercial Inputs'!$B$36,'Commercial Inputs'!$B$40,IF(AK559&gt;='Commercial Inputs'!$B$35,'Commercial Inputs'!$B$39,0))))</x:f>
        <x:v>25000</x:v>
      </x:c>
    </x:row>
    <x:row r="579" ht="18" customHeight="1">
      <x:c r="A579" s="4" t="str">
        <x:v>Founder cash pay (INR)</x:v>
      </x:c>
      <x:c r="B579" s="60" t="n">
        <x:f>'Commercial Inputs'!$B$32</x:f>
        <x:v>0</x:v>
      </x:c>
      <x:c r="C579" s="60" t="n">
        <x:f>'Commercial Inputs'!$B$32</x:f>
        <x:v>0</x:v>
      </x:c>
      <x:c r="D579" s="60" t="n">
        <x:f>'Commercial Inputs'!$B$32</x:f>
        <x:v>0</x:v>
      </x:c>
      <x:c r="E579" s="60" t="n">
        <x:f>'Commercial Inputs'!$B$32</x:f>
        <x:v>0</x:v>
      </x:c>
      <x:c r="F579" s="60" t="n">
        <x:f>'Commercial Inputs'!$B$32</x:f>
        <x:v>0</x:v>
      </x:c>
      <x:c r="G579" s="60" t="n">
        <x:f>'Commercial Inputs'!$B$32</x:f>
        <x:v>0</x:v>
      </x:c>
      <x:c r="H579" s="60" t="n">
        <x:f>'Commercial Inputs'!$B$32</x:f>
        <x:v>0</x:v>
      </x:c>
      <x:c r="I579" s="60" t="n">
        <x:f>'Commercial Inputs'!$B$32</x:f>
        <x:v>0</x:v>
      </x:c>
      <x:c r="J579" s="60" t="n">
        <x:f>'Commercial Inputs'!$B$32</x:f>
        <x:v>0</x:v>
      </x:c>
      <x:c r="K579" s="60" t="n">
        <x:f>'Commercial Inputs'!$B$32</x:f>
        <x:v>0</x:v>
      </x:c>
      <x:c r="L579" s="60" t="n">
        <x:f>'Commercial Inputs'!$B$32</x:f>
        <x:v>0</x:v>
      </x:c>
      <x:c r="M579" s="60" t="n">
        <x:f>'Commercial Inputs'!$B$32</x:f>
        <x:v>0</x:v>
      </x:c>
      <x:c r="N579" s="60" t="n">
        <x:f>'Commercial Inputs'!$B$32</x:f>
        <x:v>0</x:v>
      </x:c>
      <x:c r="O579" s="60" t="n">
        <x:f>'Commercial Inputs'!$B$32</x:f>
        <x:v>0</x:v>
      </x:c>
      <x:c r="P579" s="60" t="n">
        <x:f>'Commercial Inputs'!$B$32</x:f>
        <x:v>0</x:v>
      </x:c>
      <x:c r="Q579" s="60" t="n">
        <x:f>'Commercial Inputs'!$B$32</x:f>
        <x:v>0</x:v>
      </x:c>
      <x:c r="R579" s="60" t="n">
        <x:f>'Commercial Inputs'!$B$32</x:f>
        <x:v>0</x:v>
      </x:c>
      <x:c r="S579" s="60" t="n">
        <x:f>'Commercial Inputs'!$B$32</x:f>
        <x:v>0</x:v>
      </x:c>
      <x:c r="T579" s="60" t="n">
        <x:f>'Commercial Inputs'!$B$32</x:f>
        <x:v>0</x:v>
      </x:c>
      <x:c r="U579" s="60" t="n">
        <x:f>'Commercial Inputs'!$B$32</x:f>
        <x:v>0</x:v>
      </x:c>
      <x:c r="V579" s="60" t="n">
        <x:f>'Commercial Inputs'!$B$32</x:f>
        <x:v>0</x:v>
      </x:c>
      <x:c r="W579" s="60" t="n">
        <x:f>'Commercial Inputs'!$B$32</x:f>
        <x:v>0</x:v>
      </x:c>
      <x:c r="X579" s="60" t="n">
        <x:f>'Commercial Inputs'!$B$32</x:f>
        <x:v>0</x:v>
      </x:c>
      <x:c r="Y579" s="60" t="n">
        <x:f>'Commercial Inputs'!$B$32</x:f>
        <x:v>0</x:v>
      </x:c>
      <x:c r="Z579" s="60" t="n">
        <x:f>'Commercial Inputs'!$B$32</x:f>
        <x:v>0</x:v>
      </x:c>
      <x:c r="AA579" s="60" t="n">
        <x:f>'Commercial Inputs'!$B$32</x:f>
        <x:v>0</x:v>
      </x:c>
      <x:c r="AB579" s="60" t="n">
        <x:f>'Commercial Inputs'!$B$32</x:f>
        <x:v>0</x:v>
      </x:c>
      <x:c r="AC579" s="60" t="n">
        <x:f>'Commercial Inputs'!$B$32</x:f>
        <x:v>0</x:v>
      </x:c>
      <x:c r="AD579" s="60" t="n">
        <x:f>'Commercial Inputs'!$B$32</x:f>
        <x:v>0</x:v>
      </x:c>
      <x:c r="AE579" s="60" t="n">
        <x:f>'Commercial Inputs'!$B$32</x:f>
        <x:v>0</x:v>
      </x:c>
      <x:c r="AF579" s="60" t="n">
        <x:f>'Commercial Inputs'!$B$32</x:f>
        <x:v>0</x:v>
      </x:c>
      <x:c r="AG579" s="60" t="n">
        <x:f>'Commercial Inputs'!$B$32</x:f>
        <x:v>0</x:v>
      </x:c>
      <x:c r="AH579" s="60" t="n">
        <x:f>'Commercial Inputs'!$B$32</x:f>
        <x:v>0</x:v>
      </x:c>
      <x:c r="AI579" s="60" t="n">
        <x:f>'Commercial Inputs'!$B$32</x:f>
        <x:v>0</x:v>
      </x:c>
      <x:c r="AJ579" s="60" t="n">
        <x:f>'Commercial Inputs'!$B$32</x:f>
        <x:v>0</x:v>
      </x:c>
      <x:c r="AK579" s="60" t="n">
        <x:f>'Commercial Inputs'!$B$32</x:f>
        <x:v>0</x:v>
      </x:c>
    </x:row>
    <x:row r="580" ht="18" customHeight="1">
      <x:c r="A580" s="4" t="str">
        <x:v>One-time launch expense (INR)</x:v>
      </x:c>
      <x:c r="B580" s="60" t="n">
        <x:f>'Commercial Inputs'!$B$30</x:f>
        <x:v>20000</x:v>
      </x:c>
      <x:c r="C580" s="60" t="n">
        <x:f>0</x:f>
        <x:v>0</x:v>
      </x:c>
      <x:c r="D580" s="60" t="n">
        <x:f>0</x:f>
        <x:v>0</x:v>
      </x:c>
      <x:c r="E580" s="60" t="n">
        <x:f>0</x:f>
        <x:v>0</x:v>
      </x:c>
      <x:c r="F580" s="60" t="n">
        <x:f>0</x:f>
        <x:v>0</x:v>
      </x:c>
      <x:c r="G580" s="60" t="n">
        <x:f>0</x:f>
        <x:v>0</x:v>
      </x:c>
      <x:c r="H580" s="60" t="n">
        <x:f>0</x:f>
        <x:v>0</x:v>
      </x:c>
      <x:c r="I580" s="60" t="n">
        <x:f>0</x:f>
        <x:v>0</x:v>
      </x:c>
      <x:c r="J580" s="60" t="n">
        <x:f>0</x:f>
        <x:v>0</x:v>
      </x:c>
      <x:c r="K580" s="60" t="n">
        <x:f>0</x:f>
        <x:v>0</x:v>
      </x:c>
      <x:c r="L580" s="60" t="n">
        <x:f>0</x:f>
        <x:v>0</x:v>
      </x:c>
      <x:c r="M580" s="60" t="n">
        <x:f>0</x:f>
        <x:v>0</x:v>
      </x:c>
      <x:c r="N580" s="60" t="n">
        <x:f>0</x:f>
        <x:v>0</x:v>
      </x:c>
      <x:c r="O580" s="60" t="n">
        <x:f>0</x:f>
        <x:v>0</x:v>
      </x:c>
      <x:c r="P580" s="60" t="n">
        <x:f>0</x:f>
        <x:v>0</x:v>
      </x:c>
      <x:c r="Q580" s="60" t="n">
        <x:f>0</x:f>
        <x:v>0</x:v>
      </x:c>
      <x:c r="R580" s="60" t="n">
        <x:f>0</x:f>
        <x:v>0</x:v>
      </x:c>
      <x:c r="S580" s="60" t="n">
        <x:f>0</x:f>
        <x:v>0</x:v>
      </x:c>
      <x:c r="T580" s="60" t="n">
        <x:f>0</x:f>
        <x:v>0</x:v>
      </x:c>
      <x:c r="U580" s="60" t="n">
        <x:f>0</x:f>
        <x:v>0</x:v>
      </x:c>
      <x:c r="V580" s="60" t="n">
        <x:f>0</x:f>
        <x:v>0</x:v>
      </x:c>
      <x:c r="W580" s="60" t="n">
        <x:f>0</x:f>
        <x:v>0</x:v>
      </x:c>
      <x:c r="X580" s="60" t="n">
        <x:f>0</x:f>
        <x:v>0</x:v>
      </x:c>
      <x:c r="Y580" s="60" t="n">
        <x:f>0</x:f>
        <x:v>0</x:v>
      </x:c>
      <x:c r="Z580" s="60" t="n">
        <x:f>0</x:f>
        <x:v>0</x:v>
      </x:c>
      <x:c r="AA580" s="60" t="n">
        <x:f>0</x:f>
        <x:v>0</x:v>
      </x:c>
      <x:c r="AB580" s="60" t="n">
        <x:f>0</x:f>
        <x:v>0</x:v>
      </x:c>
      <x:c r="AC580" s="60" t="n">
        <x:f>0</x:f>
        <x:v>0</x:v>
      </x:c>
      <x:c r="AD580" s="60" t="n">
        <x:f>0</x:f>
        <x:v>0</x:v>
      </x:c>
      <x:c r="AE580" s="60" t="n">
        <x:f>0</x:f>
        <x:v>0</x:v>
      </x:c>
      <x:c r="AF580" s="60" t="n">
        <x:f>0</x:f>
        <x:v>0</x:v>
      </x:c>
      <x:c r="AG580" s="60" t="n">
        <x:f>0</x:f>
        <x:v>0</x:v>
      </x:c>
      <x:c r="AH580" s="60" t="n">
        <x:f>0</x:f>
        <x:v>0</x:v>
      </x:c>
      <x:c r="AI580" s="60" t="n">
        <x:f>0</x:f>
        <x:v>0</x:v>
      </x:c>
      <x:c r="AJ580" s="60" t="n">
        <x:f>0</x:f>
        <x:v>0</x:v>
      </x:c>
      <x:c r="AK580" s="60" t="n">
        <x:f>0</x:f>
        <x:v>0</x:v>
      </x:c>
    </x:row>
    <x:row r="581" ht="18" customHeight="1">
      <x:c r="A581" s="74" t="str">
        <x:v>OPERATING PROFIT BEFORE INCOME TAX</x:v>
      </x:c>
      <x:c r="B581" s="75" t="n">
        <x:f>B575-B541-SUM(B577:B580)</x:f>
        <x:v>-39110.753985706215</x:v>
      </x:c>
      <x:c r="C581" s="75" t="n">
        <x:f>C575-C541-SUM(C577:C580)</x:f>
        <x:v>-14318.396852959344</x:v>
      </x:c>
      <x:c r="D581" s="75" t="n">
        <x:f>D575-D541-SUM(D577:D580)</x:f>
        <x:v>-9861.431565346851</x:v>
      </x:c>
      <x:c r="E581" s="75" t="n">
        <x:f>E575-E541-SUM(E577:E580)</x:f>
        <x:v>-11615.652185370767</x:v>
      </x:c>
      <x:c r="F581" s="75" t="n">
        <x:f>F575-F541-SUM(F577:F580)</x:f>
        <x:v>-5322.647913704866</x:v>
      </x:c>
      <x:c r="G581" s="75" t="n">
        <x:f>G575-G541-SUM(G577:G580)</x:f>
        <x:v>957.4842127030352</x:v>
      </x:c>
      <x:c r="H581" s="75" t="n">
        <x:f>H575-H541-SUM(H577:H580)</x:f>
        <x:v>-6242.1433151550955</x:v>
      </x:c>
      <x:c r="I581" s="75" t="n">
        <x:f>I575-I541-SUM(I577:I580)</x:f>
        <x:v>3914.9327897749463</x:v>
      </x:c>
      <x:c r="J581" s="75" t="n">
        <x:f>J575-J541-SUM(J577:J580)</x:f>
        <x:v>13909.517465678968</x:v>
      </x:c>
      <x:c r="K581" s="75" t="n">
        <x:f>K575-K541-SUM(K577:K580)</x:f>
        <x:v>24148.069462645886</x:v>
      </x:c>
      <x:c r="L581" s="75" t="n">
        <x:f>L575-L541-SUM(L577:L580)</x:f>
        <x:v>34750.36708025624</x:v>
      </x:c>
      <x:c r="M581" s="75" t="n">
        <x:f>M575-M541-SUM(M577:M580)</x:f>
        <x:v>45837.31248887809</x:v>
      </x:c>
      <x:c r="N581" s="75" t="n">
        <x:f>N575-N541-SUM(N577:N580)</x:f>
        <x:v>17787.578087078233</x:v>
      </x:c>
      <x:c r="O581" s="75" t="n">
        <x:f>O575-O541-SUM(O577:O580)</x:f>
        <x:v>23233.65354567481</x:v>
      </x:c>
      <x:c r="P581" s="75" t="n">
        <x:f>P575-P541-SUM(P577:P580)</x:f>
        <x:v>38098.45545544452</x:v>
      </x:c>
      <x:c r="Q581" s="75" t="n">
        <x:f>Q575-Q541-SUM(Q577:Q580)</x:f>
        <x:v>52174.710337048804</x:v>
      </x:c>
      <x:c r="R581" s="75" t="n">
        <x:f>R575-R541-SUM(R577:R580)</x:f>
        <x:v>66643.16347497</x:v>
      </x:c>
      <x:c r="S581" s="75" t="n">
        <x:f>S575-S541-SUM(S577:S580)</x:f>
        <x:v>81305.57899439184</x:v>
      </x:c>
      <x:c r="T581" s="75" t="n">
        <x:f>T575-T541-SUM(T577:T580)</x:f>
        <x:v>67816.44581898372</x:v>
      </x:c>
      <x:c r="U581" s="75" t="n">
        <x:f>U575-U541-SUM(U577:U580)</x:f>
        <x:v>88035.82294362521</x:v>
      </x:c>
      <x:c r="V581" s="75" t="n">
        <x:f>V575-V541-SUM(V577:V580)</x:f>
        <x:v>107787.64321055176</x:v>
      </x:c>
      <x:c r="W581" s="75" t="n">
        <x:f>W575-W541-SUM(W577:W580)</x:f>
        <x:v>127711.20062775793</x:v>
      </x:c>
      <x:c r="X581" s="75" t="n">
        <x:f>X575-X541-SUM(X577:X580)</x:f>
        <x:v>147934.77295407187</x:v>
      </x:c>
      <x:c r="Y581" s="75" t="n">
        <x:f>Y575-Y541-SUM(Y577:Y580)</x:f>
        <x:v>168577.10412117612</x:v>
      </x:c>
      <x:c r="Z581" s="75" t="n">
        <x:f>Z575-Z541-SUM(Z577:Z580)</x:f>
        <x:v>142808.0074843996</x:v>
      </x:c>
      <x:c r="AA581" s="75" t="n">
        <x:f>AA575-AA541-SUM(AA577:AA580)</x:f>
        <x:v>165850.53112704167</x:v>
      </x:c>
      <x:c r="AB581" s="75" t="n">
        <x:f>AB575-AB541-SUM(AB577:AB580)</x:f>
        <x:v>173642.80029153125</x:v>
      </x:c>
      <x:c r="AC581" s="75" t="n">
        <x:f>AC575-AC541-SUM(AC577:AC580)</x:f>
        <x:v>196376.3704640881</x:v>
      </x:c>
      <x:c r="AD581" s="75" t="n">
        <x:f>AD575-AD541-SUM(AD577:AD580)</x:f>
        <x:v>219572.0409432638</x:v>
      </x:c>
      <x:c r="AE581" s="75" t="n">
        <x:f>AE575-AE541-SUM(AE577:AE580)</x:f>
        <x:v>243173.2163013349</x:v>
      </x:c>
      <x:c r="AF581" s="75" t="n">
        <x:f>AF575-AF541-SUM(AF577:AF580)</x:f>
        <x:v>236628.51852280623</x:v>
      </x:c>
      <x:c r="AG581" s="75" t="n">
        <x:f>AG575-AG541-SUM(AG577:AG580)</x:f>
        <x:v>264700.9758144552</x:v>
      </x:c>
      <x:c r="AH581" s="75" t="n">
        <x:f>AH575-AH541-SUM(AH577:AH580)</x:f>
        <x:v>292603.20253548</x:v>
      </x:c>
      <x:c r="AI581" s="75" t="n">
        <x:f>AI575-AI541-SUM(AI577:AI580)</x:f>
        <x:v>320921.82928605936</x:v>
      </x:c>
      <x:c r="AJ581" s="75" t="n">
        <x:f>AJ575-AJ541-SUM(AJ577:AJ580)</x:f>
        <x:v>349777.47237387893</x:v>
      </x:c>
      <x:c r="AK581" s="75" t="n">
        <x:f>AK575-AK541-SUM(AK577:AK580)</x:f>
        <x:v>379280.65569964075</x:v>
      </x:c>
    </x:row>
    <x:row r="582" ht="18" customHeight="1">
      <x:c r="A582" s="4" t="str">
        <x:v>Operating margin (%)</x:v>
      </x:c>
      <x:c r="B582" s="62" t="n">
        <x:f>IFERROR(B581/B563,0)</x:f>
        <x:v>-5.166851994413389</x:v>
      </x:c>
      <x:c r="C582" s="62" t="n">
        <x:f>IFERROR(C581/C563,0)</x:f>
        <x:v>-1.064616524542522</x:v>
      </x:c>
      <x:c r="D582" s="62" t="n">
        <x:f>IFERROR(D581/D563,0)</x:f>
        <x:v>-0.5204431395897791</x:v>
      </x:c>
      <x:c r="E582" s="62" t="n">
        <x:f>IFERROR(E581/E563,0)</x:f>
        <x:v>-0.42678390246340037</x:v>
      </x:c>
      <x:c r="F582" s="62" t="n">
        <x:f>IFERROR(F581/F563,0)</x:f>
        <x:v>-0.1524744856286301</x:v>
      </x:c>
      <x:c r="G582" s="62" t="n">
        <x:f>IFERROR(G581/G563,0)</x:f>
        <x:v>0.022478066342678238</x:v>
      </x:c>
      <x:c r="H582" s="62" t="n">
        <x:f>IFERROR(H581/H563,0)</x:f>
        <x:v>-0.1109702132716762</x:v>
      </x:c>
      <x:c r="I582" s="62" t="n">
        <x:f>IFERROR(I581/I563,0)</x:f>
        <x:v>0.057111394138284685</x:v>
      </x:c>
      <x:c r="J582" s="62" t="n">
        <x:f>IFERROR(J581/J563,0)</x:f>
        <x:v>0.172439190889681</x:v>
      </x:c>
      <x:c r="K582" s="62" t="n">
        <x:f>IFERROR(K581/K563,0)</x:f>
        <x:v>0.25938114852771277</x:v>
      </x:c>
      <x:c r="L582" s="62" t="n">
        <x:f>IFERROR(L581/L563,0)</x:f>
        <x:v>0.32781483014454477</x:v>
      </x:c>
      <x:c r="M582" s="62" t="n">
        <x:f>IFERROR(M581/M563,0)</x:f>
        <x:v>0.38345545124478964</x:v>
      </x:c>
      <x:c r="N582" s="62" t="n">
        <x:f>IFERROR(N581/N563,0)</x:f>
        <x:v>0.1264736057232535</x:v>
      </x:c>
      <x:c r="O582" s="62" t="n">
        <x:f>IFERROR(O581/O563,0)</x:f>
        <x:v>0.14589291476898972</x:v>
      </x:c>
      <x:c r="P582" s="62" t="n">
        <x:f>IFERROR(P581/P563,0)</x:f>
        <x:v>0.21504651091055024</x:v>
      </x:c>
      <x:c r="Q582" s="62" t="n">
        <x:f>IFERROR(Q581/Q563,0)</x:f>
        <x:v>0.26815932011838617</x:v>
      </x:c>
      <x:c r="R582" s="62" t="n">
        <x:f>IFERROR(R581/R563,0)</x:f>
        <x:v>0.3141831273344242</x:v>
      </x:c>
      <x:c r="S582" s="62" t="n">
        <x:f>IFERROR(S581/S563,0)</x:f>
        <x:v>0.35359625349101403</x:v>
      </x:c>
      <x:c r="T582" s="62" t="n">
        <x:f>IFERROR(T581/T563,0)</x:f>
        <x:v>0.2638772404431911</x:v>
      </x:c>
      <x:c r="U582" s="62" t="n">
        <x:f>IFERROR(U581/U563,0)</x:f>
        <x:v>0.3126744201105451</x:v>
      </x:c>
      <x:c r="V582" s="62" t="n">
        <x:f>IFERROR(V581/V563,0)</x:f>
        <x:v>0.35272674664762577</x:v>
      </x:c>
      <x:c r="W582" s="62" t="n">
        <x:f>IFERROR(W581/W563,0)</x:f>
        <x:v>0.3871476611165826</x:v>
      </x:c>
      <x:c r="X582" s="62" t="n">
        <x:f>IFERROR(X581/X563,0)</x:f>
        <x:v>0.4171843060873312</x:v>
      </x:c>
      <x:c r="Y582" s="62" t="n">
        <x:f>IFERROR(Y581/Y563,0)</x:f>
        <x:v>0.4437223578530051</x:v>
      </x:c>
      <x:c r="Z582" s="62" t="n">
        <x:f>IFERROR(Z581/Z563,0)</x:f>
        <x:v>0.3487214140998022</x:v>
      </x:c>
      <x:c r="AA582" s="62" t="n">
        <x:f>IFERROR(AA581/AA563,0)</x:f>
        <x:v>0.37909002365099687</x:v>
      </x:c>
      <x:c r="AB582" s="62" t="n">
        <x:f>IFERROR(AB581/AB563,0)</x:f>
        <x:v>0.37326463186700415</x:v>
      </x:c>
      <x:c r="AC582" s="62" t="n">
        <x:f>IFERROR(AC581/AC563,0)</x:f>
        <x:v>0.39826336171432514</x:v>
      </x:c>
      <x:c r="AD582" s="62" t="n">
        <x:f>IFERROR(AD581/AD563,0)</x:f>
        <x:v>0.4211335767230202</x:v>
      </x:c>
      <x:c r="AE582" s="62" t="n">
        <x:f>IFERROR(AE581/AE563,0)</x:f>
        <x:v>0.4419431933361722</x:v>
      </x:c>
      <x:c r="AF582" s="62" t="n">
        <x:f>IFERROR(AF581/AF563,0)</x:f>
        <x:v>0.4033612483065437</x:v>
      </x:c>
      <x:c r="AG582" s="62" t="n">
        <x:f>IFERROR(AG581/AG563,0)</x:f>
        <x:v>0.42618133821203713</x:v>
      </x:c>
      <x:c r="AH582" s="62" t="n">
        <x:f>IFERROR(AH581/AH563,0)</x:f>
        <x:v>0.4464411513279442</x:v>
      </x:c>
      <x:c r="AI582" s="62" t="n">
        <x:f>IFERROR(AI581/AI563,0)</x:f>
        <x:v>0.4648918671334739</x:v>
      </x:c>
      <x:c r="AJ582" s="62" t="n">
        <x:f>IFERROR(AJ581/AJ563,0)</x:f>
        <x:v>0.48181151200977895</x:v>
      </x:c>
      <x:c r="AK582" s="62" t="n">
        <x:f>IFERROR(AK581/AK563,0)</x:f>
        <x:v>0.49741539164703147</x:v>
      </x:c>
    </x:row>
    <x:row r="583" ht="18" customHeight="1">
      <x:c r="A583" s="4" t="str">
        <x:v>After imputed founder time (INR)</x:v>
      </x:c>
      <x:c r="B583" s="58" t="n">
        <x:f>B581-'Commercial Inputs'!$B$33</x:f>
        <x:v>-139110.75398570622</x:v>
      </x:c>
      <x:c r="C583" s="58" t="n">
        <x:f>C581-'Commercial Inputs'!$B$33</x:f>
        <x:v>-114318.39685295934</x:v>
      </x:c>
      <x:c r="D583" s="58" t="n">
        <x:f>D581-'Commercial Inputs'!$B$33</x:f>
        <x:v>-109861.43156534685</x:v>
      </x:c>
      <x:c r="E583" s="58" t="n">
        <x:f>E581-'Commercial Inputs'!$B$33</x:f>
        <x:v>-111615.65218537077</x:v>
      </x:c>
      <x:c r="F583" s="58" t="n">
        <x:f>F581-'Commercial Inputs'!$B$33</x:f>
        <x:v>-105322.64791370486</x:v>
      </x:c>
      <x:c r="G583" s="58" t="n">
        <x:f>G581-'Commercial Inputs'!$B$33</x:f>
        <x:v>-99042.51578729696</x:v>
      </x:c>
      <x:c r="H583" s="58" t="n">
        <x:f>H581-'Commercial Inputs'!$B$33</x:f>
        <x:v>-106242.14331515509</x:v>
      </x:c>
      <x:c r="I583" s="58" t="n">
        <x:f>I581-'Commercial Inputs'!$B$33</x:f>
        <x:v>-96085.06721022505</x:v>
      </x:c>
      <x:c r="J583" s="58" t="n">
        <x:f>J581-'Commercial Inputs'!$B$33</x:f>
        <x:v>-86090.48253432103</x:v>
      </x:c>
      <x:c r="K583" s="58" t="n">
        <x:f>K581-'Commercial Inputs'!$B$33</x:f>
        <x:v>-75851.93053735411</x:v>
      </x:c>
      <x:c r="L583" s="58" t="n">
        <x:f>L581-'Commercial Inputs'!$B$33</x:f>
        <x:v>-65249.63291974376</x:v>
      </x:c>
      <x:c r="M583" s="58" t="n">
        <x:f>M581-'Commercial Inputs'!$B$33</x:f>
        <x:v>-54162.68751112191</x:v>
      </x:c>
      <x:c r="N583" s="58" t="n">
        <x:f>N581-'Commercial Inputs'!$B$33</x:f>
        <x:v>-82212.42191292177</x:v>
      </x:c>
      <x:c r="O583" s="58" t="n">
        <x:f>O581-'Commercial Inputs'!$B$33</x:f>
        <x:v>-76766.34645432519</x:v>
      </x:c>
      <x:c r="P583" s="58" t="n">
        <x:f>P581-'Commercial Inputs'!$B$33</x:f>
        <x:v>-61901.54454455548</x:v>
      </x:c>
      <x:c r="Q583" s="58" t="n">
        <x:f>Q581-'Commercial Inputs'!$B$33</x:f>
        <x:v>-47825.289662951196</x:v>
      </x:c>
      <x:c r="R583" s="58" t="n">
        <x:f>R581-'Commercial Inputs'!$B$33</x:f>
        <x:v>-33356.83652503</x:v>
      </x:c>
      <x:c r="S583" s="58" t="n">
        <x:f>S581-'Commercial Inputs'!$B$33</x:f>
        <x:v>-18694.421005608165</x:v>
      </x:c>
      <x:c r="T583" s="58" t="n">
        <x:f>T581-'Commercial Inputs'!$B$33</x:f>
        <x:v>-32183.554181016283</x:v>
      </x:c>
      <x:c r="U583" s="58" t="n">
        <x:f>U581-'Commercial Inputs'!$B$33</x:f>
        <x:v>-11964.177056374785</x:v>
      </x:c>
      <x:c r="V583" s="58" t="n">
        <x:f>V581-'Commercial Inputs'!$B$33</x:f>
        <x:v>7787.64321055176</x:v>
      </x:c>
      <x:c r="W583" s="58" t="n">
        <x:f>W581-'Commercial Inputs'!$B$33</x:f>
        <x:v>27711.200627757935</x:v>
      </x:c>
      <x:c r="X583" s="58" t="n">
        <x:f>X581-'Commercial Inputs'!$B$33</x:f>
        <x:v>47934.77295407187</x:v>
      </x:c>
      <x:c r="Y583" s="58" t="n">
        <x:f>Y581-'Commercial Inputs'!$B$33</x:f>
        <x:v>68577.10412117612</x:v>
      </x:c>
      <x:c r="Z583" s="58" t="n">
        <x:f>Z581-'Commercial Inputs'!$B$33</x:f>
        <x:v>42808.0074843996</x:v>
      </x:c>
      <x:c r="AA583" s="58" t="n">
        <x:f>AA581-'Commercial Inputs'!$B$33</x:f>
        <x:v>65850.53112704167</x:v>
      </x:c>
      <x:c r="AB583" s="58" t="n">
        <x:f>AB581-'Commercial Inputs'!$B$33</x:f>
        <x:v>73642.80029153125</x:v>
      </x:c>
      <x:c r="AC583" s="58" t="n">
        <x:f>AC581-'Commercial Inputs'!$B$33</x:f>
        <x:v>96376.3704640881</x:v>
      </x:c>
      <x:c r="AD583" s="58" t="n">
        <x:f>AD581-'Commercial Inputs'!$B$33</x:f>
        <x:v>119572.0409432638</x:v>
      </x:c>
      <x:c r="AE583" s="58" t="n">
        <x:f>AE581-'Commercial Inputs'!$B$33</x:f>
        <x:v>143173.2163013349</x:v>
      </x:c>
      <x:c r="AF583" s="58" t="n">
        <x:f>AF581-'Commercial Inputs'!$B$33</x:f>
        <x:v>136628.51852280623</x:v>
      </x:c>
      <x:c r="AG583" s="58" t="n">
        <x:f>AG581-'Commercial Inputs'!$B$33</x:f>
        <x:v>164700.9758144552</x:v>
      </x:c>
      <x:c r="AH583" s="58" t="n">
        <x:f>AH581-'Commercial Inputs'!$B$33</x:f>
        <x:v>192603.20253548003</x:v>
      </x:c>
      <x:c r="AI583" s="58" t="n">
        <x:f>AI581-'Commercial Inputs'!$B$33</x:f>
        <x:v>220921.82928605936</x:v>
      </x:c>
      <x:c r="AJ583" s="58" t="n">
        <x:f>AJ581-'Commercial Inputs'!$B$33</x:f>
        <x:v>249777.47237387893</x:v>
      </x:c>
      <x:c r="AK583" s="58" t="n">
        <x:f>AK581-'Commercial Inputs'!$B$33</x:f>
        <x:v>279280.65569964075</x:v>
      </x:c>
    </x:row>
    <x:row r="584" ht="18" customHeight="1">
      <x:c r="A584" s="4" t="str">
        <x:v>Net proceeds awaiting payout (INR)</x:v>
      </x:c>
      <x:c r="B584" s="58" t="n">
        <x:f>B568-B569</x:f>
        <x:v>27376.344990508478</x:v>
      </x:c>
      <x:c r="C584" s="58" t="n">
        <x:f>C568-C569</x:f>
        <x:v>32267.88947337032</x:v>
      </x:c>
      <x:c r="D584" s="58" t="n">
        <x:f>D568-D569</x:f>
        <x:v>36882.560866778</x:v>
      </x:c>
      <x:c r="E584" s="58" t="n">
        <x:f>E568-E569</x:f>
        <x:v>51196.934245358265</x:v>
      </x:c>
      <x:c r="F584" s="58" t="n">
        <x:f>F568-F569</x:f>
        <x:v>57199.17096117487</x:v>
      </x:c>
      <x:c r="G584" s="58" t="n">
        <x:f>G568-G569</x:f>
        <x:v>63272.211809418266</x:v>
      </x:c>
      <x:c r="H584" s="58" t="n">
        <x:f>H568-H569</x:f>
        <x:v>90286.12796229807</x:v>
      </x:c>
      <x:c r="I584" s="58" t="n">
        <x:f>I568-I569</x:f>
        <x:v>99148.29119116522</x:v>
      </x:c>
      <x:c r="J584" s="58" t="n">
        <x:f>J568-J569</x:f>
        <x:v>107955.21011637436</x:v>
      </x:c>
      <x:c r="K584" s="58" t="n">
        <x:f>K568-K569</x:f>
        <x:v>117156.63053856284</x:v>
      </x:c>
      <x:c r="L584" s="58" t="n">
        <x:f>L568-L569</x:f>
        <x:v>126896.85756988838</x:v>
      </x:c>
      <x:c r="M584" s="58" t="n">
        <x:f>M568-M569</x:f>
        <x:v>137323.31726984686</x:v>
      </x:c>
      <x:c r="N584" s="58" t="n">
        <x:f>N568-N569</x:f>
        <x:v>185158.81052619067</x:v>
      </x:c>
      <x:c r="O584" s="58" t="n">
        <x:f>O568-O569</x:f>
        <x:v>197969.81275858724</x:v>
      </x:c>
      <x:c r="P584" s="58" t="n">
        <x:f>P568-P569</x:f>
        <x:v>210322.45154540427</x:v>
      </x:c>
      <x:c r="Q584" s="58" t="n">
        <x:f>Q568-Q569</x:f>
        <x:v>225139.5065433992</x:v>
      </x:c>
      <x:c r="R584" s="58" t="n">
        <x:f>R568-R569</x:f>
        <x:v>237974.68418261225</x:v>
      </x:c>
      <x:c r="S584" s="58" t="n">
        <x:f>S568-S569</x:f>
        <x:v>251253.78088980835</x:v>
      </x:c>
      <x:c r="T584" s="58" t="n">
        <x:f>T568-T569</x:f>
        <x:v>306142.213546557</x:v>
      </x:c>
      <x:c r="U584" s="58" t="n">
        <x:f>U568-U569</x:f>
        <x:v>324314.38954602287</x:v>
      </x:c>
      <x:c r="V584" s="58" t="n">
        <x:f>V568-V569</x:f>
        <x:v>342323.7694163053</x:v>
      </x:c>
      <x:c r="W584" s="58" t="n">
        <x:f>W568-W569</x:f>
        <x:v>360898.1101444324</x:v>
      </x:c>
      <x:c r="X584" s="58" t="n">
        <x:f>X568-X569</x:f>
        <x:v>380222.9771372857</x:v>
      </x:c>
      <x:c r="Y584" s="58" t="n">
        <x:f>Y568-Y569</x:f>
        <x:v>400479.68943439296</x:v>
      </x:c>
      <x:c r="Z584" s="58" t="n">
        <x:f>Z568-Z569</x:f>
        <x:v>452408.263826985</x:v>
      </x:c>
      <x:c r="AA584" s="58" t="n">
        <x:f>AA568-AA569</x:f>
        <x:v>473050.9627847646</x:v>
      </x:c>
      <x:c r="AB584" s="58" t="n">
        <x:f>AB568-AB569</x:f>
        <x:v>493679.77313482785</x:v>
      </x:c>
      <x:c r="AC584" s="58" t="n">
        <x:f>AC568-AC569</x:f>
        <x:v>516018.79704668035</x:v>
      </x:c>
      <x:c r="AD584" s="58" t="n">
        <x:f>AD568-AD569</x:f>
        <x:v>537771.9206569844</x:v>
      </x:c>
      <x:c r="AE584" s="58" t="n">
        <x:f>AE568-AE569</x:f>
        <x:v>560305.1455042888</x:v>
      </x:c>
      <x:c r="AF584" s="58" t="n">
        <x:f>AF568-AF569</x:f>
        <x:v>627881.1349551206</x:v>
      </x:c>
      <x:c r="AG584" s="58" t="n">
        <x:f>AG568-AG569</x:f>
        <x:v>655675.2448273802</x:v>
      </x:c>
      <x:c r="AH584" s="58" t="n">
        <x:f>AH568-AH569</x:f>
        <x:v>683754.532443028</x:v>
      </x:c>
      <x:c r="AI584" s="58" t="n">
        <x:f>AI568-AI569</x:f>
        <x:v>712796.5870905297</x:v>
      </x:c>
      <x:c r="AJ584" s="58" t="n">
        <x:f>AJ568-AJ569</x:f>
        <x:v>742984.626416638</x:v>
      </x:c>
      <x:c r="AK584" s="58" t="n">
        <x:f>AK568-AK569</x:f>
        <x:v>774496.4642054604</x:v>
      </x:c>
    </x:row>
    <x:row r="585" ht="18" customHeight="1">
      <x:c r="A585" s="4" t="str">
        <x:v>Payouts received this month (INR)</x:v>
      </x:c>
      <x:c r="B585" s="58" t="n">
        <x:f>B584*(1-'Commercial Inputs'!$B$31)+0*'Commercial Inputs'!$B$31</x:f>
        <x:v>13688.172495254239</x:v>
      </x:c>
      <x:c r="C585" s="58" t="n">
        <x:f>C584*(1-'Commercial Inputs'!$B$31)+B584*'Commercial Inputs'!$B$31</x:f>
        <x:v>29822.1172319394</x:v>
      </x:c>
      <x:c r="D585" s="58" t="n">
        <x:f>D584*(1-'Commercial Inputs'!$B$31)+C584*'Commercial Inputs'!$B$31</x:f>
        <x:v>34575.22517007416</x:v>
      </x:c>
      <x:c r="E585" s="58" t="n">
        <x:f>E584*(1-'Commercial Inputs'!$B$31)+D584*'Commercial Inputs'!$B$31</x:f>
        <x:v>44039.747556068134</x:v>
      </x:c>
      <x:c r="F585" s="58" t="n">
        <x:f>F584*(1-'Commercial Inputs'!$B$31)+E584*'Commercial Inputs'!$B$31</x:f>
        <x:v>54198.052603266566</x:v>
      </x:c>
      <x:c r="G585" s="58" t="n">
        <x:f>G584*(1-'Commercial Inputs'!$B$31)+F584*'Commercial Inputs'!$B$31</x:f>
        <x:v>60235.691385296566</x:v>
      </x:c>
      <x:c r="H585" s="58" t="n">
        <x:f>H584*(1-'Commercial Inputs'!$B$31)+G584*'Commercial Inputs'!$B$31</x:f>
        <x:v>76779.16988585817</x:v>
      </x:c>
      <x:c r="I585" s="58" t="n">
        <x:f>I584*(1-'Commercial Inputs'!$B$31)+H584*'Commercial Inputs'!$B$31</x:f>
        <x:v>94717.20957673164</x:v>
      </x:c>
      <x:c r="J585" s="58" t="n">
        <x:f>J584*(1-'Commercial Inputs'!$B$31)+I584*'Commercial Inputs'!$B$31</x:f>
        <x:v>103551.75065376979</x:v>
      </x:c>
      <x:c r="K585" s="58" t="n">
        <x:f>K584*(1-'Commercial Inputs'!$B$31)+J584*'Commercial Inputs'!$B$31</x:f>
        <x:v>112555.9203274686</x:v>
      </x:c>
      <x:c r="L585" s="58" t="n">
        <x:f>L584*(1-'Commercial Inputs'!$B$31)+K584*'Commercial Inputs'!$B$31</x:f>
        <x:v>122026.74405422561</x:v>
      </x:c>
      <x:c r="M585" s="58" t="n">
        <x:f>M584*(1-'Commercial Inputs'!$B$31)+L584*'Commercial Inputs'!$B$31</x:f>
        <x:v>132110.08741986763</x:v>
      </x:c>
      <x:c r="N585" s="58" t="n">
        <x:f>N584*(1-'Commercial Inputs'!$B$31)+M584*'Commercial Inputs'!$B$31</x:f>
        <x:v>161241.06389801877</x:v>
      </x:c>
      <x:c r="O585" s="58" t="n">
        <x:f>O584*(1-'Commercial Inputs'!$B$31)+N584*'Commercial Inputs'!$B$31</x:f>
        <x:v>191564.31164238896</x:v>
      </x:c>
      <x:c r="P585" s="58" t="n">
        <x:f>P584*(1-'Commercial Inputs'!$B$31)+O584*'Commercial Inputs'!$B$31</x:f>
        <x:v>204146.13215199576</x:v>
      </x:c>
      <x:c r="Q585" s="58" t="n">
        <x:f>Q584*(1-'Commercial Inputs'!$B$31)+P584*'Commercial Inputs'!$B$31</x:f>
        <x:v>217730.97904440173</x:v>
      </x:c>
      <x:c r="R585" s="58" t="n">
        <x:f>R584*(1-'Commercial Inputs'!$B$31)+Q584*'Commercial Inputs'!$B$31</x:f>
        <x:v>231557.09536300573</x:v>
      </x:c>
      <x:c r="S585" s="58" t="n">
        <x:f>S584*(1-'Commercial Inputs'!$B$31)+R584*'Commercial Inputs'!$B$31</x:f>
        <x:v>244614.2325362103</x:v>
      </x:c>
      <x:c r="T585" s="58" t="n">
        <x:f>T584*(1-'Commercial Inputs'!$B$31)+S584*'Commercial Inputs'!$B$31</x:f>
        <x:v>278697.99721818266</x:v>
      </x:c>
      <x:c r="U585" s="58" t="n">
        <x:f>U584*(1-'Commercial Inputs'!$B$31)+T584*'Commercial Inputs'!$B$31</x:f>
        <x:v>315228.30154628993</x:v>
      </x:c>
      <x:c r="V585" s="58" t="n">
        <x:f>V584*(1-'Commercial Inputs'!$B$31)+U584*'Commercial Inputs'!$B$31</x:f>
        <x:v>333319.0794811641</x:v>
      </x:c>
      <x:c r="W585" s="58" t="n">
        <x:f>W584*(1-'Commercial Inputs'!$B$31)+V584*'Commercial Inputs'!$B$31</x:f>
        <x:v>351610.9397803688</x:v>
      </x:c>
      <x:c r="X585" s="58" t="n">
        <x:f>X584*(1-'Commercial Inputs'!$B$31)+W584*'Commercial Inputs'!$B$31</x:f>
        <x:v>370560.5436408591</x:v>
      </x:c>
      <x:c r="Y585" s="58" t="n">
        <x:f>Y584*(1-'Commercial Inputs'!$B$31)+X584*'Commercial Inputs'!$B$31</x:f>
        <x:v>390351.3332858393</x:v>
      </x:c>
      <x:c r="Z585" s="58" t="n">
        <x:f>Z584*(1-'Commercial Inputs'!$B$31)+Y584*'Commercial Inputs'!$B$31</x:f>
        <x:v>426443.976630689</x:v>
      </x:c>
      <x:c r="AA585" s="58" t="n">
        <x:f>AA584*(1-'Commercial Inputs'!$B$31)+Z584*'Commercial Inputs'!$B$31</x:f>
        <x:v>462729.6133058748</x:v>
      </x:c>
      <x:c r="AB585" s="58" t="n">
        <x:f>AB584*(1-'Commercial Inputs'!$B$31)+AA584*'Commercial Inputs'!$B$31</x:f>
        <x:v>483365.3679597962</x:v>
      </x:c>
      <x:c r="AC585" s="58" t="n">
        <x:f>AC584*(1-'Commercial Inputs'!$B$31)+AB584*'Commercial Inputs'!$B$31</x:f>
        <x:v>504849.2850907541</x:v>
      </x:c>
      <x:c r="AD585" s="58" t="n">
        <x:f>AD584*(1-'Commercial Inputs'!$B$31)+AC584*'Commercial Inputs'!$B$31</x:f>
        <x:v>526895.3588518323</x:v>
      </x:c>
      <x:c r="AE585" s="58" t="n">
        <x:f>AE584*(1-'Commercial Inputs'!$B$31)+AD584*'Commercial Inputs'!$B$31</x:f>
        <x:v>549038.5330806366</x:v>
      </x:c>
      <x:c r="AF585" s="58" t="n">
        <x:f>AF584*(1-'Commercial Inputs'!$B$31)+AE584*'Commercial Inputs'!$B$31</x:f>
        <x:v>594093.1402297048</x:v>
      </x:c>
      <x:c r="AG585" s="58" t="n">
        <x:f>AG584*(1-'Commercial Inputs'!$B$31)+AF584*'Commercial Inputs'!$B$31</x:f>
        <x:v>641778.1898912503</x:v>
      </x:c>
      <x:c r="AH585" s="58" t="n">
        <x:f>AH584*(1-'Commercial Inputs'!$B$31)+AG584*'Commercial Inputs'!$B$31</x:f>
        <x:v>669714.888635204</x:v>
      </x:c>
      <x:c r="AI585" s="58" t="n">
        <x:f>AI584*(1-'Commercial Inputs'!$B$31)+AH584*'Commercial Inputs'!$B$31</x:f>
        <x:v>698275.5597667788</x:v>
      </x:c>
      <x:c r="AJ585" s="58" t="n">
        <x:f>AJ584*(1-'Commercial Inputs'!$B$31)+AI584*'Commercial Inputs'!$B$31</x:f>
        <x:v>727890.6067535839</x:v>
      </x:c>
      <x:c r="AK585" s="58" t="n">
        <x:f>AK584*(1-'Commercial Inputs'!$B$31)+AJ584*'Commercial Inputs'!$B$31</x:f>
        <x:v>758740.5453110492</x:v>
      </x:c>
    </x:row>
    <x:row r="586" ht="18" customHeight="1">
      <x:c r="A586" s="4" t="str">
        <x:v>Cash outgo other than withheld fees (INR)</x:v>
      </x:c>
      <x:c r="B586" s="58" t="n">
        <x:f>SUM(B570:B573)+B541+SUM(B577:B580)</x:f>
        <x:v>43278.78065</x:v>
      </x:c>
      <x:c r="C586" s="58" t="n">
        <x:f>SUM(C570:C573)+C541+SUM(C577:C580)</x:f>
        <x:v>23671.511947324</x:v>
      </x:c>
      <x:c r="D586" s="58" t="n">
        <x:f>SUM(D570:D573)+D541+SUM(D577:D580)</x:f>
        <x:v>24069.92408983061</x:v>
      </x:c>
      <x:c r="E586" s="58" t="n">
        <x:f>SUM(E570:E573)+E541+SUM(E577:E580)</x:f>
        <x:v>32247.587117140265</x:v>
      </x:c>
      <x:c r="F586" s="58" t="n">
        <x:f>SUM(F570:F573)+F541+SUM(F577:F580)</x:f>
        <x:v>32805.92713133941</x:v>
      </x:c>
      <x:c r="G586" s="58" t="n">
        <x:f>SUM(G570:G573)+G541+SUM(G577:G580)</x:f>
        <x:v>33373.70996330376</x:v>
      </x:c>
      <x:c r="H586" s="58" t="n">
        <x:f>SUM(H570:H573)+H541+SUM(H577:H580)</x:f>
        <x:v>50788.65942452196</x:v>
      </x:c>
      <x:c r="I586" s="58" t="n">
        <x:f>SUM(I570:I573)+I541+SUM(I577:I580)</x:f>
        <x:v>51682.390445403726</x:v>
      </x:c>
      <x:c r="J586" s="58" t="n">
        <x:f>SUM(J570:J573)+J541+SUM(J577:J580)</x:f>
        <x:v>52579.07592527558</x:v>
      </x:c>
      <x:c r="K586" s="58" t="n">
        <x:f>SUM(K570:K573)+K541+SUM(K577:K580)</x:f>
        <x:v>53509.48779472056</x:v>
      </x:c>
      <x:c r="L586" s="58" t="n">
        <x:f>SUM(L570:L573)+L541+SUM(L577:L580)</x:f>
        <x:v>54484.135931954734</x:v>
      </x:c>
      <x:c r="M586" s="58" t="n">
        <x:f>SUM(M570:M573)+M541+SUM(M577:M580)</x:f>
        <x:v>55513.84525962126</x:v>
      </x:c>
      <x:c r="N586" s="58" t="n">
        <x:f>SUM(N570:N573)+N541+SUM(N577:N580)</x:f>
        <x:v>98647.98241729922</x:v>
      </x:c>
      <x:c r="O586" s="58" t="n">
        <x:f>SUM(O570:O573)+O541+SUM(O577:O580)</x:f>
        <x:v>110003.23202566705</x:v>
      </x:c>
      <x:c r="P586" s="58" t="n">
        <x:f>SUM(P570:P573)+P541+SUM(P577:P580)</x:f>
        <x:v>111330.70903315238</x:v>
      </x:c>
      <x:c r="Q586" s="58" t="n">
        <x:f>SUM(Q570:Q573)+Q541+SUM(Q577:Q580)</x:f>
        <x:v>112657.45431321011</x:v>
      </x:c>
      <x:c r="R586" s="58" t="n">
        <x:f>SUM(R570:R573)+R541+SUM(R577:R580)</x:f>
        <x:v>113979.37918156158</x:v>
      </x:c>
      <x:c r="S586" s="58" t="n">
        <x:f>SUM(S570:S573)+S541+SUM(S577:S580)</x:f>
        <x:v>115332.3559239596</x:v>
      </x:c>
      <x:c r="T586" s="58" t="n">
        <x:f>SUM(T570:T573)+T541+SUM(T577:T580)</x:f>
        <x:v>148941.33402178608</x:v>
      </x:c>
      <x:c r="U586" s="58" t="n">
        <x:f>SUM(U570:U573)+U541+SUM(U577:U580)</x:f>
        <x:v>150755.1002027169</x:v>
      </x:c>
      <x:c r="V586" s="58" t="n">
        <x:f>SUM(V570:V573)+V541+SUM(V577:V580)</x:f>
        <x:v>152557.0035448315</x:v>
      </x:c>
      <x:c r="W586" s="58" t="n">
        <x:f>SUM(W570:W573)+W541+SUM(W577:W580)</x:f>
        <x:v>154394.36220184615</x:v>
      </x:c>
      <x:c r="X586" s="58" t="n">
        <x:f>SUM(X570:X573)+X541+SUM(X577:X580)</x:f>
        <x:v>156278.12961767978</x:v>
      </x:c>
      <x:c r="Y586" s="58" t="n">
        <x:f>SUM(Y570:Y573)+Y541+SUM(Y577:Y580)</x:f>
        <x:v>158218.71443178604</x:v>
      </x:c>
      <x:c r="Z586" s="58" t="n">
        <x:f>SUM(Z570:Z573)+Z541+SUM(Z577:Z580)</x:f>
        <x:v>206998.1203167145</x:v>
      </x:c>
      <x:c r="AA586" s="58" t="n">
        <x:f>SUM(AA570:AA573)+AA541+SUM(AA577:AA580)</x:f>
        <x:v>209089.93518810836</x:v>
      </x:c>
      <x:c r="AB586" s="58" t="n">
        <x:f>SUM(AB570:AB573)+AB541+SUM(AB577:AB580)</x:f>
        <x:v>226184.5419065336</x:v>
      </x:c>
      <x:c r="AC586" s="58" t="n">
        <x:f>SUM(AC570:AC573)+AC541+SUM(AC577:AC580)</x:f>
        <x:v>228321.31748187626</x:v>
      </x:c>
      <x:c r="AD586" s="58" t="n">
        <x:f>SUM(AD570:AD573)+AD541+SUM(AD577:AD580)</x:f>
        <x:v>230488.2066077274</x:v>
      </x:c>
      <x:c r="AE586" s="58" t="n">
        <x:f>SUM(AE570:AE573)+AE541+SUM(AE577:AE580)</x:f>
        <x:v>232708.54540076712</x:v>
      </x:c>
      <x:c r="AF586" s="58" t="n">
        <x:f>SUM(AF570:AF573)+AF541+SUM(AF577:AF580)</x:f>
        <x:v>267107.39877134905</x:v>
      </x:c>
      <x:c r="AG586" s="58" t="n">
        <x:f>SUM(AG570:AG573)+AG541+SUM(AG577:AG580)</x:f>
        <x:v>269705.6276913404</x:v>
      </x:c>
      <x:c r="AH586" s="58" t="n">
        <x:f>SUM(AH570:AH573)+AH541+SUM(AH577:AH580)</x:f>
        <x:v>272320.73501606664</x:v>
      </x:c>
      <x:c r="AI586" s="58" t="n">
        <x:f>SUM(AI570:AI573)+AI541+SUM(AI577:AI580)</x:f>
        <x:v>274996.3061746525</x:v>
      </x:c>
      <x:c r="AJ586" s="58" t="n">
        <x:f>SUM(AJ570:AJ573)+AJ541+SUM(AJ577:AJ580)</x:f>
        <x:v>277742.7481422185</x:v>
      </x:c>
      <x:c r="AK586" s="58" t="n">
        <x:f>SUM(AK570:AK573)+AK541+SUM(AK577:AK580)</x:f>
        <x:v>280569.85251536564</x:v>
      </x:c>
    </x:row>
    <x:row r="587" ht="18" customHeight="1">
      <x:c r="A587" s="74" t="str">
        <x:v>NET CASH MOVEMENT (INR)</x:v>
      </x:c>
      <x:c r="B587" s="75" t="n">
        <x:f>B585-B586</x:f>
        <x:v>-29590.60815474576</x:v>
      </x:c>
      <x:c r="C587" s="75" t="n">
        <x:f>C585-C586</x:f>
        <x:v>6150.605284615398</x:v>
      </x:c>
      <x:c r="D587" s="75" t="n">
        <x:f>D585-D586</x:f>
        <x:v>10505.301080243553</x:v>
      </x:c>
      <x:c r="E587" s="75" t="n">
        <x:f>E585-E586</x:f>
        <x:v>11792.16043892787</x:v>
      </x:c>
      <x:c r="F587" s="75" t="n">
        <x:f>F585-F586</x:f>
        <x:v>21392.125471927153</x:v>
      </x:c>
      <x:c r="G587" s="75" t="n">
        <x:f>G585-G586</x:f>
        <x:v>26861.98142199281</x:v>
      </x:c>
      <x:c r="H587" s="75" t="n">
        <x:f>H585-H586</x:f>
        <x:v>25990.510461336205</x:v>
      </x:c>
      <x:c r="I587" s="75" t="n">
        <x:f>I585-I586</x:f>
        <x:v>43034.81913132791</x:v>
      </x:c>
      <x:c r="J587" s="75" t="n">
        <x:f>J585-J586</x:f>
        <x:v>50972.67472849421</x:v>
      </x:c>
      <x:c r="K587" s="75" t="n">
        <x:f>K585-K586</x:f>
        <x:v>59046.43253274804</x:v>
      </x:c>
      <x:c r="L587" s="75" t="n">
        <x:f>L585-L586</x:f>
        <x:v>67542.60812227087</x:v>
      </x:c>
      <x:c r="M587" s="75" t="n">
        <x:f>M585-M586</x:f>
        <x:v>76596.24216024637</x:v>
      </x:c>
      <x:c r="N587" s="75" t="n">
        <x:f>N585-N586</x:f>
        <x:v>62593.08148071954</x:v>
      </x:c>
      <x:c r="O587" s="75" t="n">
        <x:f>O585-O586</x:f>
        <x:v>81561.07961672191</x:v>
      </x:c>
      <x:c r="P587" s="75" t="n">
        <x:f>P585-P586</x:f>
        <x:v>92815.42311884338</x:v>
      </x:c>
      <x:c r="Q587" s="75" t="n">
        <x:f>Q585-Q586</x:f>
        <x:v>105073.52473119162</x:v>
      </x:c>
      <x:c r="R587" s="75" t="n">
        <x:f>R585-R586</x:f>
        <x:v>117577.71618144415</x:v>
      </x:c>
      <x:c r="S587" s="75" t="n">
        <x:f>S585-S586</x:f>
        <x:v>129281.8766122507</x:v>
      </x:c>
      <x:c r="T587" s="75" t="n">
        <x:f>T585-T586</x:f>
        <x:v>129756.66319639658</x:v>
      </x:c>
      <x:c r="U587" s="75" t="n">
        <x:f>U585-U586</x:f>
        <x:v>164473.20134357305</x:v>
      </x:c>
      <x:c r="V587" s="75" t="n">
        <x:f>V585-V586</x:f>
        <x:v>180762.0759363326</x:v>
      </x:c>
      <x:c r="W587" s="75" t="n">
        <x:f>W585-W586</x:f>
        <x:v>197216.57757852267</x:v>
      </x:c>
      <x:c r="X587" s="75" t="n">
        <x:f>X585-X586</x:f>
        <x:v>214282.4140231793</x:v>
      </x:c>
      <x:c r="Y587" s="75" t="n">
        <x:f>Y585-Y586</x:f>
        <x:v>232132.61885405326</x:v>
      </x:c>
      <x:c r="Z587" s="75" t="n">
        <x:f>Z585-Z586</x:f>
        <x:v>219445.85631397448</x:v>
      </x:c>
      <x:c r="AA587" s="75" t="n">
        <x:f>AA585-AA586</x:f>
        <x:v>253639.67811776645</x:v>
      </x:c>
      <x:c r="AB587" s="75" t="n">
        <x:f>AB585-AB586</x:f>
        <x:v>257180.82605326263</x:v>
      </x:c>
      <x:c r="AC587" s="75" t="n">
        <x:f>AC585-AC586</x:f>
        <x:v>276527.9676088778</x:v>
      </x:c>
      <x:c r="AD587" s="75" t="n">
        <x:f>AD585-AD586</x:f>
        <x:v>296407.15224410495</x:v>
      </x:c>
      <x:c r="AE587" s="75" t="n">
        <x:f>AE585-AE586</x:f>
        <x:v>316329.9876798695</x:v>
      </x:c>
      <x:c r="AF587" s="75" t="n">
        <x:f>AF585-AF586</x:f>
        <x:v>326985.74145835574</x:v>
      </x:c>
      <x:c r="AG587" s="75" t="n">
        <x:f>AG585-AG586</x:f>
        <x:v>372072.56219990994</x:v>
      </x:c>
      <x:c r="AH587" s="75" t="n">
        <x:f>AH585-AH586</x:f>
        <x:v>397394.1536191374</x:v>
      </x:c>
      <x:c r="AI587" s="75" t="n">
        <x:f>AI585-AI586</x:f>
        <x:v>423279.25359212636</x:v>
      </x:c>
      <x:c r="AJ587" s="75" t="n">
        <x:f>AJ585-AJ586</x:f>
        <x:v>450147.8586113654</x:v>
      </x:c>
      <x:c r="AK587" s="75" t="n">
        <x:f>AK585-AK586</x:f>
        <x:v>478170.6927956836</x:v>
      </x:c>
    </x:row>
    <x:row r="588" ht="18" customHeight="1">
      <x:c r="A588" s="4" t="str">
        <x:v>Cumulative cash movement (INR)</x:v>
      </x:c>
      <x:c r="B588" s="58" t="n">
        <x:f>0+B587</x:f>
        <x:v>-29590.60815474576</x:v>
      </x:c>
      <x:c r="C588" s="58" t="n">
        <x:f>B588+C587</x:f>
        <x:v>-23440.002870130364</x:v>
      </x:c>
      <x:c r="D588" s="58" t="n">
        <x:f>C588+D587</x:f>
        <x:v>-12934.70178988681</x:v>
      </x:c>
      <x:c r="E588" s="58" t="n">
        <x:f>D588+E587</x:f>
        <x:v>-1142.5413509589416</x:v>
      </x:c>
      <x:c r="F588" s="58" t="n">
        <x:f>E588+F587</x:f>
        <x:v>20249.58412096821</x:v>
      </x:c>
      <x:c r="G588" s="58" t="n">
        <x:f>F588+G587</x:f>
        <x:v>47111.56554296102</x:v>
      </x:c>
      <x:c r="H588" s="58" t="n">
        <x:f>G588+H587</x:f>
        <x:v>73102.07600429723</x:v>
      </x:c>
      <x:c r="I588" s="58" t="n">
        <x:f>H588+I587</x:f>
        <x:v>116136.89513562513</x:v>
      </x:c>
      <x:c r="J588" s="58" t="n">
        <x:f>I588+J587</x:f>
        <x:v>167109.56986411934</x:v>
      </x:c>
      <x:c r="K588" s="58" t="n">
        <x:f>J588+K587</x:f>
        <x:v>226156.00239686738</x:v>
      </x:c>
      <x:c r="L588" s="58" t="n">
        <x:f>K588+L587</x:f>
        <x:v>293698.6105191383</x:v>
      </x:c>
      <x:c r="M588" s="58" t="n">
        <x:f>L588+M587</x:f>
        <x:v>370294.85267938464</x:v>
      </x:c>
      <x:c r="N588" s="58" t="n">
        <x:f>M588+N587</x:f>
        <x:v>432887.9341601042</x:v>
      </x:c>
      <x:c r="O588" s="58" t="n">
        <x:f>N588+O587</x:f>
        <x:v>514449.0137768261</x:v>
      </x:c>
      <x:c r="P588" s="58" t="n">
        <x:f>O588+P587</x:f>
        <x:v>607264.4368956694</x:v>
      </x:c>
      <x:c r="Q588" s="58" t="n">
        <x:f>P588+Q587</x:f>
        <x:v>712337.961626861</x:v>
      </x:c>
      <x:c r="R588" s="58" t="n">
        <x:f>Q588+R587</x:f>
        <x:v>829915.6778083051</x:v>
      </x:c>
      <x:c r="S588" s="58" t="n">
        <x:f>R588+S587</x:f>
        <x:v>959197.5544205558</x:v>
      </x:c>
      <x:c r="T588" s="58" t="n">
        <x:f>S588+T587</x:f>
        <x:v>1088954.2176169525</x:v>
      </x:c>
      <x:c r="U588" s="58" t="n">
        <x:f>T588+U587</x:f>
        <x:v>1253427.4189605257</x:v>
      </x:c>
      <x:c r="V588" s="58" t="n">
        <x:f>U588+V587</x:f>
        <x:v>1434189.4948968582</x:v>
      </x:c>
      <x:c r="W588" s="58" t="n">
        <x:f>V588+W587</x:f>
        <x:v>1631406.072475381</x:v>
      </x:c>
      <x:c r="X588" s="58" t="n">
        <x:f>W588+X587</x:f>
        <x:v>1845688.4864985603</x:v>
      </x:c>
      <x:c r="Y588" s="58" t="n">
        <x:f>X588+Y587</x:f>
        <x:v>2077821.1053526136</x:v>
      </x:c>
      <x:c r="Z588" s="58" t="n">
        <x:f>Y588+Z587</x:f>
        <x:v>2297266.961666588</x:v>
      </x:c>
      <x:c r="AA588" s="58" t="n">
        <x:f>Z588+AA587</x:f>
        <x:v>2550906.6397843547</x:v>
      </x:c>
      <x:c r="AB588" s="58" t="n">
        <x:f>AA588+AB587</x:f>
        <x:v>2808087.4658376174</x:v>
      </x:c>
      <x:c r="AC588" s="58" t="n">
        <x:f>AB588+AC587</x:f>
        <x:v>3084615.4334464953</x:v>
      </x:c>
      <x:c r="AD588" s="58" t="n">
        <x:f>AC588+AD587</x:f>
        <x:v>3381022.5856906003</x:v>
      </x:c>
      <x:c r="AE588" s="58" t="n">
        <x:f>AD588+AE587</x:f>
        <x:v>3697352.5733704697</x:v>
      </x:c>
      <x:c r="AF588" s="58" t="n">
        <x:f>AE588+AF587</x:f>
        <x:v>4024338.3148288256</x:v>
      </x:c>
      <x:c r="AG588" s="58" t="n">
        <x:f>AF588+AG587</x:f>
        <x:v>4396410.877028735</x:v>
      </x:c>
      <x:c r="AH588" s="58" t="n">
        <x:f>AG588+AH587</x:f>
        <x:v>4793805.030647873</x:v>
      </x:c>
      <x:c r="AI588" s="58" t="n">
        <x:f>AH588+AI587</x:f>
        <x:v>5217084.284239999</x:v>
      </x:c>
      <x:c r="AJ588" s="58" t="n">
        <x:f>AI588+AJ587</x:f>
        <x:v>5667232.142851365</x:v>
      </x:c>
      <x:c r="AK588" s="58" t="n">
        <x:f>AJ588+AK587</x:f>
        <x:v>6145402.835647048</x:v>
      </x:c>
    </x:row>
    <x:row r="589" ht="18" customHeight="1">
      <x:c r="A589" s="74" t="str">
        <x:v>CLOSING CASH, BEFORE TAX / OWNER DRAWS</x:v>
      </x:c>
      <x:c r="B589" s="75" t="n">
        <x:f>'Commercial Inputs'!$B$29+B588</x:f>
        <x:v>70409.39184525424</x:v>
      </x:c>
      <x:c r="C589" s="75" t="n">
        <x:f>'Commercial Inputs'!$B$29+C588</x:f>
        <x:v>76559.99712986963</x:v>
      </x:c>
      <x:c r="D589" s="75" t="n">
        <x:f>'Commercial Inputs'!$B$29+D588</x:f>
        <x:v>87065.2982101132</x:v>
      </x:c>
      <x:c r="E589" s="75" t="n">
        <x:f>'Commercial Inputs'!$B$29+E588</x:f>
        <x:v>98857.45864904106</x:v>
      </x:c>
      <x:c r="F589" s="75" t="n">
        <x:f>'Commercial Inputs'!$B$29+F588</x:f>
        <x:v>120249.58412096821</x:v>
      </x:c>
      <x:c r="G589" s="75" t="n">
        <x:f>'Commercial Inputs'!$B$29+G588</x:f>
        <x:v>147111.565542961</x:v>
      </x:c>
      <x:c r="H589" s="75" t="n">
        <x:f>'Commercial Inputs'!$B$29+H588</x:f>
        <x:v>173102.07600429724</x:v>
      </x:c>
      <x:c r="I589" s="75" t="n">
        <x:f>'Commercial Inputs'!$B$29+I588</x:f>
        <x:v>216136.89513562515</x:v>
      </x:c>
      <x:c r="J589" s="75" t="n">
        <x:f>'Commercial Inputs'!$B$29+J588</x:f>
        <x:v>267109.56986411934</x:v>
      </x:c>
      <x:c r="K589" s="75" t="n">
        <x:f>'Commercial Inputs'!$B$29+K588</x:f>
        <x:v>326156.0023968674</x:v>
      </x:c>
      <x:c r="L589" s="75" t="n">
        <x:f>'Commercial Inputs'!$B$29+L588</x:f>
        <x:v>393698.6105191383</x:v>
      </x:c>
      <x:c r="M589" s="75" t="n">
        <x:f>'Commercial Inputs'!$B$29+M588</x:f>
        <x:v>470294.85267938464</x:v>
      </x:c>
      <x:c r="N589" s="75" t="n">
        <x:f>'Commercial Inputs'!$B$29+N588</x:f>
        <x:v>532887.9341601043</x:v>
      </x:c>
      <x:c r="O589" s="75" t="n">
        <x:f>'Commercial Inputs'!$B$29+O588</x:f>
        <x:v>614449.0137768261</x:v>
      </x:c>
      <x:c r="P589" s="75" t="n">
        <x:f>'Commercial Inputs'!$B$29+P588</x:f>
        <x:v>707264.4368956694</x:v>
      </x:c>
      <x:c r="Q589" s="75" t="n">
        <x:f>'Commercial Inputs'!$B$29+Q588</x:f>
        <x:v>812337.961626861</x:v>
      </x:c>
      <x:c r="R589" s="75" t="n">
        <x:f>'Commercial Inputs'!$B$29+R588</x:f>
        <x:v>929915.6778083051</x:v>
      </x:c>
      <x:c r="S589" s="75" t="n">
        <x:f>'Commercial Inputs'!$B$29+S588</x:f>
        <x:v>1059197.554420556</x:v>
      </x:c>
      <x:c r="T589" s="75" t="n">
        <x:f>'Commercial Inputs'!$B$29+T588</x:f>
        <x:v>1188954.2176169525</x:v>
      </x:c>
      <x:c r="U589" s="75" t="n">
        <x:f>'Commercial Inputs'!$B$29+U588</x:f>
        <x:v>1353427.4189605257</x:v>
      </x:c>
      <x:c r="V589" s="75" t="n">
        <x:f>'Commercial Inputs'!$B$29+V588</x:f>
        <x:v>1534189.4948968582</x:v>
      </x:c>
      <x:c r="W589" s="75" t="n">
        <x:f>'Commercial Inputs'!$B$29+W588</x:f>
        <x:v>1731406.072475381</x:v>
      </x:c>
      <x:c r="X589" s="75" t="n">
        <x:f>'Commercial Inputs'!$B$29+X588</x:f>
        <x:v>1945688.4864985603</x:v>
      </x:c>
      <x:c r="Y589" s="75" t="n">
        <x:f>'Commercial Inputs'!$B$29+Y588</x:f>
        <x:v>2177821.1053526136</x:v>
      </x:c>
      <x:c r="Z589" s="75" t="n">
        <x:f>'Commercial Inputs'!$B$29+Z588</x:f>
        <x:v>2397266.961666588</x:v>
      </x:c>
      <x:c r="AA589" s="75" t="n">
        <x:f>'Commercial Inputs'!$B$29+AA588</x:f>
        <x:v>2650906.6397843547</x:v>
      </x:c>
      <x:c r="AB589" s="75" t="n">
        <x:f>'Commercial Inputs'!$B$29+AB588</x:f>
        <x:v>2908087.4658376174</x:v>
      </x:c>
      <x:c r="AC589" s="75" t="n">
        <x:f>'Commercial Inputs'!$B$29+AC588</x:f>
        <x:v>3184615.4334464953</x:v>
      </x:c>
      <x:c r="AD589" s="75" t="n">
        <x:f>'Commercial Inputs'!$B$29+AD588</x:f>
        <x:v>3481022.5856906003</x:v>
      </x:c>
      <x:c r="AE589" s="75" t="n">
        <x:f>'Commercial Inputs'!$B$29+AE588</x:f>
        <x:v>3797352.5733704697</x:v>
      </x:c>
      <x:c r="AF589" s="75" t="n">
        <x:f>'Commercial Inputs'!$B$29+AF588</x:f>
        <x:v>4124338.3148288256</x:v>
      </x:c>
      <x:c r="AG589" s="75" t="n">
        <x:f>'Commercial Inputs'!$B$29+AG588</x:f>
        <x:v>4496410.877028735</x:v>
      </x:c>
      <x:c r="AH589" s="75" t="n">
        <x:f>'Commercial Inputs'!$B$29+AH588</x:f>
        <x:v>4893805.030647873</x:v>
      </x:c>
      <x:c r="AI589" s="75" t="n">
        <x:f>'Commercial Inputs'!$B$29+AI588</x:f>
        <x:v>5317084.284239999</x:v>
      </x:c>
      <x:c r="AJ589" s="75" t="n">
        <x:f>'Commercial Inputs'!$B$29+AJ588</x:f>
        <x:v>5767232.142851365</x:v>
      </x:c>
      <x:c r="AK589" s="75" t="n">
        <x:f>'Commercial Inputs'!$B$29+AK588</x:f>
        <x:v>6245402.835647048</x:v>
      </x:c>
    </x:row>
    <x:row r="590" ht="18" customHeight="1">
      <x:c r="A590" s="74" t="str">
        <x:v>Unearned annual subscription revenue (INR)</x:v>
      </x:c>
      <x:c r="B590" s="75" t="n">
        <x:f>0+B568-B563</x:f>
        <x:v>23208.318326214692</x:v>
      </x:c>
      <x:c r="C590" s="75" t="n">
        <x:f>B590+C568-C563</x:f>
        <x:v>46123.092705220355</x:v>
      </x:c>
      <x:c r="D590" s="75" t="n">
        <x:f>C590+D568-D563</x:f>
        <x:v>68797.1610475146</x:v>
      </x:c>
      <x:c r="E590" s="75" t="n">
        <x:f>D590+E568-E563</x:f>
        <x:v>99362.16036110338</x:v>
      </x:c>
      <x:c r="F590" s="75" t="n">
        <x:f>E590+F568-F563</x:f>
        <x:v>129078.05210464369</x:v>
      </x:c>
      <x:c r="G590" s="75" t="n">
        <x:f>F590+G568-G563</x:f>
        <x:v>158019.06973805517</x:v>
      </x:c>
      <x:c r="H590" s="75" t="n">
        <x:f>G590+H568-H563</x:f>
        <x:v>203758.68159098638</x:v>
      </x:c>
      <x:c r="I590" s="75" t="n">
        <x:f>H590+I568-I563</x:f>
        <x:v>247309.64954697294</x:v>
      </x:c>
      <x:c r="J590" s="75" t="n">
        <x:f>I590+J568-J563</x:f>
        <x:v>288776.2662723927</x:v>
      </x:c>
      <x:c r="K590" s="75" t="n">
        <x:f>J590+K568-K563</x:f>
        <x:v>328275.3395535891</x:v>
      </x:c>
      <x:c r="L590" s="75" t="n">
        <x:f>K590+L568-L563</x:f>
        <x:v>365937.6941112665</x:v>
      </x:c>
      <x:c r="M590" s="75" t="n">
        <x:f>L590+M568-M563</x:f>
        <x:v>401909.853632614</x:v>
      </x:c>
      <x:c r="N590" s="75" t="n">
        <x:f>M590+N568-N563</x:f>
        <x:v>470633.1036544272</x:v>
      </x:c>
      <x:c r="O590" s="75" t="n">
        <x:f>N590+O568-O563</x:f>
        <x:v>535366.0308416726</x:v>
      </x:c>
      <x:c r="P590" s="75" t="n">
        <x:f>O590+P568-P563</x:f>
        <x:v>596259.3178984799</x:v>
      </x:c>
      <x:c r="Q590" s="75" t="n">
        <x:f>P590+Q568-Q563</x:f>
        <x:v>656566.6597916202</x:v>
      </x:c>
      <x:c r="R590" s="75" t="n">
        <x:f>Q590+R568-R563</x:f>
        <x:v>713918.8013177009</x:v>
      </x:c>
      <x:c r="S590" s="75" t="n">
        <x:f>R590+S568-S563</x:f>
        <x:v>768534.6472891578</x:v>
      </x:c>
      <x:c r="T590" s="75" t="n">
        <x:f>S590+T568-T563</x:f>
        <x:v>857919.080994945</x:v>
      </x:c>
      <x:c r="U590" s="75" t="n">
        <x:f>T590+U568-U563</x:f>
        <x:v>943442.5473946257</x:v>
      </x:c>
      <x:c r="V590" s="75" t="n">
        <x:f>U590+V568-V563</x:f>
        <x:v>1025421.6700555477</x:v>
      </x:c>
      <x:c r="W590" s="75" t="n">
        <x:f>V590+W568-W563</x:f>
        <x:v>1104214.217370376</x:v>
      </x:c>
      <x:c r="X590" s="75" t="n">
        <x:f>W590+X568-X563</x:f>
        <x:v>1180224.29193591</x:v>
      </x:c>
      <x:c r="Y590" s="75" t="n">
        <x:f>X590+Y568-Y563</x:f>
        <x:v>1253908.1628173408</x:v>
      </x:c>
      <x:c r="Z590" s="75" t="n">
        <x:f>Y590+Z568-Z563</x:f>
        <x:v>1356510.2988432117</x:v>
      </x:c>
      <x:c r="AA590" s="75" t="n">
        <x:f>Z590+AA568-AA563</x:f>
        <x:v>1454620.7953128263</x:v>
      </x:c>
      <x:c r="AB590" s="75" t="n">
        <x:f>AA590+AB568-AB563</x:f>
        <x:v>1548473.2262495894</x:v>
      </x:c>
      <x:c r="AC590" s="75" t="n">
        <x:f>AB590+AC568-AC563</x:f>
        <x:v>1639794.3353503053</x:v>
      </x:c>
      <x:c r="AD590" s="75" t="n">
        <x:f>AC590+AD568-AD563</x:f>
        <x:v>1727506.0084562988</x:v>
      </x:c>
      <x:c r="AE590" s="75" t="n">
        <x:f>AD590+AE568-AE563</x:f>
        <x:v>1811929.3922584855</x:v>
      </x:c>
      <x:c r="AF590" s="75" t="n">
        <x:f>AE590+AF568-AF563</x:f>
        <x:v>1936074.6099194507</x:v>
      </x:c>
      <x:c r="AG590" s="75" t="n">
        <x:f>AF590+AG568-AG563</x:f>
        <x:v>2057343.2512410353</x:v>
      </x:c>
      <x:c r="AH590" s="75" t="n">
        <x:f>AG590+AH568-AH563</x:f>
        <x:v>2176173.846132517</x:v>
      </x:c>
      <x:c r="AI590" s="75" t="n">
        <x:f>AH590+AI568-AI563</x:f>
        <x:v>2293052.297762335</x:v>
      </x:c>
      <x:c r="AJ590" s="75" t="n">
        <x:f>AI590+AJ568-AJ563</x:f>
        <x:v>2408516.7036628756</x:v>
      </x:c>
      <x:c r="AK590" s="75" t="n">
        <x:f>AJ590+AK568-AK563</x:f>
        <x:v>2523162.6596533293</x:v>
      </x:c>
    </x:row>
    <x:row r="591" ht="18" customHeight="1">
      <x:c r="A591" s="4" t="str">
        <x:v>Payout receivable (INR)</x:v>
      </x:c>
      <x:c r="B591" s="58" t="n">
        <x:f>'Commercial Inputs'!$B$31*B584</x:f>
        <x:v>13688.172495254239</x:v>
      </x:c>
      <x:c r="C591" s="58" t="n">
        <x:f>'Commercial Inputs'!$B$31*C584</x:f>
        <x:v>16133.94473668516</x:v>
      </x:c>
      <x:c r="D591" s="58" t="n">
        <x:f>'Commercial Inputs'!$B$31*D584</x:f>
        <x:v>18441.280433389</x:v>
      </x:c>
      <x:c r="E591" s="58" t="n">
        <x:f>'Commercial Inputs'!$B$31*E584</x:f>
        <x:v>25598.467122679132</x:v>
      </x:c>
      <x:c r="F591" s="58" t="n">
        <x:f>'Commercial Inputs'!$B$31*F584</x:f>
        <x:v>28599.585480587433</x:v>
      </x:c>
      <x:c r="G591" s="58" t="n">
        <x:f>'Commercial Inputs'!$B$31*G584</x:f>
        <x:v>31636.105904709133</x:v>
      </x:c>
      <x:c r="H591" s="58" t="n">
        <x:f>'Commercial Inputs'!$B$31*H584</x:f>
        <x:v>45143.06398114903</x:v>
      </x:c>
      <x:c r="I591" s="58" t="n">
        <x:f>'Commercial Inputs'!$B$31*I584</x:f>
        <x:v>49574.14559558261</x:v>
      </x:c>
      <x:c r="J591" s="58" t="n">
        <x:f>'Commercial Inputs'!$B$31*J584</x:f>
        <x:v>53977.60505818718</x:v>
      </x:c>
      <x:c r="K591" s="58" t="n">
        <x:f>'Commercial Inputs'!$B$31*K584</x:f>
        <x:v>58578.31526928142</x:v>
      </x:c>
      <x:c r="L591" s="58" t="n">
        <x:f>'Commercial Inputs'!$B$31*L584</x:f>
        <x:v>63448.42878494419</x:v>
      </x:c>
      <x:c r="M591" s="58" t="n">
        <x:f>'Commercial Inputs'!$B$31*M584</x:f>
        <x:v>68661.65863492343</x:v>
      </x:c>
      <x:c r="N591" s="58" t="n">
        <x:f>'Commercial Inputs'!$B$31*N584</x:f>
        <x:v>92579.40526309534</x:v>
      </x:c>
      <x:c r="O591" s="58" t="n">
        <x:f>'Commercial Inputs'!$B$31*O584</x:f>
        <x:v>98984.90637929362</x:v>
      </x:c>
      <x:c r="P591" s="58" t="n">
        <x:f>'Commercial Inputs'!$B$31*P584</x:f>
        <x:v>105161.22577270214</x:v>
      </x:c>
      <x:c r="Q591" s="58" t="n">
        <x:f>'Commercial Inputs'!$B$31*Q584</x:f>
        <x:v>112569.7532716996</x:v>
      </x:c>
      <x:c r="R591" s="58" t="n">
        <x:f>'Commercial Inputs'!$B$31*R584</x:f>
        <x:v>118987.34209130613</x:v>
      </x:c>
      <x:c r="S591" s="58" t="n">
        <x:f>'Commercial Inputs'!$B$31*S584</x:f>
        <x:v>125626.89044490417</x:v>
      </x:c>
      <x:c r="T591" s="58" t="n">
        <x:f>'Commercial Inputs'!$B$31*T584</x:f>
        <x:v>153071.1067732785</x:v>
      </x:c>
      <x:c r="U591" s="58" t="n">
        <x:f>'Commercial Inputs'!$B$31*U584</x:f>
        <x:v>162157.19477301143</x:v>
      </x:c>
      <x:c r="V591" s="58" t="n">
        <x:f>'Commercial Inputs'!$B$31*V584</x:f>
        <x:v>171161.88470815265</x:v>
      </x:c>
      <x:c r="W591" s="58" t="n">
        <x:f>'Commercial Inputs'!$B$31*W584</x:f>
        <x:v>180449.0550722162</x:v>
      </x:c>
      <x:c r="X591" s="58" t="n">
        <x:f>'Commercial Inputs'!$B$31*X584</x:f>
        <x:v>190111.48856864285</x:v>
      </x:c>
      <x:c r="Y591" s="58" t="n">
        <x:f>'Commercial Inputs'!$B$31*Y584</x:f>
        <x:v>200239.84471719648</x:v>
      </x:c>
      <x:c r="Z591" s="58" t="n">
        <x:f>'Commercial Inputs'!$B$31*Z584</x:f>
        <x:v>226204.1319134925</x:v>
      </x:c>
      <x:c r="AA591" s="58" t="n">
        <x:f>'Commercial Inputs'!$B$31*AA584</x:f>
        <x:v>236525.4813923823</x:v>
      </x:c>
      <x:c r="AB591" s="58" t="n">
        <x:f>'Commercial Inputs'!$B$31*AB584</x:f>
        <x:v>246839.88656741392</x:v>
      </x:c>
      <x:c r="AC591" s="58" t="n">
        <x:f>'Commercial Inputs'!$B$31*AC584</x:f>
        <x:v>258009.39852334018</x:v>
      </x:c>
      <x:c r="AD591" s="58" t="n">
        <x:f>'Commercial Inputs'!$B$31*AD584</x:f>
        <x:v>268885.9603284922</x:v>
      </x:c>
      <x:c r="AE591" s="58" t="n">
        <x:f>'Commercial Inputs'!$B$31*AE584</x:f>
        <x:v>280152.5727521444</x:v>
      </x:c>
      <x:c r="AF591" s="58" t="n">
        <x:f>'Commercial Inputs'!$B$31*AF584</x:f>
        <x:v>313940.5674775603</x:v>
      </x:c>
      <x:c r="AG591" s="58" t="n">
        <x:f>'Commercial Inputs'!$B$31*AG584</x:f>
        <x:v>327837.6224136901</x:v>
      </x:c>
      <x:c r="AH591" s="58" t="n">
        <x:f>'Commercial Inputs'!$B$31*AH584</x:f>
        <x:v>341877.266221514</x:v>
      </x:c>
      <x:c r="AI591" s="58" t="n">
        <x:f>'Commercial Inputs'!$B$31*AI584</x:f>
        <x:v>356398.29354526487</x:v>
      </x:c>
      <x:c r="AJ591" s="58" t="n">
        <x:f>'Commercial Inputs'!$B$31*AJ584</x:f>
        <x:v>371492.313208319</x:v>
      </x:c>
      <x:c r="AK591" s="58" t="n">
        <x:f>'Commercial Inputs'!$B$31*AK584</x:f>
        <x:v>387248.2321027302</x:v>
      </x:c>
    </x:row>
    <x:row r="592" ht="18" customHeight="1">
      <x:c r="A592" s="4" t="str">
        <x:v>Cash-profit bridge check: must be zero</x:v>
      </x:c>
      <x:c r="B592" s="58" t="n">
        <x:f>ROUND(B587-(B581+(B590-0)-(B591-0)),6)</x:f>
        <x:v>0</x:v>
      </x:c>
      <x:c r="C592" s="58" t="n">
        <x:f>ROUND(C587-(C581+(C590-B590)-(C591-B591)),6)</x:f>
        <x:v>0</x:v>
      </x:c>
      <x:c r="D592" s="58" t="n">
        <x:f>ROUND(D587-(D581+(D590-C590)-(D591-C591)),6)</x:f>
        <x:v>0</x:v>
      </x:c>
      <x:c r="E592" s="58" t="n">
        <x:f>ROUND(E587-(E581+(E590-D590)-(E591-D591)),6)</x:f>
        <x:v>0</x:v>
      </x:c>
      <x:c r="F592" s="58" t="n">
        <x:f>ROUND(F587-(F581+(F590-E590)-(F591-E591)),6)</x:f>
        <x:v>0</x:v>
      </x:c>
      <x:c r="G592" s="58" t="n">
        <x:f>ROUND(G587-(G581+(G590-F590)-(G591-F591)),6)</x:f>
        <x:v>0</x:v>
      </x:c>
      <x:c r="H592" s="58" t="n">
        <x:f>ROUND(H587-(H581+(H590-G590)-(H591-G591)),6)</x:f>
        <x:v>0</x:v>
      </x:c>
      <x:c r="I592" s="58" t="n">
        <x:f>ROUND(I587-(I581+(I590-H590)-(I591-H591)),6)</x:f>
        <x:v>0</x:v>
      </x:c>
      <x:c r="J592" s="58" t="n">
        <x:f>ROUND(J587-(J581+(J590-I590)-(J591-I591)),6)</x:f>
        <x:v>0</x:v>
      </x:c>
      <x:c r="K592" s="58" t="n">
        <x:f>ROUND(K587-(K581+(K590-J590)-(K591-J591)),6)</x:f>
        <x:v>0</x:v>
      </x:c>
      <x:c r="L592" s="58" t="n">
        <x:f>ROUND(L587-(L581+(L590-K590)-(L591-K591)),6)</x:f>
        <x:v>0</x:v>
      </x:c>
      <x:c r="M592" s="58" t="n">
        <x:f>ROUND(M587-(M581+(M590-L590)-(M591-L591)),6)</x:f>
        <x:v>0</x:v>
      </x:c>
      <x:c r="N592" s="58" t="n">
        <x:f>ROUND(N587-(N581+(N590-M590)-(N591-M591)),6)</x:f>
        <x:v>0</x:v>
      </x:c>
      <x:c r="O592" s="58" t="n">
        <x:f>ROUND(O587-(O581+(O590-N590)-(O591-N591)),6)</x:f>
        <x:v>0</x:v>
      </x:c>
      <x:c r="P592" s="58" t="n">
        <x:f>ROUND(P587-(P581+(P590-O590)-(P591-O591)),6)</x:f>
        <x:v>0</x:v>
      </x:c>
      <x:c r="Q592" s="58" t="n">
        <x:f>ROUND(Q587-(Q581+(Q590-P590)-(Q591-P591)),6)</x:f>
        <x:v>0</x:v>
      </x:c>
      <x:c r="R592" s="58" t="n">
        <x:f>ROUND(R587-(R581+(R590-Q590)-(R591-Q591)),6)</x:f>
        <x:v>0</x:v>
      </x:c>
      <x:c r="S592" s="58" t="n">
        <x:f>ROUND(S587-(S581+(S590-R590)-(S591-R591)),6)</x:f>
        <x:v>0</x:v>
      </x:c>
      <x:c r="T592" s="58" t="n">
        <x:f>ROUND(T587-(T581+(T590-S590)-(T591-S591)),6)</x:f>
        <x:v>0</x:v>
      </x:c>
      <x:c r="U592" s="58" t="n">
        <x:f>ROUND(U587-(U581+(U590-T590)-(U591-T591)),6)</x:f>
        <x:v>0</x:v>
      </x:c>
      <x:c r="V592" s="58" t="n">
        <x:f>ROUND(V587-(V581+(V590-U590)-(V591-U591)),6)</x:f>
        <x:v>0</x:v>
      </x:c>
      <x:c r="W592" s="58" t="n">
        <x:f>ROUND(W587-(W581+(W590-V590)-(W591-V591)),6)</x:f>
        <x:v>0</x:v>
      </x:c>
      <x:c r="X592" s="58" t="n">
        <x:f>ROUND(X587-(X581+(X590-W590)-(X591-W591)),6)</x:f>
        <x:v>0</x:v>
      </x:c>
      <x:c r="Y592" s="58" t="n">
        <x:f>ROUND(Y587-(Y581+(Y590-X590)-(Y591-X591)),6)</x:f>
        <x:v>0</x:v>
      </x:c>
      <x:c r="Z592" s="58" t="n">
        <x:f>ROUND(Z587-(Z581+(Z590-Y590)-(Z591-Y591)),6)</x:f>
        <x:v>0</x:v>
      </x:c>
      <x:c r="AA592" s="58" t="n">
        <x:f>ROUND(AA587-(AA581+(AA590-Z590)-(AA591-Z591)),6)</x:f>
        <x:v>0</x:v>
      </x:c>
      <x:c r="AB592" s="58" t="n">
        <x:f>ROUND(AB587-(AB581+(AB590-AA590)-(AB591-AA591)),6)</x:f>
        <x:v>0</x:v>
      </x:c>
      <x:c r="AC592" s="58" t="n">
        <x:f>ROUND(AC587-(AC581+(AC590-AB590)-(AC591-AB591)),6)</x:f>
        <x:v>0</x:v>
      </x:c>
      <x:c r="AD592" s="58" t="n">
        <x:f>ROUND(AD587-(AD581+(AD590-AC590)-(AD591-AC591)),6)</x:f>
        <x:v>0</x:v>
      </x:c>
      <x:c r="AE592" s="58" t="n">
        <x:f>ROUND(AE587-(AE581+(AE590-AD590)-(AE591-AD591)),6)</x:f>
        <x:v>0</x:v>
      </x:c>
      <x:c r="AF592" s="58" t="n">
        <x:f>ROUND(AF587-(AF581+(AF590-AE590)-(AF591-AE591)),6)</x:f>
        <x:v>0</x:v>
      </x:c>
      <x:c r="AG592" s="58" t="n">
        <x:f>ROUND(AG587-(AG581+(AG590-AF590)-(AG591-AF591)),6)</x:f>
        <x:v>0</x:v>
      </x:c>
      <x:c r="AH592" s="58" t="n">
        <x:f>ROUND(AH587-(AH581+(AH590-AG590)-(AH591-AG591)),6)</x:f>
        <x:v>0</x:v>
      </x:c>
      <x:c r="AI592" s="58" t="n">
        <x:f>ROUND(AI587-(AI581+(AI590-AH590)-(AI591-AH591)),6)</x:f>
        <x:v>0</x:v>
      </x:c>
      <x:c r="AJ592" s="58" t="n">
        <x:f>ROUND(AJ587-(AJ581+(AJ590-AI590)-(AJ591-AI591)),6)</x:f>
        <x:v>0</x:v>
      </x:c>
      <x:c r="AK592" s="58" t="n">
        <x:f>ROUND(AK587-(AK581+(AK590-AJ590)-(AK591-AJ591)),6)</x:f>
        <x:v>0</x:v>
      </x:c>
    </x:row>
    <x:row r="593" ht="18" customHeight="1">
      <x:c r="A593" s="4" t="str">
        <x:v>Remaining paid-service cost reserve (INR)</x:v>
      </x:c>
      <x:c r="B593" s="58" t="n">
        <x:f>B590/$B$609*'Commercial Inputs'!$B$46*('Commercial Inputs'!$B$24*$B$615+'Commercial Inputs'!$B$28)</x:f>
        <x:v>1122.5053400000002</x:v>
      </x:c>
      <x:c r="C593" s="58" t="n">
        <x:f>C590/$B$609*'Commercial Inputs'!$B$46*('Commercial Inputs'!$B$24*$B$615+'Commercial Inputs'!$B$28)</x:f>
        <x:v>2230.8129840000006</x:v>
      </x:c>
      <x:c r="D593" s="58" t="n">
        <x:f>D590/$B$609*'Commercial Inputs'!$B$46*('Commercial Inputs'!$B$24*$B$615+'Commercial Inputs'!$B$28)</x:f>
        <x:v>3327.478517280001</x:v>
      </x:c>
      <x:c r="E593" s="58" t="n">
        <x:f>E590/$B$609*'Commercial Inputs'!$B$46*('Commercial Inputs'!$B$24*$B$615+'Commercial Inputs'!$B$28)</x:f>
        <x:v>4805.800835353602</x:v>
      </x:c>
      <x:c r="F593" s="58" t="n">
        <x:f>F590/$B$609*'Commercial Inputs'!$B$46*('Commercial Inputs'!$B$24*$B$615+'Commercial Inputs'!$B$28)</x:f>
        <x:v>6243.054784396034</x:v>
      </x:c>
      <x:c r="G593" s="58" t="n">
        <x:f>G590/$B$609*'Commercial Inputs'!$B$46*('Commercial Inputs'!$B$24*$B$615+'Commercial Inputs'!$B$28)</x:f>
        <x:v>7642.830777723559</x:v>
      </x:c>
      <x:c r="H593" s="58" t="n">
        <x:f>H590/$B$609*'Commercial Inputs'!$B$46*('Commercial Inputs'!$B$24*$B$615+'Commercial Inputs'!$B$28)</x:f>
        <x:v>9855.09613158372</x:v>
      </x:c>
      <x:c r="I593" s="58" t="n">
        <x:f>I590/$B$609*'Commercial Inputs'!$B$46*('Commercial Inputs'!$B$24*$B$615+'Commercial Inputs'!$B$28)</x:f>
        <x:v>11961.504420440433</x:v>
      </x:c>
      <x:c r="J593" s="58" t="n">
        <x:f>J590/$B$609*'Commercial Inputs'!$B$46*('Commercial Inputs'!$B$24*$B$615+'Commercial Inputs'!$B$28)</x:f>
        <x:v>13967.099916493282</x:v>
      </x:c>
      <x:c r="K593" s="58" t="n">
        <x:f>K590/$B$609*'Commercial Inputs'!$B$46*('Commercial Inputs'!$B$24*$B$615+'Commercial Inputs'!$B$28)</x:f>
        <x:v>15877.532204605814</x:v>
      </x:c>
      <x:c r="L593" s="58" t="n">
        <x:f>L590/$B$609*'Commercial Inputs'!$B$46*('Commercial Inputs'!$B$24*$B$615+'Commercial Inputs'!$B$28)</x:f>
        <x:v>17699.12881982517</x:v>
      </x:c>
      <x:c r="M593" s="58" t="n">
        <x:f>M590/$B$609*'Commercial Inputs'!$B$46*('Commercial Inputs'!$B$24*$B$615+'Commercial Inputs'!$B$28)</x:f>
        <x:v>19438.9766014042</x:v>
      </x:c>
      <x:c r="N593" s="58" t="n">
        <x:f>N590/$B$609*'Commercial Inputs'!$B$46*('Commercial Inputs'!$B$24*$B$615+'Commercial Inputs'!$B$28)</x:f>
        <x:v>22762.880300385496</x:v>
      </x:c>
      <x:c r="O593" s="58" t="n">
        <x:f>O590/$B$609*'Commercial Inputs'!$B$46*('Commercial Inputs'!$B$24*$B$615+'Commercial Inputs'!$B$28)</x:f>
        <x:v>25893.786013594297</x:v>
      </x:c>
      <x:c r="P593" s="58" t="n">
        <x:f>P590/$B$609*'Commercial Inputs'!$B$46*('Commercial Inputs'!$B$24*$B$615+'Commercial Inputs'!$B$28)</x:f>
        <x:v>28838.981737414215</x:v>
      </x:c>
      <x:c r="Q593" s="58" t="n">
        <x:f>Q590/$B$609*'Commercial Inputs'!$B$46*('Commercial Inputs'!$B$24*$B$615+'Commercial Inputs'!$B$28)</x:f>
        <x:v>31755.837339131445</x:v>
      </x:c>
      <x:c r="R593" s="58" t="n">
        <x:f>R590/$B$609*'Commercial Inputs'!$B$46*('Commercial Inputs'!$B$24*$B$615+'Commercial Inputs'!$B$28)</x:f>
        <x:v>34529.7602153419</x:v>
      </x:c>
      <x:c r="S593" s="58" t="n">
        <x:f>S590/$B$609*'Commercial Inputs'!$B$46*('Commercial Inputs'!$B$24*$B$615+'Commercial Inputs'!$B$28)</x:f>
        <x:v>37171.338027652826</x:v>
      </x:c>
      <x:c r="T593" s="58" t="n">
        <x:f>T590/$B$609*'Commercial Inputs'!$B$46*('Commercial Inputs'!$B$24*$B$615+'Commercial Inputs'!$B$28)</x:f>
        <x:v>41494.55105572864</x:v>
      </x:c>
      <x:c r="U593" s="58" t="n">
        <x:f>U590/$B$609*'Commercial Inputs'!$B$46*('Commercial Inputs'!$B$24*$B$615+'Commercial Inputs'!$B$28)</x:f>
        <x:v>45631.0225733791</x:v>
      </x:c>
      <x:c r="V593" s="58" t="n">
        <x:f>V590/$B$609*'Commercial Inputs'!$B$46*('Commercial Inputs'!$B$24*$B$615+'Commercial Inputs'!$B$28)</x:f>
        <x:v>49596.06655726214</x:v>
      </x:c>
      <x:c r="W593" s="58" t="n">
        <x:f>W590/$B$609*'Commercial Inputs'!$B$46*('Commercial Inputs'!$B$24*$B$615+'Commercial Inputs'!$B$28)</x:f>
        <x:v>53406.98701560467</x:v>
      </x:c>
      <x:c r="X593" s="58" t="n">
        <x:f>X590/$B$609*'Commercial Inputs'!$B$46*('Commercial Inputs'!$B$24*$B$615+'Commercial Inputs'!$B$28)</x:f>
        <x:v>57083.32898034048</x:v>
      </x:c>
      <x:c r="Y593" s="58" t="n">
        <x:f>Y590/$B$609*'Commercial Inputs'!$B$46*('Commercial Inputs'!$B$24*$B$615+'Commercial Inputs'!$B$28)</x:f>
        <x:v>60647.16059337259</x:v>
      </x:c>
      <x:c r="Z593" s="58" t="n">
        <x:f>Z590/$B$609*'Commercial Inputs'!$B$46*('Commercial Inputs'!$B$24*$B$615+'Commercial Inputs'!$B$28)</x:f>
        <x:v>65609.66774126688</x:v>
      </x:c>
      <x:c r="AA593" s="58" t="n">
        <x:f>AA590/$B$609*'Commercial Inputs'!$B$46*('Commercial Inputs'!$B$24*$B$615+'Commercial Inputs'!$B$28)</x:f>
        <x:v>70354.92996359679</x:v>
      </x:c>
      <x:c r="AB593" s="58" t="n">
        <x:f>AB590/$B$609*'Commercial Inputs'!$B$46*('Commercial Inputs'!$B$24*$B$615+'Commercial Inputs'!$B$28)</x:f>
        <x:v>74894.24442049567</x:v>
      </x:c>
      <x:c r="AC593" s="58" t="n">
        <x:f>AC590/$B$609*'Commercial Inputs'!$B$46*('Commercial Inputs'!$B$24*$B$615+'Commercial Inputs'!$B$28)</x:f>
        <x:v>79311.12767672406</x:v>
      </x:c>
      <x:c r="AD593" s="58" t="n">
        <x:f>AD590/$B$609*'Commercial Inputs'!$B$46*('Commercial Inputs'!$B$24*$B$615+'Commercial Inputs'!$B$28)</x:f>
        <x:v>83553.43511399328</x:v>
      </x:c>
      <x:c r="AE593" s="58" t="n">
        <x:f>AE590/$B$609*'Commercial Inputs'!$B$46*('Commercial Inputs'!$B$24*$B$615+'Commercial Inputs'!$B$28)</x:f>
        <x:v>87636.69947665858</x:v>
      </x:c>
      <x:c r="AF593" s="58" t="n">
        <x:f>AF590/$B$609*'Commercial Inputs'!$B$46*('Commercial Inputs'!$B$24*$B$615+'Commercial Inputs'!$B$28)</x:f>
        <x:v>93641.17027894374</x:v>
      </x:c>
      <x:c r="AG593" s="58" t="n">
        <x:f>AG590/$B$609*'Commercial Inputs'!$B$46*('Commercial Inputs'!$B$24*$B$615+'Commercial Inputs'!$B$28)</x:f>
        <x:v>99506.51112547397</x:v>
      </x:c>
      <x:c r="AH593" s="58" t="n">
        <x:f>AH590/$B$609*'Commercial Inputs'!$B$46*('Commercial Inputs'!$B$24*$B$615+'Commercial Inputs'!$B$28)</x:f>
        <x:v>105253.93217710605</x:v>
      </x:c>
      <x:c r="AI593" s="58" t="n">
        <x:f>AI590/$B$609*'Commercial Inputs'!$B$46*('Commercial Inputs'!$B$24*$B$615+'Commercial Inputs'!$B$28)</x:f>
        <x:v>110906.93487386804</x:v>
      </x:c>
      <x:c r="AJ593" s="58" t="n">
        <x:f>AJ590/$B$609*'Commercial Inputs'!$B$46*('Commercial Inputs'!$B$24*$B$615+'Commercial Inputs'!$B$28)</x:f>
        <x:v>116491.54511496793</x:v>
      </x:c>
      <x:c r="AK593" s="58" t="n">
        <x:f>AK590/$B$609*'Commercial Inputs'!$B$46*('Commercial Inputs'!$B$24*$B$615+'Commercial Inputs'!$B$28)</x:f>
        <x:v>122036.56979102678</x:v>
      </x:c>
    </x:row>
    <x:row r="594" ht="18" customHeight="1">
      <x:c r="A594" s="4" t="str">
        <x:v>Forward liquidity buffer (INR)</x:v>
      </x:c>
      <x:c r="B594" s="58" t="n">
        <x:f>'Commercial Inputs'!$B$34*(SUM(B577:B579)+B572+B541)</x:f>
        <x:v>68079.15</x:v>
      </x:c>
      <x:c r="C594" s="58" t="n">
        <x:f>'Commercial Inputs'!$B$34*(SUM(C577:C579)+C572+C541)</x:f>
        <x:v>68444.492924232</x:v>
      </x:c>
      <x:c r="D594" s="58" t="n">
        <x:f>'Commercial Inputs'!$B$34*(SUM(D577:D579)+D572+D541)</x:f>
        <x:v>68858.12932596199</x:v>
      </x:c>
      <x:c r="E594" s="58" t="n">
        <x:f>'Commercial Inputs'!$B$34*(SUM(E577:E579)+E572+E541)</x:f>
        <x:v>91967.83910721888</x:v>
      </x:c>
      <x:c r="F594" s="58" t="n">
        <x:f>'Commercial Inputs'!$B$34*(SUM(F577:F579)+F572+F541)</x:f>
        <x:v>92554.34129317083</x:v>
      </x:c>
      <x:c r="G594" s="58" t="n">
        <x:f>'Commercial Inputs'!$B$34*(SUM(G577:G579)+G572+G541)</x:f>
        <x:v>93151.3279010895</x:v>
      </x:c>
      <x:c r="H594" s="58" t="n">
        <x:f>'Commercial Inputs'!$B$34*(SUM(H577:H579)+H572+H541)</x:f>
        <x:v>142914.66280366704</x:v>
      </x:c>
      <x:c r="I594" s="58" t="n">
        <x:f>'Commercial Inputs'!$B$34*(SUM(I577:I579)+I572+I541)</x:f>
        <x:v>143864.4147736325</x:v>
      </x:c>
      <x:c r="J594" s="58" t="n">
        <x:f>'Commercial Inputs'!$B$34*(SUM(J577:J579)+J572+J541)</x:f>
        <x:v>144818.7391156344</x:v>
      </x:c>
      <x:c r="K594" s="58" t="n">
        <x:f>'Commercial Inputs'!$B$34*(SUM(K577:K579)+K572+K541)</x:f>
        <x:v>145808.14608002506</x:v>
      </x:c>
      <x:c r="L594" s="58" t="n">
        <x:f>'Commercial Inputs'!$B$34*(SUM(L577:L579)+L572+L541)</x:f>
        <x:v>146843.2114438889</x:v>
      </x:c>
      <x:c r="M594" s="58" t="n">
        <x:f>'Commercial Inputs'!$B$34*(SUM(M577:M579)+M572+M541)</x:f>
        <x:v>147934.84811530547</x:v>
      </x:c>
      <x:c r="N594" s="58" t="n">
        <x:f>'Commercial Inputs'!$B$34*(SUM(N577:N579)+N572+N541)</x:f>
        <x:v>273263.85511920403</x:v>
      </x:c>
      <x:c r="O594" s="58" t="n">
        <x:f>'Commercial Inputs'!$B$34*(SUM(O577:O579)+O572+O541)</x:f>
        <x:v>304713.28926643694</x:v>
      </x:c>
      <x:c r="P594" s="58" t="n">
        <x:f>'Commercial Inputs'!$B$34*(SUM(P577:P579)+P572+P541)</x:f>
        <x:v>306136.1625950466</x:v>
      </x:c>
      <x:c r="Q594" s="58" t="n">
        <x:f>'Commercial Inputs'!$B$34*(SUM(Q577:Q579)+Q572+Q541)</x:f>
        <x:v>307522.4533992846</x:v>
      </x:c>
      <x:c r="R594" s="58" t="n">
        <x:f>'Commercial Inputs'!$B$34*(SUM(R577:R579)+R572+R541)</x:f>
        <x:v>308931.79168499843</x:v>
      </x:c>
      <x:c r="S594" s="58" t="n">
        <x:f>'Commercial Inputs'!$B$34*(SUM(S577:S579)+S572+S541)</x:f>
        <x:v>310372.2663148339</x:v>
      </x:c>
      <x:c r="T594" s="58" t="n">
        <x:f>'Commercial Inputs'!$B$34*(SUM(T577:T579)+T572+T541)</x:f>
        <x:v>406172.00570957735</x:v>
      </x:c>
      <x:c r="U594" s="58" t="n">
        <x:f>'Commercial Inputs'!$B$34*(SUM(U577:U579)+U572+U541)</x:f>
        <x:v>408097.06599423493</x:v>
      </x:c>
      <x:c r="V594" s="58" t="n">
        <x:f>'Commercial Inputs'!$B$34*(SUM(V577:V579)+V572+V541)</x:f>
        <x:v>410010.498221659</x:v>
      </x:c>
      <x:c r="W594" s="58" t="n">
        <x:f>'Commercial Inputs'!$B$34*(SUM(W577:W579)+W572+W541)</x:f>
        <x:v>411958.6700366017</x:v>
      </x:c>
      <x:c r="X594" s="58" t="n">
        <x:f>'Commercial Inputs'!$B$34*(SUM(X577:X579)+X572+X541)</x:f>
        <x:v>413952.08050049393</x:v>
      </x:c>
      <x:c r="Y594" s="58" t="n">
        <x:f>'Commercial Inputs'!$B$34*(SUM(Y577:Y579)+Y572+Y541)</x:f>
        <x:v>416000.6357576711</x:v>
      </x:c>
      <x:c r="Z594" s="58" t="n">
        <x:f>'Commercial Inputs'!$B$34*(SUM(Z577:Z579)+Z572+Z541)</x:f>
        <x:v>557049.4828235114</x:v>
      </x:c>
      <x:c r="AA594" s="58" t="n">
        <x:f>'Commercial Inputs'!$B$34*(SUM(AA577:AA579)+AA572+AA541)</x:f>
        <x:v>559274.5710777096</x:v>
      </x:c>
      <x:c r="AB594" s="58" t="n">
        <x:f>'Commercial Inputs'!$B$34*(SUM(AB577:AB579)+AB572+AB541)</x:f>
        <x:v>606503.5040351897</x:v>
      </x:c>
      <x:c r="AC594" s="58" t="n">
        <x:f>'Commercial Inputs'!$B$34*(SUM(AC577:AC579)+AC572+AC541)</x:f>
        <x:v>608758.6534858649</x:v>
      </x:c>
      <x:c r="AD594" s="58" t="n">
        <x:f>'Commercial Inputs'!$B$34*(SUM(AD577:AD579)+AD572+AD541)</x:f>
        <x:v>611058.7659255711</x:v>
      </x:c>
      <x:c r="AE594" s="58" t="n">
        <x:f>'Commercial Inputs'!$B$34*(SUM(AE577:AE579)+AE572+AE541)</x:f>
        <x:v>613412.170287528</x:v>
      </x:c>
      <x:c r="AF594" s="58" t="n">
        <x:f>'Commercial Inputs'!$B$34*(SUM(AF577:AF579)+AF572+AF541)</x:f>
        <x:v>709981.429466112</x:v>
      </x:c>
      <x:c r="AG594" s="58" t="n">
        <x:f>'Commercial Inputs'!$B$34*(SUM(AG577:AG579)+AG572+AG541)</x:f>
        <x:v>712713.8711350956</x:v>
      </x:c>
      <x:c r="AH594" s="58" t="n">
        <x:f>'Commercial Inputs'!$B$34*(SUM(AH577:AH579)+AH572+AH541)</x:f>
        <x:v>715462.8459583303</x:v>
      </x:c>
      <x:c r="AI594" s="58" t="n">
        <x:f>'Commercial Inputs'!$B$34*(SUM(AI577:AI579)+AI572+AI541)</x:f>
        <x:v>718270.9588802144</x:v>
      </x:c>
      <x:c r="AJ594" s="58" t="n">
        <x:f>'Commercial Inputs'!$B$34*(SUM(AJ577:AJ579)+AJ572+AJ541)</x:f>
        <x:v>721148.0842027478</x:v>
      </x:c>
      <x:c r="AK594" s="58" t="n">
        <x:f>'Commercial Inputs'!$B$34*(SUM(AK577:AK579)+AK572+AK541)</x:f>
        <x:v>724103.4348507135</x:v>
      </x:c>
    </x:row>
    <x:row r="595" ht="18" customHeight="1">
      <x:c r="A595" s="4" t="str">
        <x:v>Cash after service / liquidity reserves</x:v>
      </x:c>
      <x:c r="B595" s="58" t="n">
        <x:f>B589-B593-B594</x:f>
        <x:v>1207.7365052542445</x:v>
      </x:c>
      <x:c r="C595" s="58" t="n">
        <x:f>C589-C593-C594</x:f>
        <x:v>5884.691221637622</x:v>
      </x:c>
      <x:c r="D595" s="58" t="n">
        <x:f>D589-D593-D594</x:f>
        <x:v>14879.690366871204</x:v>
      </x:c>
      <x:c r="E595" s="58" t="n">
        <x:f>E589-E593-E594</x:f>
        <x:v>2083.818706468577</x:v>
      </x:c>
      <x:c r="F595" s="58" t="n">
        <x:f>F589-F593-F594</x:f>
        <x:v>21452.188043401344</x:v>
      </x:c>
      <x:c r="G595" s="58" t="n">
        <x:f>G589-G593-G594</x:f>
        <x:v>46317.40686414795</x:v>
      </x:c>
      <x:c r="H595" s="58" t="n">
        <x:f>H589-H593-H594</x:f>
        <x:v>20332.31706904646</x:v>
      </x:c>
      <x:c r="I595" s="58" t="n">
        <x:f>I589-I593-I594</x:f>
        <x:v>60310.9759415522</x:v>
      </x:c>
      <x:c r="J595" s="58" t="n">
        <x:f>J589-J593-J594</x:f>
        <x:v>108323.73083199165</x:v>
      </x:c>
      <x:c r="K595" s="58" t="n">
        <x:f>K589-K593-K594</x:f>
        <x:v>164470.3241122365</x:v>
      </x:c>
      <x:c r="L595" s="58" t="n">
        <x:f>L589-L593-L594</x:f>
        <x:v>229156.2702554242</x:v>
      </x:c>
      <x:c r="M595" s="58" t="n">
        <x:f>M589-M593-M594</x:f>
        <x:v>302921.02796267497</x:v>
      </x:c>
      <x:c r="N595" s="58" t="n">
        <x:f>N589-N593-N594</x:f>
        <x:v>236861.19874051475</x:v>
      </x:c>
      <x:c r="O595" s="58" t="n">
        <x:f>O589-O593-O594</x:f>
        <x:v>283841.9384967949</x:v>
      </x:c>
      <x:c r="P595" s="58" t="n">
        <x:f>P589-P593-P594</x:f>
        <x:v>372289.29256320855</x:v>
      </x:c>
      <x:c r="Q595" s="58" t="n">
        <x:f>Q589-Q593-Q594</x:f>
        <x:v>473059.670888445</x:v>
      </x:c>
      <x:c r="R595" s="58" t="n">
        <x:f>R589-R593-R594</x:f>
        <x:v>586454.1259079648</x:v>
      </x:c>
      <x:c r="S595" s="58" t="n">
        <x:f>S589-S593-S594</x:f>
        <x:v>711653.9500780692</x:v>
      </x:c>
      <x:c r="T595" s="58" t="n">
        <x:f>T589-T593-T594</x:f>
        <x:v>741287.6608516464</x:v>
      </x:c>
      <x:c r="U595" s="58" t="n">
        <x:f>U589-U593-U594</x:f>
        <x:v>899699.3303929116</x:v>
      </x:c>
      <x:c r="V595" s="58" t="n">
        <x:f>V589-V593-V594</x:f>
        <x:v>1074582.9301179373</x:v>
      </x:c>
      <x:c r="W595" s="58" t="n">
        <x:f>W589-W593-W594</x:f>
        <x:v>1266040.4154231744</x:v>
      </x:c>
      <x:c r="X595" s="58" t="n">
        <x:f>X589-X593-X594</x:f>
        <x:v>1474653.077017726</x:v>
      </x:c>
      <x:c r="Y595" s="58" t="n">
        <x:f>Y589-Y593-Y594</x:f>
        <x:v>1701173.3090015696</x:v>
      </x:c>
      <x:c r="Z595" s="58" t="n">
        <x:f>Z589-Z593-Z594</x:f>
        <x:v>1774607.8111018098</x:v>
      </x:c>
      <x:c r="AA595" s="58" t="n">
        <x:f>AA589-AA593-AA594</x:f>
        <x:v>2021277.1387430485</x:v>
      </x:c>
      <x:c r="AB595" s="58" t="n">
        <x:f>AB589-AB593-AB594</x:f>
        <x:v>2226689.717381932</x:v>
      </x:c>
      <x:c r="AC595" s="58" t="n">
        <x:f>AC589-AC593-AC594</x:f>
        <x:v>2496545.6522839065</x:v>
      </x:c>
      <x:c r="AD595" s="58" t="n">
        <x:f>AD589-AD593-AD594</x:f>
        <x:v>2786410.384651036</x:v>
      </x:c>
      <x:c r="AE595" s="58" t="n">
        <x:f>AE589-AE593-AE594</x:f>
        <x:v>3096303.7036062833</x:v>
      </x:c>
      <x:c r="AF595" s="58" t="n">
        <x:f>AF589-AF593-AF594</x:f>
        <x:v>3320715.71508377</x:v>
      </x:c>
      <x:c r="AG595" s="58" t="n">
        <x:f>AG589-AG593-AG594</x:f>
        <x:v>3684190.4947681655</x:v>
      </x:c>
      <x:c r="AH595" s="58" t="n">
        <x:f>AH589-AH593-AH594</x:f>
        <x:v>4073088.252512437</x:v>
      </x:c>
      <x:c r="AI595" s="58" t="n">
        <x:f>AI589-AI593-AI594</x:f>
        <x:v>4487906.390485917</x:v>
      </x:c>
      <x:c r="AJ595" s="58" t="n">
        <x:f>AJ589-AJ593-AJ594</x:f>
        <x:v>4929592.513533649</x:v>
      </x:c>
      <x:c r="AK595" s="58" t="n">
        <x:f>AK589-AK593-AK594</x:f>
        <x:v>5399262.831005309</x:v>
      </x:c>
    </x:row>
    <x:row r="596" ht="18" customHeight="1">
      <x:c r="A596" s="4" t="str">
        <x:v>Cumulative earned operating profit (INR)</x:v>
      </x:c>
      <x:c r="B596" s="58" t="n">
        <x:f>0+B581</x:f>
        <x:v>-39110.753985706215</x:v>
      </x:c>
      <x:c r="C596" s="58" t="n">
        <x:f>B596+C581</x:f>
        <x:v>-53429.15083866556</x:v>
      </x:c>
      <x:c r="D596" s="58" t="n">
        <x:f>C596+D581</x:f>
        <x:v>-63290.58240401241</x:v>
      </x:c>
      <x:c r="E596" s="58" t="n">
        <x:f>D596+E581</x:f>
        <x:v>-74906.23458938318</x:v>
      </x:c>
      <x:c r="F596" s="58" t="n">
        <x:f>E596+F581</x:f>
        <x:v>-80228.88250308804</x:v>
      </x:c>
      <x:c r="G596" s="58" t="n">
        <x:f>F596+G581</x:f>
        <x:v>-79271.398290385</x:v>
      </x:c>
      <x:c r="H596" s="58" t="n">
        <x:f>G596+H581</x:f>
        <x:v>-85513.54160554009</x:v>
      </x:c>
      <x:c r="I596" s="58" t="n">
        <x:f>H596+I581</x:f>
        <x:v>-81598.60881576514</x:v>
      </x:c>
      <x:c r="J596" s="58" t="n">
        <x:f>I596+J581</x:f>
        <x:v>-67689.09135008618</x:v>
      </x:c>
      <x:c r="K596" s="58" t="n">
        <x:f>J596+K581</x:f>
        <x:v>-43541.02188744029</x:v>
      </x:c>
      <x:c r="L596" s="58" t="n">
        <x:f>K596+L581</x:f>
        <x:v>-8790.654807184052</x:v>
      </x:c>
      <x:c r="M596" s="58" t="n">
        <x:f>L596+M581</x:f>
        <x:v>37046.657681694036</x:v>
      </x:c>
      <x:c r="N596" s="58" t="n">
        <x:f>M596+N581</x:f>
        <x:v>54834.23576877227</x:v>
      </x:c>
      <x:c r="O596" s="58" t="n">
        <x:f>N596+O581</x:f>
        <x:v>78067.88931444708</x:v>
      </x:c>
      <x:c r="P596" s="58" t="n">
        <x:f>O596+P581</x:f>
        <x:v>116166.3447698916</x:v>
      </x:c>
      <x:c r="Q596" s="58" t="n">
        <x:f>P596+Q581</x:f>
        <x:v>168341.0551069404</x:v>
      </x:c>
      <x:c r="R596" s="58" t="n">
        <x:f>Q596+R581</x:f>
        <x:v>234984.2185819104</x:v>
      </x:c>
      <x:c r="S596" s="58" t="n">
        <x:f>R596+S581</x:f>
        <x:v>316289.7975763022</x:v>
      </x:c>
      <x:c r="T596" s="58" t="n">
        <x:f>S596+T581</x:f>
        <x:v>384106.2433952859</x:v>
      </x:c>
      <x:c r="U596" s="58" t="n">
        <x:f>T596+U581</x:f>
        <x:v>472142.0663389111</x:v>
      </x:c>
      <x:c r="V596" s="58" t="n">
        <x:f>U596+V581</x:f>
        <x:v>579929.7095494629</x:v>
      </x:c>
      <x:c r="W596" s="58" t="n">
        <x:f>V596+W581</x:f>
        <x:v>707640.9101772208</x:v>
      </x:c>
      <x:c r="X596" s="58" t="n">
        <x:f>W596+X581</x:f>
        <x:v>855575.6831312927</x:v>
      </x:c>
      <x:c r="Y596" s="58" t="n">
        <x:f>X596+Y581</x:f>
        <x:v>1024152.7872524688</x:v>
      </x:c>
      <x:c r="Z596" s="58" t="n">
        <x:f>Y596+Z581</x:f>
        <x:v>1166960.7947368682</x:v>
      </x:c>
      <x:c r="AA596" s="58" t="n">
        <x:f>Z596+AA581</x:f>
        <x:v>1332811.32586391</x:v>
      </x:c>
      <x:c r="AB596" s="58" t="n">
        <x:f>AA596+AB581</x:f>
        <x:v>1506454.1261554412</x:v>
      </x:c>
      <x:c r="AC596" s="58" t="n">
        <x:f>AB596+AC581</x:f>
        <x:v>1702830.4966195293</x:v>
      </x:c>
      <x:c r="AD596" s="58" t="n">
        <x:f>AC596+AD581</x:f>
        <x:v>1922402.5375627931</x:v>
      </x:c>
      <x:c r="AE596" s="58" t="n">
        <x:f>AD596+AE581</x:f>
        <x:v>2165575.753864128</x:v>
      </x:c>
      <x:c r="AF596" s="58" t="n">
        <x:f>AE596+AF581</x:f>
        <x:v>2402204.2723869346</x:v>
      </x:c>
      <x:c r="AG596" s="58" t="n">
        <x:f>AF596+AG581</x:f>
        <x:v>2666905.24820139</x:v>
      </x:c>
      <x:c r="AH596" s="58" t="n">
        <x:f>AG596+AH581</x:f>
        <x:v>2959508.45073687</x:v>
      </x:c>
      <x:c r="AI596" s="58" t="n">
        <x:f>AH596+AI581</x:f>
        <x:v>3280430.2800229294</x:v>
      </x:c>
      <x:c r="AJ596" s="58" t="n">
        <x:f>AI596+AJ581</x:f>
        <x:v>3630207.7523968085</x:v>
      </x:c>
      <x:c r="AK596" s="58" t="n">
        <x:f>AJ596+AK581</x:f>
        <x:v>4009488.4080964494</x:v>
      </x:c>
    </x:row>
    <x:row r="597" ht="18" customHeight="1">
      <x:c r="A597" s="4" t="str">
        <x:v>Pre-tax retained-profit / liquidity cap</x:v>
      </x:c>
      <x:c r="B597" s="58" t="n">
        <x:f>MAX(0,MIN(B596,B595))</x:f>
        <x:v>0</x:v>
      </x:c>
      <x:c r="C597" s="58" t="n">
        <x:f>MAX(0,MIN(C596,C595))</x:f>
        <x:v>0</x:v>
      </x:c>
      <x:c r="D597" s="58" t="n">
        <x:f>MAX(0,MIN(D596,D595))</x:f>
        <x:v>0</x:v>
      </x:c>
      <x:c r="E597" s="58" t="n">
        <x:f>MAX(0,MIN(E596,E595))</x:f>
        <x:v>0</x:v>
      </x:c>
      <x:c r="F597" s="58" t="n">
        <x:f>MAX(0,MIN(F596,F595))</x:f>
        <x:v>0</x:v>
      </x:c>
      <x:c r="G597" s="58" t="n">
        <x:f>MAX(0,MIN(G596,G595))</x:f>
        <x:v>0</x:v>
      </x:c>
      <x:c r="H597" s="58" t="n">
        <x:f>MAX(0,MIN(H596,H595))</x:f>
        <x:v>0</x:v>
      </x:c>
      <x:c r="I597" s="58" t="n">
        <x:f>MAX(0,MIN(I596,I595))</x:f>
        <x:v>0</x:v>
      </x:c>
      <x:c r="J597" s="58" t="n">
        <x:f>MAX(0,MIN(J596,J595))</x:f>
        <x:v>0</x:v>
      </x:c>
      <x:c r="K597" s="58" t="n">
        <x:f>MAX(0,MIN(K596,K595))</x:f>
        <x:v>0</x:v>
      </x:c>
      <x:c r="L597" s="58" t="n">
        <x:f>MAX(0,MIN(L596,L595))</x:f>
        <x:v>0</x:v>
      </x:c>
      <x:c r="M597" s="58" t="n">
        <x:f>MAX(0,MIN(M596,M595))</x:f>
        <x:v>37046.657681694036</x:v>
      </x:c>
      <x:c r="N597" s="58" t="n">
        <x:f>MAX(0,MIN(N596,N595))</x:f>
        <x:v>54834.23576877227</x:v>
      </x:c>
      <x:c r="O597" s="58" t="n">
        <x:f>MAX(0,MIN(O596,O595))</x:f>
        <x:v>78067.88931444708</x:v>
      </x:c>
      <x:c r="P597" s="58" t="n">
        <x:f>MAX(0,MIN(P596,P595))</x:f>
        <x:v>116166.3447698916</x:v>
      </x:c>
      <x:c r="Q597" s="58" t="n">
        <x:f>MAX(0,MIN(Q596,Q595))</x:f>
        <x:v>168341.0551069404</x:v>
      </x:c>
      <x:c r="R597" s="58" t="n">
        <x:f>MAX(0,MIN(R596,R595))</x:f>
        <x:v>234984.2185819104</x:v>
      </x:c>
      <x:c r="S597" s="58" t="n">
        <x:f>MAX(0,MIN(S596,S595))</x:f>
        <x:v>316289.7975763022</x:v>
      </x:c>
      <x:c r="T597" s="58" t="n">
        <x:f>MAX(0,MIN(T596,T595))</x:f>
        <x:v>384106.2433952859</x:v>
      </x:c>
      <x:c r="U597" s="58" t="n">
        <x:f>MAX(0,MIN(U596,U595))</x:f>
        <x:v>472142.0663389111</x:v>
      </x:c>
      <x:c r="V597" s="58" t="n">
        <x:f>MAX(0,MIN(V596,V595))</x:f>
        <x:v>579929.7095494629</x:v>
      </x:c>
      <x:c r="W597" s="58" t="n">
        <x:f>MAX(0,MIN(W596,W595))</x:f>
        <x:v>707640.9101772208</x:v>
      </x:c>
      <x:c r="X597" s="58" t="n">
        <x:f>MAX(0,MIN(X596,X595))</x:f>
        <x:v>855575.6831312927</x:v>
      </x:c>
      <x:c r="Y597" s="58" t="n">
        <x:f>MAX(0,MIN(Y596,Y595))</x:f>
        <x:v>1024152.7872524688</x:v>
      </x:c>
      <x:c r="Z597" s="58" t="n">
        <x:f>MAX(0,MIN(Z596,Z595))</x:f>
        <x:v>1166960.7947368682</x:v>
      </x:c>
      <x:c r="AA597" s="58" t="n">
        <x:f>MAX(0,MIN(AA596,AA595))</x:f>
        <x:v>1332811.32586391</x:v>
      </x:c>
      <x:c r="AB597" s="58" t="n">
        <x:f>MAX(0,MIN(AB596,AB595))</x:f>
        <x:v>1506454.1261554412</x:v>
      </x:c>
      <x:c r="AC597" s="58" t="n">
        <x:f>MAX(0,MIN(AC596,AC595))</x:f>
        <x:v>1702830.4966195293</x:v>
      </x:c>
      <x:c r="AD597" s="58" t="n">
        <x:f>MAX(0,MIN(AD596,AD595))</x:f>
        <x:v>1922402.5375627931</x:v>
      </x:c>
      <x:c r="AE597" s="58" t="n">
        <x:f>MAX(0,MIN(AE596,AE595))</x:f>
        <x:v>2165575.753864128</x:v>
      </x:c>
      <x:c r="AF597" s="58" t="n">
        <x:f>MAX(0,MIN(AF596,AF595))</x:f>
        <x:v>2402204.2723869346</x:v>
      </x:c>
      <x:c r="AG597" s="58" t="n">
        <x:f>MAX(0,MIN(AG596,AG595))</x:f>
        <x:v>2666905.24820139</x:v>
      </x:c>
      <x:c r="AH597" s="58" t="n">
        <x:f>MAX(0,MIN(AH596,AH595))</x:f>
        <x:v>2959508.45073687</x:v>
      </x:c>
      <x:c r="AI597" s="58" t="n">
        <x:f>MAX(0,MIN(AI596,AI595))</x:f>
        <x:v>3280430.2800229294</x:v>
      </x:c>
      <x:c r="AJ597" s="58" t="n">
        <x:f>MAX(0,MIN(AJ596,AJ595))</x:f>
        <x:v>3630207.7523968085</x:v>
      </x:c>
      <x:c r="AK597" s="58" t="n">
        <x:f>MAX(0,MIN(AK596,AK595))</x:f>
        <x:v>4009488.4080964494</x:v>
      </x:c>
    </x:row>
    <x:row r="598" ht="18" customHeight="1">
      <x:c r="A598" s="74" t="str">
        <x:v>Revenue run rate: current month x 12</x:v>
      </x:c>
      <x:c r="B598" s="75" t="n">
        <x:f>B563*'Commercial Inputs'!$B$46</x:f>
        <x:v>90834.62199728814</x:v>
      </x:c>
      <x:c r="C598" s="75" t="n">
        <x:f>C563*'Commercial Inputs'!$B$46</x:f>
        <x:v>161392.16166059932</x:v>
      </x:c>
      <x:c r="D598" s="75" t="n">
        <x:f>D563*'Commercial Inputs'!$B$46</x:f>
        <x:v>227377.7282902361</x:v>
      </x:c>
      <x:c r="E598" s="75" t="n">
        <x:f>E563*'Commercial Inputs'!$B$46</x:f>
        <x:v>326600.47724363895</x:v>
      </x:c>
      <x:c r="F598" s="75" t="n">
        <x:f>F563*'Commercial Inputs'!$B$46</x:f>
        <x:v>418901.3965262737</x:v>
      </x:c>
      <x:c r="G598" s="75" t="n">
        <x:f>G563*'Commercial Inputs'!$B$46</x:f>
        <x:v>511156.5371003982</x:v>
      </x:c>
      <x:c r="H598" s="75" t="n">
        <x:f>H563*'Commercial Inputs'!$B$46</x:f>
        <x:v>675007.4418481805</x:v>
      </x:c>
      <x:c r="I598" s="75" t="n">
        <x:f>I563*'Commercial Inputs'!$B$46</x:f>
        <x:v>822588.80537127</x:v>
      </x:c>
      <x:c r="J598" s="75" t="n">
        <x:f>J563*'Commercial Inputs'!$B$46</x:f>
        <x:v>967959.8281978254</x:v>
      </x:c>
      <x:c r="K598" s="75" t="n">
        <x:f>K563*'Commercial Inputs'!$B$46</x:f>
        <x:v>1117185.4053255932</x:v>
      </x:c>
      <x:c r="L598" s="75" t="n">
        <x:f>L563*'Commercial Inputs'!$B$46</x:f>
        <x:v>1272073.0321419667</x:v>
      </x:c>
      <x:c r="M598" s="75" t="n">
        <x:f>M563*'Commercial Inputs'!$B$46</x:f>
        <x:v>1434450.2029660768</x:v>
      </x:c>
      <x:c r="N598" s="75" t="n">
        <x:f>N563*'Commercial Inputs'!$B$46</x:f>
        <x:v>1687711.327784921</x:v>
      </x:c>
      <x:c r="O598" s="75" t="n">
        <x:f>O563*'Commercial Inputs'!$B$46</x:f>
        <x:v>1911017.0153880487</x:v>
      </x:c>
      <x:c r="P598" s="75" t="n">
        <x:f>P563*'Commercial Inputs'!$B$46</x:f>
        <x:v>2125965.511040081</x:v>
      </x:c>
      <x:c r="Q598" s="75" t="n">
        <x:f>Q563*'Commercial Inputs'!$B$46</x:f>
        <x:v>2334793.0766239204</x:v>
      </x:c>
      <x:c r="R598" s="75" t="n">
        <x:f>R563*'Commercial Inputs'!$B$46</x:f>
        <x:v>2545387.998663597</x:v>
      </x:c>
      <x:c r="S598" s="75" t="n">
        <x:f>S563*'Commercial Inputs'!$B$46</x:f>
        <x:v>2759268.341505481</x:v>
      </x:c>
      <x:c r="T598" s="75" t="n">
        <x:f>T563*'Commercial Inputs'!$B$46</x:f>
        <x:v>3083999.7737622363</x:v>
      </x:c>
      <x:c r="U598" s="75" t="n">
        <x:f>U563*'Commercial Inputs'!$B$46</x:f>
        <x:v>3378689.8043978303</x:v>
      </x:c>
      <x:c r="V598" s="75" t="n">
        <x:f>V563*'Commercial Inputs'!$B$46</x:f>
        <x:v>3667007.7639980623</x:v>
      </x:c>
      <x:c r="W598" s="75" t="n">
        <x:f>W563*'Commercial Inputs'!$B$46</x:f>
        <x:v>3958526.8398963665</x:v>
      </x:c>
      <x:c r="X598" s="75" t="n">
        <x:f>X563*'Commercial Inputs'!$B$46</x:f>
        <x:v>4255235.03532093</x:v>
      </x:c>
      <x:c r="Y598" s="75" t="n">
        <x:f>Y563*'Commercial Inputs'!$B$46</x:f>
        <x:v>4558988.77677077</x:v>
      </x:c>
      <x:c r="Z598" s="75" t="n">
        <x:f>Z563*'Commercial Inputs'!$B$46</x:f>
        <x:v>4914226.716579971</x:v>
      </x:c>
      <x:c r="AA598" s="75" t="n">
        <x:f>AA563*'Commercial Inputs'!$B$46</x:f>
        <x:v>5249957.132495661</x:v>
      </x:c>
      <x:c r="AB598" s="75" t="n">
        <x:f>AB563*'Commercial Inputs'!$B$46</x:f>
        <x:v>5582403.007421318</x:v>
      </x:c>
      <x:c r="AC598" s="75" t="n">
        <x:f>AC563*'Commercial Inputs'!$B$46</x:f>
        <x:v>5916980.250017047</x:v>
      </x:c>
      <x:c r="AD598" s="75" t="n">
        <x:f>AD563*'Commercial Inputs'!$B$46</x:f>
        <x:v>6256600.368514708</x:v>
      </x:c>
      <x:c r="AE598" s="75" t="n">
        <x:f>AE563*'Commercial Inputs'!$B$46</x:f>
        <x:v>6602836.381725487</x:v>
      </x:c>
      <x:c r="AF598" s="75" t="n">
        <x:f>AF563*'Commercial Inputs'!$B$46</x:f>
        <x:v>7039700.105538396</x:v>
      </x:c>
      <x:c r="AG598" s="75" t="n">
        <x:f>AG563*'Commercial Inputs'!$B$46</x:f>
        <x:v>7453192.866443882</x:v>
      </x:c>
      <x:c r="AH598" s="75" t="n">
        <x:f>AH563*'Commercial Inputs'!$B$46</x:f>
        <x:v>7864952.457858203</x:v>
      </x:c>
      <x:c r="AI598" s="75" t="n">
        <x:f>AI563*'Commercial Inputs'!$B$46</x:f>
        <x:v>8283780.000666358</x:v>
      </x:c>
      <x:c r="AJ598" s="75" t="n">
        <x:f>AJ563*'Commercial Inputs'!$B$46</x:f>
        <x:v>8711559.528700836</x:v>
      </x:c>
      <x:c r="AK598" s="75" t="n">
        <x:f>AK563*'Commercial Inputs'!$B$46</x:f>
        <x:v>9150034.24667921</x:v>
      </x:c>
    </x:row>
    <x:row r="599" ht="18" customHeight="1">
      <x:c r="A599" s="4" t="str"/>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c r="AA599" s="58"/>
      <x:c r="AB599" s="58"/>
      <x:c r="AC599" s="58"/>
      <x:c r="AD599" s="58"/>
      <x:c r="AE599" s="58"/>
      <x:c r="AF599" s="58"/>
      <x:c r="AG599" s="58"/>
      <x:c r="AH599" s="58"/>
      <x:c r="AI599" s="58"/>
      <x:c r="AJ599" s="58"/>
      <x:c r="AK599" s="58"/>
    </x:row>
    <x:row r="600" ht="18" customHeight="1">
      <x:c r="A600" s="4" t="str">
        <x:v>Annual entitlement balance check</x:v>
      </x:c>
      <x:c r="B600" s="58" t="n">
        <x:f>ROUND(B549-(0+SUM(B545:B547)-B548),6)</x:f>
        <x:v>0</x:v>
      </x:c>
      <x:c r="C600" s="58" t="n">
        <x:f>ROUND(C549-(B549+SUM(C545:C547)-C548),6)</x:f>
        <x:v>0</x:v>
      </x:c>
      <x:c r="D600" s="58" t="n">
        <x:f>ROUND(D549-(C549+SUM(D545:D547)-D548),6)</x:f>
        <x:v>0</x:v>
      </x:c>
      <x:c r="E600" s="58" t="n">
        <x:f>ROUND(E549-(D549+SUM(E545:E547)-E548),6)</x:f>
        <x:v>0</x:v>
      </x:c>
      <x:c r="F600" s="58" t="n">
        <x:f>ROUND(F549-(E549+SUM(F545:F547)-F548),6)</x:f>
        <x:v>0</x:v>
      </x:c>
      <x:c r="G600" s="58" t="n">
        <x:f>ROUND(G549-(F549+SUM(G545:G547)-G548),6)</x:f>
        <x:v>0</x:v>
      </x:c>
      <x:c r="H600" s="58" t="n">
        <x:f>ROUND(H549-(G549+SUM(H545:H547)-H548),6)</x:f>
        <x:v>0</x:v>
      </x:c>
      <x:c r="I600" s="58" t="n">
        <x:f>ROUND(I549-(H549+SUM(I545:I547)-I548),6)</x:f>
        <x:v>0</x:v>
      </x:c>
      <x:c r="J600" s="58" t="n">
        <x:f>ROUND(J549-(I549+SUM(J545:J547)-J548),6)</x:f>
        <x:v>0</x:v>
      </x:c>
      <x:c r="K600" s="58" t="n">
        <x:f>ROUND(K549-(J549+SUM(K545:K547)-K548),6)</x:f>
        <x:v>0</x:v>
      </x:c>
      <x:c r="L600" s="58" t="n">
        <x:f>ROUND(L549-(K549+SUM(L545:L547)-L548),6)</x:f>
        <x:v>0</x:v>
      </x:c>
      <x:c r="M600" s="58" t="n">
        <x:f>ROUND(M549-(L549+SUM(M545:M547)-M548),6)</x:f>
        <x:v>0</x:v>
      </x:c>
      <x:c r="N600" s="58" t="n">
        <x:f>ROUND(N549-(M549+SUM(N545:N547)-N548),6)</x:f>
        <x:v>0</x:v>
      </x:c>
      <x:c r="O600" s="58" t="n">
        <x:f>ROUND(O549-(N549+SUM(O545:O547)-O548),6)</x:f>
        <x:v>0</x:v>
      </x:c>
      <x:c r="P600" s="58" t="n">
        <x:f>ROUND(P549-(O549+SUM(P545:P547)-P548),6)</x:f>
        <x:v>0</x:v>
      </x:c>
      <x:c r="Q600" s="58" t="n">
        <x:f>ROUND(Q549-(P549+SUM(Q545:Q547)-Q548),6)</x:f>
        <x:v>0</x:v>
      </x:c>
      <x:c r="R600" s="58" t="n">
        <x:f>ROUND(R549-(Q549+SUM(R545:R547)-R548),6)</x:f>
        <x:v>0</x:v>
      </x:c>
      <x:c r="S600" s="58" t="n">
        <x:f>ROUND(S549-(R549+SUM(S545:S547)-S548),6)</x:f>
        <x:v>0</x:v>
      </x:c>
      <x:c r="T600" s="58" t="n">
        <x:f>ROUND(T549-(S549+SUM(T545:T547)-T548),6)</x:f>
        <x:v>0</x:v>
      </x:c>
      <x:c r="U600" s="58" t="n">
        <x:f>ROUND(U549-(T549+SUM(U545:U547)-U548),6)</x:f>
        <x:v>0</x:v>
      </x:c>
      <x:c r="V600" s="58" t="n">
        <x:f>ROUND(V549-(U549+SUM(V545:V547)-V548),6)</x:f>
        <x:v>0</x:v>
      </x:c>
      <x:c r="W600" s="58" t="n">
        <x:f>ROUND(W549-(V549+SUM(W545:W547)-W548),6)</x:f>
        <x:v>0</x:v>
      </x:c>
      <x:c r="X600" s="58" t="n">
        <x:f>ROUND(X549-(W549+SUM(X545:X547)-X548),6)</x:f>
        <x:v>0</x:v>
      </x:c>
      <x:c r="Y600" s="58" t="n">
        <x:f>ROUND(Y549-(X549+SUM(Y545:Y547)-Y548),6)</x:f>
        <x:v>0</x:v>
      </x:c>
      <x:c r="Z600" s="58" t="n">
        <x:f>ROUND(Z549-(Y549+SUM(Z545:Z547)-Z548),6)</x:f>
        <x:v>0</x:v>
      </x:c>
      <x:c r="AA600" s="58" t="n">
        <x:f>ROUND(AA549-(Z549+SUM(AA545:AA547)-AA548),6)</x:f>
        <x:v>0</x:v>
      </x:c>
      <x:c r="AB600" s="58" t="n">
        <x:f>ROUND(AB549-(AA549+SUM(AB545:AB547)-AB548),6)</x:f>
        <x:v>0</x:v>
      </x:c>
      <x:c r="AC600" s="58" t="n">
        <x:f>ROUND(AC549-(AB549+SUM(AC545:AC547)-AC548),6)</x:f>
        <x:v>0</x:v>
      </x:c>
      <x:c r="AD600" s="58" t="n">
        <x:f>ROUND(AD549-(AC549+SUM(AD545:AD547)-AD548),6)</x:f>
        <x:v>0</x:v>
      </x:c>
      <x:c r="AE600" s="58" t="n">
        <x:f>ROUND(AE549-(AD549+SUM(AE545:AE547)-AE548),6)</x:f>
        <x:v>0</x:v>
      </x:c>
      <x:c r="AF600" s="58" t="n">
        <x:f>ROUND(AF549-(AE549+SUM(AF545:AF547)-AF548),6)</x:f>
        <x:v>0</x:v>
      </x:c>
      <x:c r="AG600" s="58" t="n">
        <x:f>ROUND(AG549-(AF549+SUM(AG545:AG547)-AG548),6)</x:f>
        <x:v>0</x:v>
      </x:c>
      <x:c r="AH600" s="58" t="n">
        <x:f>ROUND(AH549-(AG549+SUM(AH545:AH547)-AH548),6)</x:f>
        <x:v>0</x:v>
      </x:c>
      <x:c r="AI600" s="58" t="n">
        <x:f>ROUND(AI549-(AH549+SUM(AI545:AI547)-AI548),6)</x:f>
        <x:v>0</x:v>
      </x:c>
      <x:c r="AJ600" s="58" t="n">
        <x:f>ROUND(AJ549-(AI549+SUM(AJ545:AJ547)-AJ548),6)</x:f>
        <x:v>0</x:v>
      </x:c>
      <x:c r="AK600" s="58" t="n">
        <x:f>ROUND(AK549-(AJ549+SUM(AK545:AK547)-AK548),6)</x:f>
        <x:v>0</x:v>
      </x:c>
    </x:row>
    <x:row r="601" ht="18" customHeight="1">
      <x:c r="A601" s="4" t="str">
        <x:v>Monthly charge / refund check</x:v>
      </x:c>
      <x:c r="B601" s="58" t="n">
        <x:f>ROUND(B556-B557*(1-'Scenario Inputs'!$C$29),6)</x:f>
        <x:v>0</x:v>
      </x:c>
      <x:c r="C601" s="58" t="n">
        <x:f>ROUND(C556-C557*(1-'Scenario Inputs'!$C$29),6)</x:f>
        <x:v>0</x:v>
      </x:c>
      <x:c r="D601" s="58" t="n">
        <x:f>ROUND(D556-D557*(1-'Scenario Inputs'!$C$29),6)</x:f>
        <x:v>0</x:v>
      </x:c>
      <x:c r="E601" s="58" t="n">
        <x:f>ROUND(E556-E557*(1-'Scenario Inputs'!$C$29),6)</x:f>
        <x:v>0</x:v>
      </x:c>
      <x:c r="F601" s="58" t="n">
        <x:f>ROUND(F556-F557*(1-'Scenario Inputs'!$C$29),6)</x:f>
        <x:v>0</x:v>
      </x:c>
      <x:c r="G601" s="58" t="n">
        <x:f>ROUND(G556-G557*(1-'Scenario Inputs'!$C$29),6)</x:f>
        <x:v>0</x:v>
      </x:c>
      <x:c r="H601" s="58" t="n">
        <x:f>ROUND(H556-H557*(1-'Scenario Inputs'!$C$29),6)</x:f>
        <x:v>0</x:v>
      </x:c>
      <x:c r="I601" s="58" t="n">
        <x:f>ROUND(I556-I557*(1-'Scenario Inputs'!$C$29),6)</x:f>
        <x:v>0</x:v>
      </x:c>
      <x:c r="J601" s="58" t="n">
        <x:f>ROUND(J556-J557*(1-'Scenario Inputs'!$C$29),6)</x:f>
        <x:v>0</x:v>
      </x:c>
      <x:c r="K601" s="58" t="n">
        <x:f>ROUND(K556-K557*(1-'Scenario Inputs'!$C$29),6)</x:f>
        <x:v>0</x:v>
      </x:c>
      <x:c r="L601" s="58" t="n">
        <x:f>ROUND(L556-L557*(1-'Scenario Inputs'!$C$29),6)</x:f>
        <x:v>0</x:v>
      </x:c>
      <x:c r="M601" s="58" t="n">
        <x:f>ROUND(M556-M557*(1-'Scenario Inputs'!$C$29),6)</x:f>
        <x:v>0</x:v>
      </x:c>
      <x:c r="N601" s="58" t="n">
        <x:f>ROUND(N556-N557*(1-'Scenario Inputs'!$C$29),6)</x:f>
        <x:v>0</x:v>
      </x:c>
      <x:c r="O601" s="58" t="n">
        <x:f>ROUND(O556-O557*(1-'Scenario Inputs'!$C$29),6)</x:f>
        <x:v>0</x:v>
      </x:c>
      <x:c r="P601" s="58" t="n">
        <x:f>ROUND(P556-P557*(1-'Scenario Inputs'!$C$29),6)</x:f>
        <x:v>0</x:v>
      </x:c>
      <x:c r="Q601" s="58" t="n">
        <x:f>ROUND(Q556-Q557*(1-'Scenario Inputs'!$C$29),6)</x:f>
        <x:v>0</x:v>
      </x:c>
      <x:c r="R601" s="58" t="n">
        <x:f>ROUND(R556-R557*(1-'Scenario Inputs'!$C$29),6)</x:f>
        <x:v>0</x:v>
      </x:c>
      <x:c r="S601" s="58" t="n">
        <x:f>ROUND(S556-S557*(1-'Scenario Inputs'!$C$29),6)</x:f>
        <x:v>0</x:v>
      </x:c>
      <x:c r="T601" s="58" t="n">
        <x:f>ROUND(T556-T557*(1-'Scenario Inputs'!$C$29),6)</x:f>
        <x:v>0</x:v>
      </x:c>
      <x:c r="U601" s="58" t="n">
        <x:f>ROUND(U556-U557*(1-'Scenario Inputs'!$C$29),6)</x:f>
        <x:v>0</x:v>
      </x:c>
      <x:c r="V601" s="58" t="n">
        <x:f>ROUND(V556-V557*(1-'Scenario Inputs'!$C$29),6)</x:f>
        <x:v>0</x:v>
      </x:c>
      <x:c r="W601" s="58" t="n">
        <x:f>ROUND(W556-W557*(1-'Scenario Inputs'!$C$29),6)</x:f>
        <x:v>0</x:v>
      </x:c>
      <x:c r="X601" s="58" t="n">
        <x:f>ROUND(X556-X557*(1-'Scenario Inputs'!$C$29),6)</x:f>
        <x:v>0</x:v>
      </x:c>
      <x:c r="Y601" s="58" t="n">
        <x:f>ROUND(Y556-Y557*(1-'Scenario Inputs'!$C$29),6)</x:f>
        <x:v>0</x:v>
      </x:c>
      <x:c r="Z601" s="58" t="n">
        <x:f>ROUND(Z556-Z557*(1-'Scenario Inputs'!$C$29),6)</x:f>
        <x:v>0</x:v>
      </x:c>
      <x:c r="AA601" s="58" t="n">
        <x:f>ROUND(AA556-AA557*(1-'Scenario Inputs'!$C$29),6)</x:f>
        <x:v>0</x:v>
      </x:c>
      <x:c r="AB601" s="58" t="n">
        <x:f>ROUND(AB556-AB557*(1-'Scenario Inputs'!$C$29),6)</x:f>
        <x:v>0</x:v>
      </x:c>
      <x:c r="AC601" s="58" t="n">
        <x:f>ROUND(AC556-AC557*(1-'Scenario Inputs'!$C$29),6)</x:f>
        <x:v>0</x:v>
      </x:c>
      <x:c r="AD601" s="58" t="n">
        <x:f>ROUND(AD556-AD557*(1-'Scenario Inputs'!$C$29),6)</x:f>
        <x:v>0</x:v>
      </x:c>
      <x:c r="AE601" s="58" t="n">
        <x:f>ROUND(AE556-AE557*(1-'Scenario Inputs'!$C$29),6)</x:f>
        <x:v>0</x:v>
      </x:c>
      <x:c r="AF601" s="58" t="n">
        <x:f>ROUND(AF556-AF557*(1-'Scenario Inputs'!$C$29),6)</x:f>
        <x:v>0</x:v>
      </x:c>
      <x:c r="AG601" s="58" t="n">
        <x:f>ROUND(AG556-AG557*(1-'Scenario Inputs'!$C$29),6)</x:f>
        <x:v>0</x:v>
      </x:c>
      <x:c r="AH601" s="58" t="n">
        <x:f>ROUND(AH556-AH557*(1-'Scenario Inputs'!$C$29),6)</x:f>
        <x:v>0</x:v>
      </x:c>
      <x:c r="AI601" s="58" t="n">
        <x:f>ROUND(AI556-AI557*(1-'Scenario Inputs'!$C$29),6)</x:f>
        <x:v>0</x:v>
      </x:c>
      <x:c r="AJ601" s="58" t="n">
        <x:f>ROUND(AJ556-AJ557*(1-'Scenario Inputs'!$C$29),6)</x:f>
        <x:v>0</x:v>
      </x:c>
      <x:c r="AK601" s="58" t="n">
        <x:f>ROUND(AK556-AK557*(1-'Scenario Inputs'!$C$29),6)</x:f>
        <x:v>0</x:v>
      </x:c>
    </x:row>
    <x:row r="602" ht="18" customHeight="1">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row>
    <x:row r="603" ht="18" customHeight="1">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row>
    <x:row r="604" ht="18" customHeight="1">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row>
    <x:row r="605" ht="18" customHeight="1">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row>
    <x:row r="606" ht="18" customHeight="1">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row>
    <x:row r="607" ht="18" customHeight="1">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row>
    <x:row r="608" ht="18" customHeight="1">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row>
    <x:row r="609" ht="18" customHeight="1">
      <x:c r="A609" s="4" t="str">
        <x:v>Blended annual price, ex-tax (INR)</x:v>
      </x:c>
      <x:c r="B609" s="56" t="n">
        <x:f>'Scenario Inputs'!$C$28*'Commercial Inputs'!$B$6/(1+'Commercial Inputs'!$B$10)+(1-'Scenario Inputs'!$C$28)*('Commercial Inputs'!$B$8*'Commercial Inputs'!$B$5)/(1+'Commercial Inputs'!$B$11)</x:f>
        <x:v>2837.087118644068</x:v>
      </x:c>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row>
    <x:row r="610" ht="18" customHeight="1">
      <x:c r="A610" s="4" t="str">
        <x:v>Blended monthly price, ex-tax (INR)</x:v>
      </x:c>
      <x:c r="B610" s="56" t="n">
        <x:f>'Scenario Inputs'!$C$28*'Commercial Inputs'!$B$7/(1+'Commercial Inputs'!$B$10)+(1-'Scenario Inputs'!$C$28)*('Commercial Inputs'!$B$9*'Commercial Inputs'!$B$5)/(1+'Commercial Inputs'!$B$11)</x:f>
        <x:v>407.86677966101695</x:v>
      </x:c>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row>
    <x:row r="611" ht="18" customHeight="1">
      <x:c r="A611" s="4" t="str">
        <x:v>Fee per annual charge (INR)</x:v>
      </x:c>
      <x:c r="B611" s="56" t="n">
        <x:f>'Scenario Inputs'!$C$28*('Commercial Inputs'!$B$12*'Commercial Inputs'!$B$6*'Commercial Inputs'!$B$14+(1-'Commercial Inputs'!$B$12)*'Commercial Inputs'!$B$6/(1+'Commercial Inputs'!$B$10)*'Commercial Inputs'!$B$13)+(1-'Scenario Inputs'!$C$28)*('Commercial Inputs'!$B$12*(('Commercial Inputs'!$B$8*'Commercial Inputs'!$B$5)*'Commercial Inputs'!$B$15+'Commercial Inputs'!$B$16*'Commercial Inputs'!$B$5)+(1-'Commercial Inputs'!$B$12)*('Commercial Inputs'!$B$8*'Commercial Inputs'!$B$5)/(1+'Commercial Inputs'!$B$11)*'Commercial Inputs'!$B$13)</x:f>
        <x:v>289.70331389830505</x:v>
      </x:c>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row>
    <x:row r="612" ht="18" customHeight="1">
      <x:c r="A612" s="4" t="str">
        <x:v>Fee per monthly charge (INR)</x:v>
      </x:c>
      <x:c r="B612" s="56" t="n">
        <x:f>'Scenario Inputs'!$C$28*('Commercial Inputs'!$B$12*'Commercial Inputs'!$B$7*'Commercial Inputs'!$B$14+(1-'Commercial Inputs'!$B$12)*'Commercial Inputs'!$B$7/(1+'Commercial Inputs'!$B$10)*'Commercial Inputs'!$B$13)+(1-'Scenario Inputs'!$C$28)*('Commercial Inputs'!$B$12*(('Commercial Inputs'!$B$9*'Commercial Inputs'!$B$5)*'Commercial Inputs'!$B$15+'Commercial Inputs'!$B$16*'Commercial Inputs'!$B$5)+(1-'Commercial Inputs'!$B$12)*('Commercial Inputs'!$B$9*'Commercial Inputs'!$B$5)/(1+'Commercial Inputs'!$B$11)*'Commercial Inputs'!$B$13)</x:f>
        <x:v>53.35178847457627</x:v>
      </x:c>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row>
    <x:row r="613" ht="18" customHeight="1">
      <x:c r="A613" s="4" t="str">
        <x:v>Billing reserve per annual charge (INR)</x:v>
      </x:c>
      <x:c r="B613" s="56" t="n">
        <x:f>('Scenario Inputs'!$C$28*'Commercial Inputs'!$B$6+(1-'Scenario Inputs'!$C$28)*('Commercial Inputs'!$B$8*'Commercial Inputs'!$B$5))*'Commercial Inputs'!$B$17</x:f>
        <x:v>29.5906</x:v>
      </x:c>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row>
    <x:row r="614" ht="18" customHeight="1">
      <x:c r="A614" s="4" t="str">
        <x:v>Billing reserve per monthly charge (INR)</x:v>
      </x:c>
      <x:c r="B614" s="56" t="n">
        <x:f>('Scenario Inputs'!$C$28*'Commercial Inputs'!$B$7+(1-'Scenario Inputs'!$C$28)*('Commercial Inputs'!$B$9*'Commercial Inputs'!$B$5))*'Commercial Inputs'!$B$17</x:f>
        <x:v>4.2306</x:v>
      </x:c>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row>
    <x:row r="615" ht="18" customHeight="1">
      <x:c r="A615" s="4" t="str">
        <x:v>Budgeted AI cost per job (INR)</x:v>
      </x:c>
      <x:c r="B615" s="56" t="n">
        <x:f>('Commercial Inputs'!$B$20*'Commercial Inputs'!$B$18+'Commercial Inputs'!$B$21*'Commercial Inputs'!$B$19)/'Commercial Inputs'!$B$47*'Commercial Inputs'!$B$22*'Commercial Inputs'!$B$5*(1+'Commercial Inputs'!$B$23)</x:f>
        <x:v>0.1287</x:v>
      </x:c>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row>
    <x:row r="616" ht="18" customHeight="1">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row>
    <x:row r="617" ht="18" customHeight="1">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row>
    <x:row r="618" ht="18" customHeight="1">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row>
    <x:row r="619" ht="18" customHeight="1">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row>
    <x:row r="620" ht="18" customHeight="1">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row>
    <x:row r="621" ht="18" customHeight="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row>
    <x:row r="622" ht="18" customHeight="1">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row>
    <x:row r="623" ht="18" customHeight="1">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row>
    <x:row r="624" ht="18" customHeight="1">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row>
    <x:row r="625" ht="18" customHeight="1">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row>
    <x:row r="626" ht="18" customHeight="1">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row>
    <x:row r="627" ht="18" customHeight="1">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row>
    <x:row r="628" ht="18" customHeight="1">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row>
    <x:row r="629" ht="18" customHeight="1">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row>
    <x:row r="630" ht="18" customHeight="1">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row>
    <x:row r="631" ht="29" customHeight="1">
      <x:c r="A631" s="50" t="str">
        <x:v>HIGHER STORE FEE | MONTHLY COHORT MODEL</x:v>
      </x:c>
      <x:c r="B631" s="50"/>
      <x:c r="C631" s="50"/>
      <x:c r="D631" s="50"/>
      <x:c r="E631" s="50"/>
      <x:c r="F631" s="50"/>
      <x:c r="G631" s="50"/>
      <x:c r="H631" s="50"/>
      <x:c r="I631" s="50"/>
      <x:c r="J631" s="50"/>
      <x:c r="K631" s="50"/>
      <x:c r="L631" s="50"/>
      <x:c r="M631" s="50"/>
      <x:c r="N631" s="50"/>
      <x:c r="O631" s="50"/>
      <x:c r="P631" s="50"/>
      <x:c r="Q631" s="50"/>
      <x:c r="R631" s="50"/>
      <x:c r="S631" s="50"/>
      <x:c r="T631" s="50"/>
      <x:c r="U631" s="50"/>
      <x:c r="V631" s="50"/>
      <x:c r="W631" s="50"/>
      <x:c r="X631" s="50"/>
      <x:c r="Y631" s="50"/>
      <x:c r="Z631" s="50"/>
      <x:c r="AA631" s="50"/>
      <x:c r="AB631" s="50"/>
      <x:c r="AC631" s="50"/>
      <x:c r="AD631" s="50"/>
      <x:c r="AE631" s="50"/>
      <x:c r="AF631" s="50"/>
      <x:c r="AG631" s="50"/>
      <x:c r="AH631" s="50"/>
      <x:c r="AI631" s="50"/>
      <x:c r="AJ631" s="50"/>
      <x:c r="AK631" s="50"/>
    </x:row>
    <x:row r="632" ht="24" customHeight="1">
      <x:c r="A632" s="11" t="str">
        <x:v>INR unless stated. Purchases occur at month start; annual revenue is earned over 12 months. No founder salary or income tax in the base case.</x:v>
      </x:c>
      <x:c r="B632" s="11"/>
      <x:c r="C632" s="11"/>
      <x:c r="D632" s="11"/>
      <x:c r="E632" s="11"/>
      <x:c r="F632" s="11"/>
      <x:c r="G632" s="11"/>
      <x:c r="H632" s="11"/>
      <x:c r="I632" s="11"/>
      <x:c r="J632" s="11"/>
      <x:c r="K632" s="11"/>
      <x:c r="L632" s="11"/>
      <x:c r="M632" s="11"/>
      <x:c r="N632" s="11"/>
      <x:c r="O632" s="11"/>
      <x:c r="P632" s="11"/>
      <x:c r="Q632" s="11"/>
      <x:c r="R632" s="11"/>
      <x:c r="S632" s="11"/>
      <x:c r="T632" s="11"/>
      <x:c r="U632" s="11"/>
      <x:c r="V632" s="11"/>
      <x:c r="W632" s="11"/>
      <x:c r="X632" s="11"/>
      <x:c r="Y632" s="11"/>
      <x:c r="Z632" s="11"/>
      <x:c r="AA632" s="11"/>
      <x:c r="AB632" s="11"/>
      <x:c r="AC632" s="11"/>
      <x:c r="AD632" s="11"/>
      <x:c r="AE632" s="11"/>
      <x:c r="AF632" s="11"/>
      <x:c r="AG632" s="11"/>
      <x:c r="AH632" s="11"/>
      <x:c r="AI632" s="11"/>
      <x:c r="AJ632" s="11"/>
      <x:c r="AK632" s="11"/>
    </x:row>
    <x:row r="633" ht="18" customHeight="1">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row>
    <x:row r="634" ht="18" customHeight="1">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row>
    <x:row r="635" ht="30" customHeight="1">
      <x:c r="A635" s="16" t="str">
        <x:v>Month after paid launch</x:v>
      </x:c>
      <x:c r="B635" s="16" t="n">
        <x:v>1</x:v>
      </x:c>
      <x:c r="C635" s="16" t="n">
        <x:v>2</x:v>
      </x:c>
      <x:c r="D635" s="16" t="n">
        <x:v>3</x:v>
      </x:c>
      <x:c r="E635" s="16" t="n">
        <x:v>4</x:v>
      </x:c>
      <x:c r="F635" s="16" t="n">
        <x:v>5</x:v>
      </x:c>
      <x:c r="G635" s="16" t="n">
        <x:v>6</x:v>
      </x:c>
      <x:c r="H635" s="16" t="n">
        <x:v>7</x:v>
      </x:c>
      <x:c r="I635" s="16" t="n">
        <x:v>8</x:v>
      </x:c>
      <x:c r="J635" s="16" t="n">
        <x:v>9</x:v>
      </x:c>
      <x:c r="K635" s="16" t="n">
        <x:v>10</x:v>
      </x:c>
      <x:c r="L635" s="16" t="n">
        <x:v>11</x:v>
      </x:c>
      <x:c r="M635" s="16" t="n">
        <x:v>12</x:v>
      </x:c>
      <x:c r="N635" s="16" t="n">
        <x:v>13</x:v>
      </x:c>
      <x:c r="O635" s="16" t="n">
        <x:v>14</x:v>
      </x:c>
      <x:c r="P635" s="16" t="n">
        <x:v>15</x:v>
      </x:c>
      <x:c r="Q635" s="16" t="n">
        <x:v>16</x:v>
      </x:c>
      <x:c r="R635" s="16" t="n">
        <x:v>17</x:v>
      </x:c>
      <x:c r="S635" s="16" t="n">
        <x:v>18</x:v>
      </x:c>
      <x:c r="T635" s="16" t="n">
        <x:v>19</x:v>
      </x:c>
      <x:c r="U635" s="16" t="n">
        <x:v>20</x:v>
      </x:c>
      <x:c r="V635" s="16" t="n">
        <x:v>21</x:v>
      </x:c>
      <x:c r="W635" s="16" t="n">
        <x:v>22</x:v>
      </x:c>
      <x:c r="X635" s="16" t="n">
        <x:v>23</x:v>
      </x:c>
      <x:c r="Y635" s="16" t="n">
        <x:v>24</x:v>
      </x:c>
      <x:c r="Z635" s="16" t="n">
        <x:v>25</x:v>
      </x:c>
      <x:c r="AA635" s="16" t="n">
        <x:v>26</x:v>
      </x:c>
      <x:c r="AB635" s="16" t="n">
        <x:v>27</x:v>
      </x:c>
      <x:c r="AC635" s="16" t="n">
        <x:v>28</x:v>
      </x:c>
      <x:c r="AD635" s="16" t="n">
        <x:v>29</x:v>
      </x:c>
      <x:c r="AE635" s="16" t="n">
        <x:v>30</x:v>
      </x:c>
      <x:c r="AF635" s="16" t="n">
        <x:v>31</x:v>
      </x:c>
      <x:c r="AG635" s="16" t="n">
        <x:v>32</x:v>
      </x:c>
      <x:c r="AH635" s="16" t="n">
        <x:v>33</x:v>
      </x:c>
      <x:c r="AI635" s="16" t="n">
        <x:v>34</x:v>
      </x:c>
      <x:c r="AJ635" s="16" t="n">
        <x:v>35</x:v>
      </x:c>
      <x:c r="AK635" s="16" t="n">
        <x:v>36</x:v>
      </x:c>
    </x:row>
    <x:row r="636" ht="18" customHeight="1">
      <x:c r="A636" s="4" t="str">
        <x:v>Qualified organic prospects</x:v>
      </x:c>
      <x:c r="B636" s="58" t="n">
        <x:f>'Scenario Inputs'!$C$5</x:f>
        <x:v>1000</x:v>
      </x:c>
      <x:c r="C636" s="58" t="n">
        <x:f>B636*(1+'Scenario Inputs'!$C$6)</x:f>
        <x:v>1120</x:v>
      </x:c>
      <x:c r="D636" s="58" t="n">
        <x:f>C636*(1+'Scenario Inputs'!$C$6)</x:f>
        <x:v>1254.4</x:v>
      </x:c>
      <x:c r="E636" s="58" t="n">
        <x:f>D636*(1+'Scenario Inputs'!$C$6)</x:f>
        <x:v>1404.9280000000003</x:v>
      </x:c>
      <x:c r="F636" s="58" t="n">
        <x:f>E636*(1+'Scenario Inputs'!$C$6)</x:f>
        <x:v>1573.5193600000005</x:v>
      </x:c>
      <x:c r="G636" s="58" t="n">
        <x:f>F636*(1+'Scenario Inputs'!$C$6)</x:f>
        <x:v>1762.3416832000007</x:v>
      </x:c>
      <x:c r="H636" s="58" t="n">
        <x:f>G636*(1+'Scenario Inputs'!$C$6)</x:f>
        <x:v>1973.822685184001</x:v>
      </x:c>
      <x:c r="I636" s="58" t="n">
        <x:f>H636*(1+'Scenario Inputs'!$C$6)</x:f>
        <x:v>2210.6814074060812</x:v>
      </x:c>
      <x:c r="J636" s="58" t="n">
        <x:f>I636*(1+'Scenario Inputs'!$C$6)</x:f>
        <x:v>2475.963176294811</x:v>
      </x:c>
      <x:c r="K636" s="58" t="n">
        <x:f>J636*(1+'Scenario Inputs'!$C$6)</x:f>
        <x:v>2773.0787574501887</x:v>
      </x:c>
      <x:c r="L636" s="58" t="n">
        <x:f>K636*(1+'Scenario Inputs'!$C$6)</x:f>
        <x:v>3105.848208344212</x:v>
      </x:c>
      <x:c r="M636" s="58" t="n">
        <x:f>L636*(1+'Scenario Inputs'!$C$6)</x:f>
        <x:v>3478.5499933455176</x:v>
      </x:c>
      <x:c r="N636" s="58" t="n">
        <x:f>M636*(1+'Scenario Inputs'!$C$7)</x:f>
        <x:v>3756.833992813159</x:v>
      </x:c>
      <x:c r="O636" s="58" t="n">
        <x:f>N636*(1+'Scenario Inputs'!$C$7)</x:f>
        <x:v>4057.3807122382123</x:v>
      </x:c>
      <x:c r="P636" s="58" t="n">
        <x:f>O636*(1+'Scenario Inputs'!$C$7)</x:f>
        <x:v>4381.97116921727</x:v>
      </x:c>
      <x:c r="Q636" s="58" t="n">
        <x:f>P636*(1+'Scenario Inputs'!$C$7)</x:f>
        <x:v>4732.5288627546515</x:v>
      </x:c>
      <x:c r="R636" s="58" t="n">
        <x:f>Q636*(1+'Scenario Inputs'!$C$7)</x:f>
        <x:v>5111.131171775024</x:v>
      </x:c>
      <x:c r="S636" s="58" t="n">
        <x:f>R636*(1+'Scenario Inputs'!$C$7)</x:f>
        <x:v>5520.021665517026</x:v>
      </x:c>
      <x:c r="T636" s="58" t="n">
        <x:f>S636*(1+'Scenario Inputs'!$C$7)</x:f>
        <x:v>5961.623398758388</x:v>
      </x:c>
      <x:c r="U636" s="58" t="n">
        <x:f>T636*(1+'Scenario Inputs'!$C$7)</x:f>
        <x:v>6438.553270659059</x:v>
      </x:c>
      <x:c r="V636" s="58" t="n">
        <x:f>U636*(1+'Scenario Inputs'!$C$7)</x:f>
        <x:v>6953.6375323117845</x:v>
      </x:c>
      <x:c r="W636" s="58" t="n">
        <x:f>V636*(1+'Scenario Inputs'!$C$7)</x:f>
        <x:v>7509.928534896728</x:v>
      </x:c>
      <x:c r="X636" s="58" t="n">
        <x:f>W636*(1+'Scenario Inputs'!$C$7)</x:f>
        <x:v>8110.722817688466</x:v>
      </x:c>
      <x:c r="Y636" s="58" t="n">
        <x:f>X636*(1+'Scenario Inputs'!$C$7)</x:f>
        <x:v>8759.580643103543</x:v>
      </x:c>
      <x:c r="Z636" s="58" t="n">
        <x:f>Y636*(1+'Scenario Inputs'!$C$8)</x:f>
        <x:v>9285.155481689757</x:v>
      </x:c>
      <x:c r="AA636" s="58" t="n">
        <x:f>Z636*(1+'Scenario Inputs'!$C$8)</x:f>
        <x:v>9842.264810591143</x:v>
      </x:c>
      <x:c r="AB636" s="58" t="n">
        <x:f>AA636*(1+'Scenario Inputs'!$C$8)</x:f>
        <x:v>10432.800699226613</x:v>
      </x:c>
      <x:c r="AC636" s="58" t="n">
        <x:f>AB636*(1+'Scenario Inputs'!$C$8)</x:f>
        <x:v>11058.76874118021</x:v>
      </x:c>
      <x:c r="AD636" s="58" t="n">
        <x:f>AC636*(1+'Scenario Inputs'!$C$8)</x:f>
        <x:v>11722.294865651023</x:v>
      </x:c>
      <x:c r="AE636" s="58" t="n">
        <x:f>AD636*(1+'Scenario Inputs'!$C$8)</x:f>
        <x:v>12425.632557590085</x:v>
      </x:c>
      <x:c r="AF636" s="58" t="n">
        <x:f>AE636*(1+'Scenario Inputs'!$C$8)</x:f>
        <x:v>13171.17051104549</x:v>
      </x:c>
      <x:c r="AG636" s="58" t="n">
        <x:f>AF636*(1+'Scenario Inputs'!$C$8)</x:f>
        <x:v>13961.44074170822</x:v>
      </x:c>
      <x:c r="AH636" s="58" t="n">
        <x:f>AG636*(1+'Scenario Inputs'!$C$8)</x:f>
        <x:v>14799.127186210715</x:v>
      </x:c>
      <x:c r="AI636" s="58" t="n">
        <x:f>AH636*(1+'Scenario Inputs'!$C$8)</x:f>
        <x:v>15687.074817383358</x:v>
      </x:c>
      <x:c r="AJ636" s="58" t="n">
        <x:f>AI636*(1+'Scenario Inputs'!$C$8)</x:f>
        <x:v>16628.29930642636</x:v>
      </x:c>
      <x:c r="AK636" s="58" t="n">
        <x:f>AJ636*(1+'Scenario Inputs'!$C$8)</x:f>
        <x:v>17625.997264811944</x:v>
      </x:c>
    </x:row>
    <x:row r="637" ht="18" customHeight="1">
      <x:c r="A637" s="4" t="str">
        <x:v>Paid media spend (INR)</x:v>
      </x:c>
      <x:c r="B637" s="60" t="n">
        <x:f>'Scenario Inputs'!$C$14</x:f>
        <x:v>6000</x:v>
      </x:c>
      <x:c r="C637" s="60" t="n">
        <x:f>'Scenario Inputs'!$C$14</x:f>
        <x:v>6000</x:v>
      </x:c>
      <x:c r="D637" s="60" t="n">
        <x:f>'Scenario Inputs'!$C$14</x:f>
        <x:v>6000</x:v>
      </x:c>
      <x:c r="E637" s="60" t="n">
        <x:f>'Scenario Inputs'!$C$15</x:f>
        <x:v>12000</x:v>
      </x:c>
      <x:c r="F637" s="60" t="n">
        <x:f>'Scenario Inputs'!$C$15</x:f>
        <x:v>12000</x:v>
      </x:c>
      <x:c r="G637" s="60" t="n">
        <x:f>'Scenario Inputs'!$C$15</x:f>
        <x:v>12000</x:v>
      </x:c>
      <x:c r="H637" s="60" t="n">
        <x:f>'Scenario Inputs'!$C$16</x:f>
        <x:v>25000</x:v>
      </x:c>
      <x:c r="I637" s="60" t="n">
        <x:f>'Scenario Inputs'!$C$16</x:f>
        <x:v>25000</x:v>
      </x:c>
      <x:c r="J637" s="60" t="n">
        <x:f>'Scenario Inputs'!$C$16</x:f>
        <x:v>25000</x:v>
      </x:c>
      <x:c r="K637" s="60" t="n">
        <x:f>'Scenario Inputs'!$C$16</x:f>
        <x:v>25000</x:v>
      </x:c>
      <x:c r="L637" s="60" t="n">
        <x:f>'Scenario Inputs'!$C$16</x:f>
        <x:v>25000</x:v>
      </x:c>
      <x:c r="M637" s="60" t="n">
        <x:f>'Scenario Inputs'!$C$16</x:f>
        <x:v>25000</x:v>
      </x:c>
      <x:c r="N637" s="60" t="n">
        <x:f>'Scenario Inputs'!$C$17</x:f>
        <x:v>50000</x:v>
      </x:c>
      <x:c r="O637" s="60" t="n">
        <x:f>'Scenario Inputs'!$C$17</x:f>
        <x:v>50000</x:v>
      </x:c>
      <x:c r="P637" s="60" t="n">
        <x:f>'Scenario Inputs'!$C$17</x:f>
        <x:v>50000</x:v>
      </x:c>
      <x:c r="Q637" s="60" t="n">
        <x:f>'Scenario Inputs'!$C$17</x:f>
        <x:v>50000</x:v>
      </x:c>
      <x:c r="R637" s="60" t="n">
        <x:f>'Scenario Inputs'!$C$17</x:f>
        <x:v>50000</x:v>
      </x:c>
      <x:c r="S637" s="60" t="n">
        <x:f>'Scenario Inputs'!$C$17</x:f>
        <x:v>50000</x:v>
      </x:c>
      <x:c r="T637" s="60" t="n">
        <x:f>'Scenario Inputs'!$C$18</x:f>
        <x:v>75000</x:v>
      </x:c>
      <x:c r="U637" s="60" t="n">
        <x:f>'Scenario Inputs'!$C$18</x:f>
        <x:v>75000</x:v>
      </x:c>
      <x:c r="V637" s="60" t="n">
        <x:f>'Scenario Inputs'!$C$18</x:f>
        <x:v>75000</x:v>
      </x:c>
      <x:c r="W637" s="60" t="n">
        <x:f>'Scenario Inputs'!$C$18</x:f>
        <x:v>75000</x:v>
      </x:c>
      <x:c r="X637" s="60" t="n">
        <x:f>'Scenario Inputs'!$C$18</x:f>
        <x:v>75000</x:v>
      </x:c>
      <x:c r="Y637" s="60" t="n">
        <x:f>'Scenario Inputs'!$C$18</x:f>
        <x:v>75000</x:v>
      </x:c>
      <x:c r="Z637" s="60" t="n">
        <x:f>'Scenario Inputs'!$C$19</x:f>
        <x:v>100000</x:v>
      </x:c>
      <x:c r="AA637" s="60" t="n">
        <x:f>'Scenario Inputs'!$C$19</x:f>
        <x:v>100000</x:v>
      </x:c>
      <x:c r="AB637" s="60" t="n">
        <x:f>'Scenario Inputs'!$C$19</x:f>
        <x:v>100000</x:v>
      </x:c>
      <x:c r="AC637" s="60" t="n">
        <x:f>'Scenario Inputs'!$C$19</x:f>
        <x:v>100000</x:v>
      </x:c>
      <x:c r="AD637" s="60" t="n">
        <x:f>'Scenario Inputs'!$C$19</x:f>
        <x:v>100000</x:v>
      </x:c>
      <x:c r="AE637" s="60" t="n">
        <x:f>'Scenario Inputs'!$C$19</x:f>
        <x:v>100000</x:v>
      </x:c>
      <x:c r="AF637" s="60" t="n">
        <x:f>'Scenario Inputs'!$C$20</x:f>
        <x:v>125000</x:v>
      </x:c>
      <x:c r="AG637" s="60" t="n">
        <x:f>'Scenario Inputs'!$C$20</x:f>
        <x:v>125000</x:v>
      </x:c>
      <x:c r="AH637" s="60" t="n">
        <x:f>'Scenario Inputs'!$C$20</x:f>
        <x:v>125000</x:v>
      </x:c>
      <x:c r="AI637" s="60" t="n">
        <x:f>'Scenario Inputs'!$C$20</x:f>
        <x:v>125000</x:v>
      </x:c>
      <x:c r="AJ637" s="60" t="n">
        <x:f>'Scenario Inputs'!$C$20</x:f>
        <x:v>125000</x:v>
      </x:c>
      <x:c r="AK637" s="60" t="n">
        <x:f>'Scenario Inputs'!$C$20</x:f>
        <x:v>125000</x:v>
      </x:c>
    </x:row>
    <x:row r="638" ht="18" customHeight="1">
      <x:c r="A638" s="4" t="str">
        <x:v>Paid CPC (INR)</x:v>
      </x:c>
      <x:c r="B638" s="64" t="n">
        <x:f>'Scenario Inputs'!$C$10*(1+'Scenario Inputs'!$C$11)^0</x:f>
        <x:v>15</x:v>
      </x:c>
      <x:c r="C638" s="64" t="n">
        <x:f>'Scenario Inputs'!$C$10*(1+'Scenario Inputs'!$C$11)^0</x:f>
        <x:v>15</x:v>
      </x:c>
      <x:c r="D638" s="64" t="n">
        <x:f>'Scenario Inputs'!$C$10*(1+'Scenario Inputs'!$C$11)^0</x:f>
        <x:v>15</x:v>
      </x:c>
      <x:c r="E638" s="64" t="n">
        <x:f>'Scenario Inputs'!$C$10*(1+'Scenario Inputs'!$C$11)^0</x:f>
        <x:v>15</x:v>
      </x:c>
      <x:c r="F638" s="64" t="n">
        <x:f>'Scenario Inputs'!$C$10*(1+'Scenario Inputs'!$C$11)^0</x:f>
        <x:v>15</x:v>
      </x:c>
      <x:c r="G638" s="64" t="n">
        <x:f>'Scenario Inputs'!$C$10*(1+'Scenario Inputs'!$C$11)^0</x:f>
        <x:v>15</x:v>
      </x:c>
      <x:c r="H638" s="64" t="n">
        <x:f>'Scenario Inputs'!$C$10*(1+'Scenario Inputs'!$C$11)^0</x:f>
        <x:v>15</x:v>
      </x:c>
      <x:c r="I638" s="64" t="n">
        <x:f>'Scenario Inputs'!$C$10*(1+'Scenario Inputs'!$C$11)^0</x:f>
        <x:v>15</x:v>
      </x:c>
      <x:c r="J638" s="64" t="n">
        <x:f>'Scenario Inputs'!$C$10*(1+'Scenario Inputs'!$C$11)^0</x:f>
        <x:v>15</x:v>
      </x:c>
      <x:c r="K638" s="64" t="n">
        <x:f>'Scenario Inputs'!$C$10*(1+'Scenario Inputs'!$C$11)^0</x:f>
        <x:v>15</x:v>
      </x:c>
      <x:c r="L638" s="64" t="n">
        <x:f>'Scenario Inputs'!$C$10*(1+'Scenario Inputs'!$C$11)^0</x:f>
        <x:v>15</x:v>
      </x:c>
      <x:c r="M638" s="64" t="n">
        <x:f>'Scenario Inputs'!$C$10*(1+'Scenario Inputs'!$C$11)^0</x:f>
        <x:v>15</x:v>
      </x:c>
      <x:c r="N638" s="64" t="n">
        <x:f>'Scenario Inputs'!$C$10*(1+'Scenario Inputs'!$C$11)^1</x:f>
        <x:v>16.5</x:v>
      </x:c>
      <x:c r="O638" s="64" t="n">
        <x:f>'Scenario Inputs'!$C$10*(1+'Scenario Inputs'!$C$11)^1</x:f>
        <x:v>16.5</x:v>
      </x:c>
      <x:c r="P638" s="64" t="n">
        <x:f>'Scenario Inputs'!$C$10*(1+'Scenario Inputs'!$C$11)^1</x:f>
        <x:v>16.5</x:v>
      </x:c>
      <x:c r="Q638" s="64" t="n">
        <x:f>'Scenario Inputs'!$C$10*(1+'Scenario Inputs'!$C$11)^1</x:f>
        <x:v>16.5</x:v>
      </x:c>
      <x:c r="R638" s="64" t="n">
        <x:f>'Scenario Inputs'!$C$10*(1+'Scenario Inputs'!$C$11)^1</x:f>
        <x:v>16.5</x:v>
      </x:c>
      <x:c r="S638" s="64" t="n">
        <x:f>'Scenario Inputs'!$C$10*(1+'Scenario Inputs'!$C$11)^1</x:f>
        <x:v>16.5</x:v>
      </x:c>
      <x:c r="T638" s="64" t="n">
        <x:f>'Scenario Inputs'!$C$10*(1+'Scenario Inputs'!$C$11)^1</x:f>
        <x:v>16.5</x:v>
      </x:c>
      <x:c r="U638" s="64" t="n">
        <x:f>'Scenario Inputs'!$C$10*(1+'Scenario Inputs'!$C$11)^1</x:f>
        <x:v>16.5</x:v>
      </x:c>
      <x:c r="V638" s="64" t="n">
        <x:f>'Scenario Inputs'!$C$10*(1+'Scenario Inputs'!$C$11)^1</x:f>
        <x:v>16.5</x:v>
      </x:c>
      <x:c r="W638" s="64" t="n">
        <x:f>'Scenario Inputs'!$C$10*(1+'Scenario Inputs'!$C$11)^1</x:f>
        <x:v>16.5</x:v>
      </x:c>
      <x:c r="X638" s="64" t="n">
        <x:f>'Scenario Inputs'!$C$10*(1+'Scenario Inputs'!$C$11)^1</x:f>
        <x:v>16.5</x:v>
      </x:c>
      <x:c r="Y638" s="64" t="n">
        <x:f>'Scenario Inputs'!$C$10*(1+'Scenario Inputs'!$C$11)^1</x:f>
        <x:v>16.5</x:v>
      </x:c>
      <x:c r="Z638" s="64" t="n">
        <x:f>'Scenario Inputs'!$C$10*(1+'Scenario Inputs'!$C$11)^2</x:f>
        <x:v>18.150000000000002</x:v>
      </x:c>
      <x:c r="AA638" s="64" t="n">
        <x:f>'Scenario Inputs'!$C$10*(1+'Scenario Inputs'!$C$11)^2</x:f>
        <x:v>18.150000000000002</x:v>
      </x:c>
      <x:c r="AB638" s="64" t="n">
        <x:f>'Scenario Inputs'!$C$10*(1+'Scenario Inputs'!$C$11)^2</x:f>
        <x:v>18.150000000000002</x:v>
      </x:c>
      <x:c r="AC638" s="64" t="n">
        <x:f>'Scenario Inputs'!$C$10*(1+'Scenario Inputs'!$C$11)^2</x:f>
        <x:v>18.150000000000002</x:v>
      </x:c>
      <x:c r="AD638" s="64" t="n">
        <x:f>'Scenario Inputs'!$C$10*(1+'Scenario Inputs'!$C$11)^2</x:f>
        <x:v>18.150000000000002</x:v>
      </x:c>
      <x:c r="AE638" s="64" t="n">
        <x:f>'Scenario Inputs'!$C$10*(1+'Scenario Inputs'!$C$11)^2</x:f>
        <x:v>18.150000000000002</x:v>
      </x:c>
      <x:c r="AF638" s="64" t="n">
        <x:f>'Scenario Inputs'!$C$10*(1+'Scenario Inputs'!$C$11)^2</x:f>
        <x:v>18.150000000000002</x:v>
      </x:c>
      <x:c r="AG638" s="64" t="n">
        <x:f>'Scenario Inputs'!$C$10*(1+'Scenario Inputs'!$C$11)^2</x:f>
        <x:v>18.150000000000002</x:v>
      </x:c>
      <x:c r="AH638" s="64" t="n">
        <x:f>'Scenario Inputs'!$C$10*(1+'Scenario Inputs'!$C$11)^2</x:f>
        <x:v>18.150000000000002</x:v>
      </x:c>
      <x:c r="AI638" s="64" t="n">
        <x:f>'Scenario Inputs'!$C$10*(1+'Scenario Inputs'!$C$11)^2</x:f>
        <x:v>18.150000000000002</x:v>
      </x:c>
      <x:c r="AJ638" s="64" t="n">
        <x:f>'Scenario Inputs'!$C$10*(1+'Scenario Inputs'!$C$11)^2</x:f>
        <x:v>18.150000000000002</x:v>
      </x:c>
      <x:c r="AK638" s="64" t="n">
        <x:f>'Scenario Inputs'!$C$10*(1+'Scenario Inputs'!$C$11)^2</x:f>
        <x:v>18.150000000000002</x:v>
      </x:c>
    </x:row>
    <x:row r="639" ht="18" customHeight="1">
      <x:c r="A639" s="4" t="str">
        <x:v>Paid clicks / prospect equivalents</x:v>
      </x:c>
      <x:c r="B639" s="58" t="n">
        <x:f>B637/B638</x:f>
        <x:v>400</x:v>
      </x:c>
      <x:c r="C639" s="58" t="n">
        <x:f>C637/C638</x:f>
        <x:v>400</x:v>
      </x:c>
      <x:c r="D639" s="58" t="n">
        <x:f>D637/D638</x:f>
        <x:v>400</x:v>
      </x:c>
      <x:c r="E639" s="58" t="n">
        <x:f>E637/E638</x:f>
        <x:v>800</x:v>
      </x:c>
      <x:c r="F639" s="58" t="n">
        <x:f>F637/F638</x:f>
        <x:v>800</x:v>
      </x:c>
      <x:c r="G639" s="58" t="n">
        <x:f>G637/G638</x:f>
        <x:v>800</x:v>
      </x:c>
      <x:c r="H639" s="58" t="n">
        <x:f>H637/H638</x:f>
        <x:v>1666.6666666666667</x:v>
      </x:c>
      <x:c r="I639" s="58" t="n">
        <x:f>I637/I638</x:f>
        <x:v>1666.6666666666667</x:v>
      </x:c>
      <x:c r="J639" s="58" t="n">
        <x:f>J637/J638</x:f>
        <x:v>1666.6666666666667</x:v>
      </x:c>
      <x:c r="K639" s="58" t="n">
        <x:f>K637/K638</x:f>
        <x:v>1666.6666666666667</x:v>
      </x:c>
      <x:c r="L639" s="58" t="n">
        <x:f>L637/L638</x:f>
        <x:v>1666.6666666666667</x:v>
      </x:c>
      <x:c r="M639" s="58" t="n">
        <x:f>M637/M638</x:f>
        <x:v>1666.6666666666667</x:v>
      </x:c>
      <x:c r="N639" s="58" t="n">
        <x:f>N637/N638</x:f>
        <x:v>3030.3030303030305</x:v>
      </x:c>
      <x:c r="O639" s="58" t="n">
        <x:f>O637/O638</x:f>
        <x:v>3030.3030303030305</x:v>
      </x:c>
      <x:c r="P639" s="58" t="n">
        <x:f>P637/P638</x:f>
        <x:v>3030.3030303030305</x:v>
      </x:c>
      <x:c r="Q639" s="58" t="n">
        <x:f>Q637/Q638</x:f>
        <x:v>3030.3030303030305</x:v>
      </x:c>
      <x:c r="R639" s="58" t="n">
        <x:f>R637/R638</x:f>
        <x:v>3030.3030303030305</x:v>
      </x:c>
      <x:c r="S639" s="58" t="n">
        <x:f>S637/S638</x:f>
        <x:v>3030.3030303030305</x:v>
      </x:c>
      <x:c r="T639" s="58" t="n">
        <x:f>T637/T638</x:f>
        <x:v>4545.454545454545</x:v>
      </x:c>
      <x:c r="U639" s="58" t="n">
        <x:f>U637/U638</x:f>
        <x:v>4545.454545454545</x:v>
      </x:c>
      <x:c r="V639" s="58" t="n">
        <x:f>V637/V638</x:f>
        <x:v>4545.454545454545</x:v>
      </x:c>
      <x:c r="W639" s="58" t="n">
        <x:f>W637/W638</x:f>
        <x:v>4545.454545454545</x:v>
      </x:c>
      <x:c r="X639" s="58" t="n">
        <x:f>X637/X638</x:f>
        <x:v>4545.454545454545</x:v>
      </x:c>
      <x:c r="Y639" s="58" t="n">
        <x:f>Y637/Y638</x:f>
        <x:v>4545.454545454545</x:v>
      </x:c>
      <x:c r="Z639" s="58" t="n">
        <x:f>Z637/Z638</x:f>
        <x:v>5509.641873278236</x:v>
      </x:c>
      <x:c r="AA639" s="58" t="n">
        <x:f>AA637/AA638</x:f>
        <x:v>5509.641873278236</x:v>
      </x:c>
      <x:c r="AB639" s="58" t="n">
        <x:f>AB637/AB638</x:f>
        <x:v>5509.641873278236</x:v>
      </x:c>
      <x:c r="AC639" s="58" t="n">
        <x:f>AC637/AC638</x:f>
        <x:v>5509.641873278236</x:v>
      </x:c>
      <x:c r="AD639" s="58" t="n">
        <x:f>AD637/AD638</x:f>
        <x:v>5509.641873278236</x:v>
      </x:c>
      <x:c r="AE639" s="58" t="n">
        <x:f>AE637/AE638</x:f>
        <x:v>5509.641873278236</x:v>
      </x:c>
      <x:c r="AF639" s="58" t="n">
        <x:f>AF637/AF638</x:f>
        <x:v>6887.052341597795</x:v>
      </x:c>
      <x:c r="AG639" s="58" t="n">
        <x:f>AG637/AG638</x:f>
        <x:v>6887.052341597795</x:v>
      </x:c>
      <x:c r="AH639" s="58" t="n">
        <x:f>AH637/AH638</x:f>
        <x:v>6887.052341597795</x:v>
      </x:c>
      <x:c r="AI639" s="58" t="n">
        <x:f>AI637/AI638</x:f>
        <x:v>6887.052341597795</x:v>
      </x:c>
      <x:c r="AJ639" s="58" t="n">
        <x:f>AJ637/AJ638</x:f>
        <x:v>6887.052341597795</x:v>
      </x:c>
      <x:c r="AK639" s="58" t="n">
        <x:f>AK637/AK638</x:f>
        <x:v>6887.052341597795</x:v>
      </x:c>
    </x:row>
    <x:row r="640" ht="18" customHeight="1">
      <x:c r="A640" s="4" t="str">
        <x:v>New gross buyers: organic</x:v>
      </x:c>
      <x:c r="B640" s="58" t="n">
        <x:f>B636*'Scenario Inputs'!$C$9</x:f>
        <x:v>15</x:v>
      </x:c>
      <x:c r="C640" s="58" t="n">
        <x:f>C636*'Scenario Inputs'!$C$9</x:f>
        <x:v>16.8</x:v>
      </x:c>
      <x:c r="D640" s="58" t="n">
        <x:f>D636*'Scenario Inputs'!$C$9</x:f>
        <x:v>18.816</x:v>
      </x:c>
      <x:c r="E640" s="58" t="n">
        <x:f>E636*'Scenario Inputs'!$C$9</x:f>
        <x:v>21.073920000000005</x:v>
      </x:c>
      <x:c r="F640" s="58" t="n">
        <x:f>F636*'Scenario Inputs'!$C$9</x:f>
        <x:v>23.602790400000007</x:v>
      </x:c>
      <x:c r="G640" s="58" t="n">
        <x:f>G636*'Scenario Inputs'!$C$9</x:f>
        <x:v>26.43512524800001</x:v>
      </x:c>
      <x:c r="H640" s="58" t="n">
        <x:f>H636*'Scenario Inputs'!$C$9</x:f>
        <x:v>29.607340277760017</x:v>
      </x:c>
      <x:c r="I640" s="58" t="n">
        <x:f>I636*'Scenario Inputs'!$C$9</x:f>
        <x:v>33.16022111109122</x:v>
      </x:c>
      <x:c r="J640" s="58" t="n">
        <x:f>J636*'Scenario Inputs'!$C$9</x:f>
        <x:v>37.13944764442216</x:v>
      </x:c>
      <x:c r="K640" s="58" t="n">
        <x:f>K636*'Scenario Inputs'!$C$9</x:f>
        <x:v>41.596181361752826</x:v>
      </x:c>
      <x:c r="L640" s="58" t="n">
        <x:f>L636*'Scenario Inputs'!$C$9</x:f>
        <x:v>46.58772312516317</x:v>
      </x:c>
      <x:c r="M640" s="58" t="n">
        <x:f>M636*'Scenario Inputs'!$C$9</x:f>
        <x:v>52.17824990018276</x:v>
      </x:c>
      <x:c r="N640" s="58" t="n">
        <x:f>N636*'Scenario Inputs'!$C$9</x:f>
        <x:v>56.35250989219738</x:v>
      </x:c>
      <x:c r="O640" s="58" t="n">
        <x:f>O636*'Scenario Inputs'!$C$9</x:f>
        <x:v>60.86071068357318</x:v>
      </x:c>
      <x:c r="P640" s="58" t="n">
        <x:f>P636*'Scenario Inputs'!$C$9</x:f>
        <x:v>65.72956753825905</x:v>
      </x:c>
      <x:c r="Q640" s="58" t="n">
        <x:f>Q636*'Scenario Inputs'!$C$9</x:f>
        <x:v>70.98793294131977</x:v>
      </x:c>
      <x:c r="R640" s="58" t="n">
        <x:f>R636*'Scenario Inputs'!$C$9</x:f>
        <x:v>76.66696757662535</x:v>
      </x:c>
      <x:c r="S640" s="58" t="n">
        <x:f>S636*'Scenario Inputs'!$C$9</x:f>
        <x:v>82.80032498275538</x:v>
      </x:c>
      <x:c r="T640" s="58" t="n">
        <x:f>T636*'Scenario Inputs'!$C$9</x:f>
        <x:v>89.42435098137582</x:v>
      </x:c>
      <x:c r="U640" s="58" t="n">
        <x:f>U636*'Scenario Inputs'!$C$9</x:f>
        <x:v>96.5782990598859</x:v>
      </x:c>
      <x:c r="V640" s="58" t="n">
        <x:f>V636*'Scenario Inputs'!$C$9</x:f>
        <x:v>104.30456298467676</x:v>
      </x:c>
      <x:c r="W640" s="58" t="n">
        <x:f>W636*'Scenario Inputs'!$C$9</x:f>
        <x:v>112.6489280234509</x:v>
      </x:c>
      <x:c r="X640" s="58" t="n">
        <x:f>X636*'Scenario Inputs'!$C$9</x:f>
        <x:v>121.66084226532699</x:v>
      </x:c>
      <x:c r="Y640" s="58" t="n">
        <x:f>Y636*'Scenario Inputs'!$C$9</x:f>
        <x:v>131.39370964655313</x:v>
      </x:c>
      <x:c r="Z640" s="58" t="n">
        <x:f>Z636*'Scenario Inputs'!$C$9</x:f>
        <x:v>139.27733222534636</x:v>
      </x:c>
      <x:c r="AA640" s="58" t="n">
        <x:f>AA636*'Scenario Inputs'!$C$9</x:f>
        <x:v>147.63397215886715</x:v>
      </x:c>
      <x:c r="AB640" s="58" t="n">
        <x:f>AB636*'Scenario Inputs'!$C$9</x:f>
        <x:v>156.4920104883992</x:v>
      </x:c>
      <x:c r="AC640" s="58" t="n">
        <x:f>AC636*'Scenario Inputs'!$C$9</x:f>
        <x:v>165.88153111770316</x:v>
      </x:c>
      <x:c r="AD640" s="58" t="n">
        <x:f>AD636*'Scenario Inputs'!$C$9</x:f>
        <x:v>175.83442298476535</x:v>
      </x:c>
      <x:c r="AE640" s="58" t="n">
        <x:f>AE636*'Scenario Inputs'!$C$9</x:f>
        <x:v>186.38448836385126</x:v>
      </x:c>
      <x:c r="AF640" s="58" t="n">
        <x:f>AF636*'Scenario Inputs'!$C$9</x:f>
        <x:v>197.56755766568233</x:v>
      </x:c>
      <x:c r="AG640" s="58" t="n">
        <x:f>AG636*'Scenario Inputs'!$C$9</x:f>
        <x:v>209.4216111256233</x:v>
      </x:c>
      <x:c r="AH640" s="58" t="n">
        <x:f>AH636*'Scenario Inputs'!$C$9</x:f>
        <x:v>221.98690779316073</x:v>
      </x:c>
      <x:c r="AI640" s="58" t="n">
        <x:f>AI636*'Scenario Inputs'!$C$9</x:f>
        <x:v>235.30612226075036</x:v>
      </x:c>
      <x:c r="AJ640" s="58" t="n">
        <x:f>AJ636*'Scenario Inputs'!$C$9</x:f>
        <x:v>249.4244895963954</x:v>
      </x:c>
      <x:c r="AK640" s="58" t="n">
        <x:f>AK636*'Scenario Inputs'!$C$9</x:f>
        <x:v>264.38995897217916</x:v>
      </x:c>
    </x:row>
    <x:row r="641" ht="18" customHeight="1">
      <x:c r="A641" s="4" t="str">
        <x:v>New gross buyers: paid</x:v>
      </x:c>
      <x:c r="B641" s="58" t="n">
        <x:f>B639*'Scenario Inputs'!$C$12</x:f>
        <x:v>8</x:v>
      </x:c>
      <x:c r="C641" s="58" t="n">
        <x:f>C639*'Scenario Inputs'!$C$12</x:f>
        <x:v>8</x:v>
      </x:c>
      <x:c r="D641" s="58" t="n">
        <x:f>D639*'Scenario Inputs'!$C$12</x:f>
        <x:v>8</x:v>
      </x:c>
      <x:c r="E641" s="58" t="n">
        <x:f>E639*'Scenario Inputs'!$C$12</x:f>
        <x:v>16</x:v>
      </x:c>
      <x:c r="F641" s="58" t="n">
        <x:f>F639*'Scenario Inputs'!$C$12</x:f>
        <x:v>16</x:v>
      </x:c>
      <x:c r="G641" s="58" t="n">
        <x:f>G639*'Scenario Inputs'!$C$12</x:f>
        <x:v>16</x:v>
      </x:c>
      <x:c r="H641" s="58" t="n">
        <x:f>H639*'Scenario Inputs'!$C$12</x:f>
        <x:v>33.333333333333336</x:v>
      </x:c>
      <x:c r="I641" s="58" t="n">
        <x:f>I639*'Scenario Inputs'!$C$12</x:f>
        <x:v>33.333333333333336</x:v>
      </x:c>
      <x:c r="J641" s="58" t="n">
        <x:f>J639*'Scenario Inputs'!$C$12</x:f>
        <x:v>33.333333333333336</x:v>
      </x:c>
      <x:c r="K641" s="58" t="n">
        <x:f>K639*'Scenario Inputs'!$C$12</x:f>
        <x:v>33.333333333333336</x:v>
      </x:c>
      <x:c r="L641" s="58" t="n">
        <x:f>L639*'Scenario Inputs'!$C$12</x:f>
        <x:v>33.333333333333336</x:v>
      </x:c>
      <x:c r="M641" s="58" t="n">
        <x:f>M639*'Scenario Inputs'!$C$12</x:f>
        <x:v>33.333333333333336</x:v>
      </x:c>
      <x:c r="N641" s="58" t="n">
        <x:f>N639*'Scenario Inputs'!$C$12</x:f>
        <x:v>60.60606060606061</x:v>
      </x:c>
      <x:c r="O641" s="58" t="n">
        <x:f>O639*'Scenario Inputs'!$C$12</x:f>
        <x:v>60.60606060606061</x:v>
      </x:c>
      <x:c r="P641" s="58" t="n">
        <x:f>P639*'Scenario Inputs'!$C$12</x:f>
        <x:v>60.60606060606061</x:v>
      </x:c>
      <x:c r="Q641" s="58" t="n">
        <x:f>Q639*'Scenario Inputs'!$C$12</x:f>
        <x:v>60.60606060606061</x:v>
      </x:c>
      <x:c r="R641" s="58" t="n">
        <x:f>R639*'Scenario Inputs'!$C$12</x:f>
        <x:v>60.60606060606061</x:v>
      </x:c>
      <x:c r="S641" s="58" t="n">
        <x:f>S639*'Scenario Inputs'!$C$12</x:f>
        <x:v>60.60606060606061</x:v>
      </x:c>
      <x:c r="T641" s="58" t="n">
        <x:f>T639*'Scenario Inputs'!$C$12</x:f>
        <x:v>90.9090909090909</x:v>
      </x:c>
      <x:c r="U641" s="58" t="n">
        <x:f>U639*'Scenario Inputs'!$C$12</x:f>
        <x:v>90.9090909090909</x:v>
      </x:c>
      <x:c r="V641" s="58" t="n">
        <x:f>V639*'Scenario Inputs'!$C$12</x:f>
        <x:v>90.9090909090909</x:v>
      </x:c>
      <x:c r="W641" s="58" t="n">
        <x:f>W639*'Scenario Inputs'!$C$12</x:f>
        <x:v>90.9090909090909</x:v>
      </x:c>
      <x:c r="X641" s="58" t="n">
        <x:f>X639*'Scenario Inputs'!$C$12</x:f>
        <x:v>90.9090909090909</x:v>
      </x:c>
      <x:c r="Y641" s="58" t="n">
        <x:f>Y639*'Scenario Inputs'!$C$12</x:f>
        <x:v>90.9090909090909</x:v>
      </x:c>
      <x:c r="Z641" s="58" t="n">
        <x:f>Z639*'Scenario Inputs'!$C$12</x:f>
        <x:v>110.19283746556472</x:v>
      </x:c>
      <x:c r="AA641" s="58" t="n">
        <x:f>AA639*'Scenario Inputs'!$C$12</x:f>
        <x:v>110.19283746556472</x:v>
      </x:c>
      <x:c r="AB641" s="58" t="n">
        <x:f>AB639*'Scenario Inputs'!$C$12</x:f>
        <x:v>110.19283746556472</x:v>
      </x:c>
      <x:c r="AC641" s="58" t="n">
        <x:f>AC639*'Scenario Inputs'!$C$12</x:f>
        <x:v>110.19283746556472</x:v>
      </x:c>
      <x:c r="AD641" s="58" t="n">
        <x:f>AD639*'Scenario Inputs'!$C$12</x:f>
        <x:v>110.19283746556472</x:v>
      </x:c>
      <x:c r="AE641" s="58" t="n">
        <x:f>AE639*'Scenario Inputs'!$C$12</x:f>
        <x:v>110.19283746556472</x:v>
      </x:c>
      <x:c r="AF641" s="58" t="n">
        <x:f>AF639*'Scenario Inputs'!$C$12</x:f>
        <x:v>137.7410468319559</x:v>
      </x:c>
      <x:c r="AG641" s="58" t="n">
        <x:f>AG639*'Scenario Inputs'!$C$12</x:f>
        <x:v>137.7410468319559</x:v>
      </x:c>
      <x:c r="AH641" s="58" t="n">
        <x:f>AH639*'Scenario Inputs'!$C$12</x:f>
        <x:v>137.7410468319559</x:v>
      </x:c>
      <x:c r="AI641" s="58" t="n">
        <x:f>AI639*'Scenario Inputs'!$C$12</x:f>
        <x:v>137.7410468319559</x:v>
      </x:c>
      <x:c r="AJ641" s="58" t="n">
        <x:f>AJ639*'Scenario Inputs'!$C$12</x:f>
        <x:v>137.7410468319559</x:v>
      </x:c>
      <x:c r="AK641" s="58" t="n">
        <x:f>AK639*'Scenario Inputs'!$C$12</x:f>
        <x:v>137.7410468319559</x:v>
      </x:c>
    </x:row>
    <x:row r="642" ht="18" customHeight="1">
      <x:c r="A642" s="4" t="str">
        <x:v>Total new gross buyers</x:v>
      </x:c>
      <x:c r="B642" s="58" t="n">
        <x:f>SUM(B640:B641)</x:f>
        <x:v>23</x:v>
      </x:c>
      <x:c r="C642" s="58" t="n">
        <x:f>SUM(C640:C641)</x:f>
        <x:v>24.8</x:v>
      </x:c>
      <x:c r="D642" s="58" t="n">
        <x:f>SUM(D640:D641)</x:f>
        <x:v>26.816</x:v>
      </x:c>
      <x:c r="E642" s="58" t="n">
        <x:f>SUM(E640:E641)</x:f>
        <x:v>37.07392</x:v>
      </x:c>
      <x:c r="F642" s="58" t="n">
        <x:f>SUM(F640:F641)</x:f>
        <x:v>39.6027904</x:v>
      </x:c>
      <x:c r="G642" s="58" t="n">
        <x:f>SUM(G640:G641)</x:f>
        <x:v>42.435125248000006</x:v>
      </x:c>
      <x:c r="H642" s="58" t="n">
        <x:f>SUM(H640:H641)</x:f>
        <x:v>62.94067361109335</x:v>
      </x:c>
      <x:c r="I642" s="58" t="n">
        <x:f>SUM(I640:I641)</x:f>
        <x:v>66.49355444442455</x:v>
      </x:c>
      <x:c r="J642" s="58" t="n">
        <x:f>SUM(J640:J641)</x:f>
        <x:v>70.47278097775549</x:v>
      </x:c>
      <x:c r="K642" s="58" t="n">
        <x:f>SUM(K640:K641)</x:f>
        <x:v>74.92951469508617</x:v>
      </x:c>
      <x:c r="L642" s="58" t="n">
        <x:f>SUM(L640:L641)</x:f>
        <x:v>79.92105645849651</x:v>
      </x:c>
      <x:c r="M642" s="58" t="n">
        <x:f>SUM(M640:M641)</x:f>
        <x:v>85.51158323351609</x:v>
      </x:c>
      <x:c r="N642" s="58" t="n">
        <x:f>SUM(N640:N641)</x:f>
        <x:v>116.95857049825798</x:v>
      </x:c>
      <x:c r="O642" s="58" t="n">
        <x:f>SUM(O640:O641)</x:f>
        <x:v>121.46677128963378</x:v>
      </x:c>
      <x:c r="P642" s="58" t="n">
        <x:f>SUM(P640:P641)</x:f>
        <x:v>126.33562814431966</x:v>
      </x:c>
      <x:c r="Q642" s="58" t="n">
        <x:f>SUM(Q640:Q641)</x:f>
        <x:v>131.59399354738036</x:v>
      </x:c>
      <x:c r="R642" s="58" t="n">
        <x:f>SUM(R640:R641)</x:f>
        <x:v>137.27302818268595</x:v>
      </x:c>
      <x:c r="S642" s="58" t="n">
        <x:f>SUM(S640:S641)</x:f>
        <x:v>143.406385588816</x:v>
      </x:c>
      <x:c r="T642" s="58" t="n">
        <x:f>SUM(T640:T641)</x:f>
        <x:v>180.33344189046673</x:v>
      </x:c>
      <x:c r="U642" s="58" t="n">
        <x:f>SUM(U640:U641)</x:f>
        <x:v>187.4873899689768</x:v>
      </x:c>
      <x:c r="V642" s="58" t="n">
        <x:f>SUM(V640:V641)</x:f>
        <x:v>195.21365389376768</x:v>
      </x:c>
      <x:c r="W642" s="58" t="n">
        <x:f>SUM(W640:W641)</x:f>
        <x:v>203.5580189325418</x:v>
      </x:c>
      <x:c r="X642" s="58" t="n">
        <x:f>SUM(X640:X641)</x:f>
        <x:v>212.56993317441788</x:v>
      </x:c>
      <x:c r="Y642" s="58" t="n">
        <x:f>SUM(Y640:Y641)</x:f>
        <x:v>222.30280055564404</x:v>
      </x:c>
      <x:c r="Z642" s="58" t="n">
        <x:f>SUM(Z640:Z641)</x:f>
        <x:v>249.47016969091106</x:v>
      </x:c>
      <x:c r="AA642" s="58" t="n">
        <x:f>SUM(AA640:AA641)</x:f>
        <x:v>257.82680962443186</x:v>
      </x:c>
      <x:c r="AB642" s="58" t="n">
        <x:f>SUM(AB640:AB641)</x:f>
        <x:v>266.6848479539639</x:v>
      </x:c>
      <x:c r="AC642" s="58" t="n">
        <x:f>SUM(AC640:AC641)</x:f>
        <x:v>276.07436858326787</x:v>
      </x:c>
      <x:c r="AD642" s="58" t="n">
        <x:f>SUM(AD640:AD641)</x:f>
        <x:v>286.02726045033006</x:v>
      </x:c>
      <x:c r="AE642" s="58" t="n">
        <x:f>SUM(AE640:AE641)</x:f>
        <x:v>296.577325829416</x:v>
      </x:c>
      <x:c r="AF642" s="58" t="n">
        <x:f>SUM(AF640:AF641)</x:f>
        <x:v>335.30860449763827</x:v>
      </x:c>
      <x:c r="AG642" s="58" t="n">
        <x:f>SUM(AG640:AG641)</x:f>
        <x:v>347.1626579575792</x:v>
      </x:c>
      <x:c r="AH642" s="58" t="n">
        <x:f>SUM(AH640:AH641)</x:f>
        <x:v>359.72795462511664</x:v>
      </x:c>
      <x:c r="AI642" s="58" t="n">
        <x:f>SUM(AI640:AI641)</x:f>
        <x:v>373.04716909270627</x:v>
      </x:c>
      <x:c r="AJ642" s="58" t="n">
        <x:f>SUM(AJ640:AJ641)</x:f>
        <x:v>387.1655364283513</x:v>
      </x:c>
      <x:c r="AK642" s="58" t="n">
        <x:f>SUM(AK640:AK641)</x:f>
        <x:v>402.13100580413504</x:v>
      </x:c>
    </x:row>
    <x:row r="643" ht="18" customHeight="1">
      <x:c r="A643" s="4" t="str">
        <x:v>New buyers after refunds</x:v>
      </x:c>
      <x:c r="B643" s="58" t="n">
        <x:f>B642*(1-'Scenario Inputs'!$C$29)</x:f>
        <x:v>22.31</x:v>
      </x:c>
      <x:c r="C643" s="58" t="n">
        <x:f>C642*(1-'Scenario Inputs'!$C$29)</x:f>
        <x:v>24.056</x:v>
      </x:c>
      <x:c r="D643" s="58" t="n">
        <x:f>D642*(1-'Scenario Inputs'!$C$29)</x:f>
        <x:v>26.011519999999997</x:v>
      </x:c>
      <x:c r="E643" s="58" t="n">
        <x:f>E642*(1-'Scenario Inputs'!$C$29)</x:f>
        <x:v>35.9617024</x:v>
      </x:c>
      <x:c r="F643" s="58" t="n">
        <x:f>F642*(1-'Scenario Inputs'!$C$29)</x:f>
        <x:v>38.414706688</x:v>
      </x:c>
      <x:c r="G643" s="58" t="n">
        <x:f>G642*(1-'Scenario Inputs'!$C$29)</x:f>
        <x:v>41.16207149056</x:v>
      </x:c>
      <x:c r="H643" s="58" t="n">
        <x:f>H642*(1-'Scenario Inputs'!$C$29)</x:f>
        <x:v>61.05245340276055</x:v>
      </x:c>
      <x:c r="I643" s="58" t="n">
        <x:f>I642*(1-'Scenario Inputs'!$C$29)</x:f>
        <x:v>64.4987478110918</x:v>
      </x:c>
      <x:c r="J643" s="58" t="n">
        <x:f>J642*(1-'Scenario Inputs'!$C$29)</x:f>
        <x:v>68.35859754842282</x:v>
      </x:c>
      <x:c r="K643" s="58" t="n">
        <x:f>K642*(1-'Scenario Inputs'!$C$29)</x:f>
        <x:v>72.68162925423358</x:v>
      </x:c>
      <x:c r="L643" s="58" t="n">
        <x:f>L642*(1-'Scenario Inputs'!$C$29)</x:f>
        <x:v>77.5234247647416</x:v>
      </x:c>
      <x:c r="M643" s="58" t="n">
        <x:f>M642*(1-'Scenario Inputs'!$C$29)</x:f>
        <x:v>82.9462357365106</x:v>
      </x:c>
      <x:c r="N643" s="58" t="n">
        <x:f>N642*(1-'Scenario Inputs'!$C$29)</x:f>
        <x:v>113.44981338331024</x:v>
      </x:c>
      <x:c r="O643" s="58" t="n">
        <x:f>O642*(1-'Scenario Inputs'!$C$29)</x:f>
        <x:v>117.82276815094477</x:v>
      </x:c>
      <x:c r="P643" s="58" t="n">
        <x:f>P642*(1-'Scenario Inputs'!$C$29)</x:f>
        <x:v>122.54555929999006</x:v>
      </x:c>
      <x:c r="Q643" s="58" t="n">
        <x:f>Q642*(1-'Scenario Inputs'!$C$29)</x:f>
        <x:v>127.64617374095894</x:v>
      </x:c>
      <x:c r="R643" s="58" t="n">
        <x:f>R642*(1-'Scenario Inputs'!$C$29)</x:f>
        <x:v>133.15483733720538</x:v>
      </x:c>
      <x:c r="S643" s="58" t="n">
        <x:f>S642*(1-'Scenario Inputs'!$C$29)</x:f>
        <x:v>139.1041940211515</x:v>
      </x:c>
      <x:c r="T643" s="58" t="n">
        <x:f>T642*(1-'Scenario Inputs'!$C$29)</x:f>
        <x:v>174.9234386337527</x:v>
      </x:c>
      <x:c r="U643" s="58" t="n">
        <x:f>U642*(1-'Scenario Inputs'!$C$29)</x:f>
        <x:v>181.8627682699075</x:v>
      </x:c>
      <x:c r="V643" s="58" t="n">
        <x:f>V642*(1-'Scenario Inputs'!$C$29)</x:f>
        <x:v>189.35724427695465</x:v>
      </x:c>
      <x:c r="W643" s="58" t="n">
        <x:f>W642*(1-'Scenario Inputs'!$C$29)</x:f>
        <x:v>197.45127836456555</x:v>
      </x:c>
      <x:c r="X643" s="58" t="n">
        <x:f>X642*(1-'Scenario Inputs'!$C$29)</x:f>
        <x:v>206.19283517918535</x:v>
      </x:c>
      <x:c r="Y643" s="58" t="n">
        <x:f>Y642*(1-'Scenario Inputs'!$C$29)</x:f>
        <x:v>215.6337165389747</x:v>
      </x:c>
      <x:c r="Z643" s="58" t="n">
        <x:f>Z642*(1-'Scenario Inputs'!$C$29)</x:f>
        <x:v>241.98606460018374</x:v>
      </x:c>
      <x:c r="AA643" s="58" t="n">
        <x:f>AA642*(1-'Scenario Inputs'!$C$29)</x:f>
        <x:v>250.0920053356989</x:v>
      </x:c>
      <x:c r="AB643" s="58" t="n">
        <x:f>AB642*(1-'Scenario Inputs'!$C$29)</x:f>
        <x:v>258.684302515345</x:v>
      </x:c>
      <x:c r="AC643" s="58" t="n">
        <x:f>AC642*(1-'Scenario Inputs'!$C$29)</x:f>
        <x:v>267.7921375257698</x:v>
      </x:c>
      <x:c r="AD643" s="58" t="n">
        <x:f>AD642*(1-'Scenario Inputs'!$C$29)</x:f>
        <x:v>277.44644263682017</x:v>
      </x:c>
      <x:c r="AE643" s="58" t="n">
        <x:f>AE642*(1-'Scenario Inputs'!$C$29)</x:f>
        <x:v>287.6800060545335</x:v>
      </x:c>
      <x:c r="AF643" s="58" t="n">
        <x:f>AF642*(1-'Scenario Inputs'!$C$29)</x:f>
        <x:v>325.2493463627091</x:v>
      </x:c>
      <x:c r="AG643" s="58" t="n">
        <x:f>AG642*(1-'Scenario Inputs'!$C$29)</x:f>
        <x:v>336.7477782188518</x:v>
      </x:c>
      <x:c r="AH643" s="58" t="n">
        <x:f>AH642*(1-'Scenario Inputs'!$C$29)</x:f>
        <x:v>348.9361159863631</x:v>
      </x:c>
      <x:c r="AI643" s="58" t="n">
        <x:f>AI642*(1-'Scenario Inputs'!$C$29)</x:f>
        <x:v>361.8557540199251</x:v>
      </x:c>
      <x:c r="AJ643" s="58" t="n">
        <x:f>AJ642*(1-'Scenario Inputs'!$C$29)</x:f>
        <x:v>375.55057033550077</x:v>
      </x:c>
      <x:c r="AK643" s="58" t="n">
        <x:f>AK642*(1-'Scenario Inputs'!$C$29)</x:f>
        <x:v>390.067075630011</x:v>
      </x:c>
    </x:row>
    <x:row r="644" ht="18" customHeight="1">
      <x:c r="A644" s="4" t="str">
        <x:v>Paid creative allowance (INR)</x:v>
      </x:c>
      <x:c r="B644" s="58" t="n">
        <x:f>B637*'Scenario Inputs'!$C$13</x:f>
        <x:v>1500</x:v>
      </x:c>
      <x:c r="C644" s="58" t="n">
        <x:f>C637*'Scenario Inputs'!$C$13</x:f>
        <x:v>1500</x:v>
      </x:c>
      <x:c r="D644" s="58" t="n">
        <x:f>D637*'Scenario Inputs'!$C$13</x:f>
        <x:v>1500</x:v>
      </x:c>
      <x:c r="E644" s="58" t="n">
        <x:f>E637*'Scenario Inputs'!$C$13</x:f>
        <x:v>3000</x:v>
      </x:c>
      <x:c r="F644" s="58" t="n">
        <x:f>F637*'Scenario Inputs'!$C$13</x:f>
        <x:v>3000</x:v>
      </x:c>
      <x:c r="G644" s="58" t="n">
        <x:f>G637*'Scenario Inputs'!$C$13</x:f>
        <x:v>3000</x:v>
      </x:c>
      <x:c r="H644" s="58" t="n">
        <x:f>H637*'Scenario Inputs'!$C$13</x:f>
        <x:v>6250</x:v>
      </x:c>
      <x:c r="I644" s="58" t="n">
        <x:f>I637*'Scenario Inputs'!$C$13</x:f>
        <x:v>6250</x:v>
      </x:c>
      <x:c r="J644" s="58" t="n">
        <x:f>J637*'Scenario Inputs'!$C$13</x:f>
        <x:v>6250</x:v>
      </x:c>
      <x:c r="K644" s="58" t="n">
        <x:f>K637*'Scenario Inputs'!$C$13</x:f>
        <x:v>6250</x:v>
      </x:c>
      <x:c r="L644" s="58" t="n">
        <x:f>L637*'Scenario Inputs'!$C$13</x:f>
        <x:v>6250</x:v>
      </x:c>
      <x:c r="M644" s="58" t="n">
        <x:f>M637*'Scenario Inputs'!$C$13</x:f>
        <x:v>6250</x:v>
      </x:c>
      <x:c r="N644" s="58" t="n">
        <x:f>N637*'Scenario Inputs'!$C$13</x:f>
        <x:v>12500</x:v>
      </x:c>
      <x:c r="O644" s="58" t="n">
        <x:f>O637*'Scenario Inputs'!$C$13</x:f>
        <x:v>12500</x:v>
      </x:c>
      <x:c r="P644" s="58" t="n">
        <x:f>P637*'Scenario Inputs'!$C$13</x:f>
        <x:v>12500</x:v>
      </x:c>
      <x:c r="Q644" s="58" t="n">
        <x:f>Q637*'Scenario Inputs'!$C$13</x:f>
        <x:v>12500</x:v>
      </x:c>
      <x:c r="R644" s="58" t="n">
        <x:f>R637*'Scenario Inputs'!$C$13</x:f>
        <x:v>12500</x:v>
      </x:c>
      <x:c r="S644" s="58" t="n">
        <x:f>S637*'Scenario Inputs'!$C$13</x:f>
        <x:v>12500</x:v>
      </x:c>
      <x:c r="T644" s="58" t="n">
        <x:f>T637*'Scenario Inputs'!$C$13</x:f>
        <x:v>18750</x:v>
      </x:c>
      <x:c r="U644" s="58" t="n">
        <x:f>U637*'Scenario Inputs'!$C$13</x:f>
        <x:v>18750</x:v>
      </x:c>
      <x:c r="V644" s="58" t="n">
        <x:f>V637*'Scenario Inputs'!$C$13</x:f>
        <x:v>18750</x:v>
      </x:c>
      <x:c r="W644" s="58" t="n">
        <x:f>W637*'Scenario Inputs'!$C$13</x:f>
        <x:v>18750</x:v>
      </x:c>
      <x:c r="X644" s="58" t="n">
        <x:f>X637*'Scenario Inputs'!$C$13</x:f>
        <x:v>18750</x:v>
      </x:c>
      <x:c r="Y644" s="58" t="n">
        <x:f>Y637*'Scenario Inputs'!$C$13</x:f>
        <x:v>18750</x:v>
      </x:c>
      <x:c r="Z644" s="58" t="n">
        <x:f>Z637*'Scenario Inputs'!$C$13</x:f>
        <x:v>25000</x:v>
      </x:c>
      <x:c r="AA644" s="58" t="n">
        <x:f>AA637*'Scenario Inputs'!$C$13</x:f>
        <x:v>25000</x:v>
      </x:c>
      <x:c r="AB644" s="58" t="n">
        <x:f>AB637*'Scenario Inputs'!$C$13</x:f>
        <x:v>25000</x:v>
      </x:c>
      <x:c r="AC644" s="58" t="n">
        <x:f>AC637*'Scenario Inputs'!$C$13</x:f>
        <x:v>25000</x:v>
      </x:c>
      <x:c r="AD644" s="58" t="n">
        <x:f>AD637*'Scenario Inputs'!$C$13</x:f>
        <x:v>25000</x:v>
      </x:c>
      <x:c r="AE644" s="58" t="n">
        <x:f>AE637*'Scenario Inputs'!$C$13</x:f>
        <x:v>25000</x:v>
      </x:c>
      <x:c r="AF644" s="58" t="n">
        <x:f>AF637*'Scenario Inputs'!$C$13</x:f>
        <x:v>31250</x:v>
      </x:c>
      <x:c r="AG644" s="58" t="n">
        <x:f>AG637*'Scenario Inputs'!$C$13</x:f>
        <x:v>31250</x:v>
      </x:c>
      <x:c r="AH644" s="58" t="n">
        <x:f>AH637*'Scenario Inputs'!$C$13</x:f>
        <x:v>31250</x:v>
      </x:c>
      <x:c r="AI644" s="58" t="n">
        <x:f>AI637*'Scenario Inputs'!$C$13</x:f>
        <x:v>31250</x:v>
      </x:c>
      <x:c r="AJ644" s="58" t="n">
        <x:f>AJ637*'Scenario Inputs'!$C$13</x:f>
        <x:v>31250</x:v>
      </x:c>
      <x:c r="AK644" s="58" t="n">
        <x:f>AK637*'Scenario Inputs'!$C$13</x:f>
        <x:v>31250</x:v>
      </x:c>
    </x:row>
    <x:row r="645" ht="18" customHeight="1">
      <x:c r="A645" s="4" t="str">
        <x:v>Organic / partner content cash (INR)</x:v>
      </x:c>
      <x:c r="B645" s="60" t="n">
        <x:f>'Scenario Inputs'!$C$21</x:f>
        <x:v>5000</x:v>
      </x:c>
      <x:c r="C645" s="60" t="n">
        <x:f>'Scenario Inputs'!$C$21</x:f>
        <x:v>5000</x:v>
      </x:c>
      <x:c r="D645" s="60" t="n">
        <x:f>'Scenario Inputs'!$C$21</x:f>
        <x:v>5000</x:v>
      </x:c>
      <x:c r="E645" s="60" t="n">
        <x:f>'Scenario Inputs'!$C$21</x:f>
        <x:v>5000</x:v>
      </x:c>
      <x:c r="F645" s="60" t="n">
        <x:f>'Scenario Inputs'!$C$21</x:f>
        <x:v>5000</x:v>
      </x:c>
      <x:c r="G645" s="60" t="n">
        <x:f>'Scenario Inputs'!$C$21</x:f>
        <x:v>5000</x:v>
      </x:c>
      <x:c r="H645" s="60" t="n">
        <x:f>'Scenario Inputs'!$C$21</x:f>
        <x:v>5000</x:v>
      </x:c>
      <x:c r="I645" s="60" t="n">
        <x:f>'Scenario Inputs'!$C$21</x:f>
        <x:v>5000</x:v>
      </x:c>
      <x:c r="J645" s="60" t="n">
        <x:f>'Scenario Inputs'!$C$21</x:f>
        <x:v>5000</x:v>
      </x:c>
      <x:c r="K645" s="60" t="n">
        <x:f>'Scenario Inputs'!$C$21</x:f>
        <x:v>5000</x:v>
      </x:c>
      <x:c r="L645" s="60" t="n">
        <x:f>'Scenario Inputs'!$C$21</x:f>
        <x:v>5000</x:v>
      </x:c>
      <x:c r="M645" s="60" t="n">
        <x:f>'Scenario Inputs'!$C$21</x:f>
        <x:v>5000</x:v>
      </x:c>
      <x:c r="N645" s="60" t="n">
        <x:f>'Scenario Inputs'!$C$22</x:f>
        <x:v>10000</x:v>
      </x:c>
      <x:c r="O645" s="60" t="n">
        <x:f>'Scenario Inputs'!$C$22</x:f>
        <x:v>10000</x:v>
      </x:c>
      <x:c r="P645" s="60" t="n">
        <x:f>'Scenario Inputs'!$C$22</x:f>
        <x:v>10000</x:v>
      </x:c>
      <x:c r="Q645" s="60" t="n">
        <x:f>'Scenario Inputs'!$C$22</x:f>
        <x:v>10000</x:v>
      </x:c>
      <x:c r="R645" s="60" t="n">
        <x:f>'Scenario Inputs'!$C$22</x:f>
        <x:v>10000</x:v>
      </x:c>
      <x:c r="S645" s="60" t="n">
        <x:f>'Scenario Inputs'!$C$22</x:f>
        <x:v>10000</x:v>
      </x:c>
      <x:c r="T645" s="60" t="n">
        <x:f>'Scenario Inputs'!$C$22</x:f>
        <x:v>10000</x:v>
      </x:c>
      <x:c r="U645" s="60" t="n">
        <x:f>'Scenario Inputs'!$C$22</x:f>
        <x:v>10000</x:v>
      </x:c>
      <x:c r="V645" s="60" t="n">
        <x:f>'Scenario Inputs'!$C$22</x:f>
        <x:v>10000</x:v>
      </x:c>
      <x:c r="W645" s="60" t="n">
        <x:f>'Scenario Inputs'!$C$22</x:f>
        <x:v>10000</x:v>
      </x:c>
      <x:c r="X645" s="60" t="n">
        <x:f>'Scenario Inputs'!$C$22</x:f>
        <x:v>10000</x:v>
      </x:c>
      <x:c r="Y645" s="60" t="n">
        <x:f>'Scenario Inputs'!$C$22</x:f>
        <x:v>10000</x:v>
      </x:c>
      <x:c r="Z645" s="60" t="n">
        <x:f>'Scenario Inputs'!$C$23</x:f>
        <x:v>15000</x:v>
      </x:c>
      <x:c r="AA645" s="60" t="n">
        <x:f>'Scenario Inputs'!$C$23</x:f>
        <x:v>15000</x:v>
      </x:c>
      <x:c r="AB645" s="60" t="n">
        <x:f>'Scenario Inputs'!$C$23</x:f>
        <x:v>15000</x:v>
      </x:c>
      <x:c r="AC645" s="60" t="n">
        <x:f>'Scenario Inputs'!$C$23</x:f>
        <x:v>15000</x:v>
      </x:c>
      <x:c r="AD645" s="60" t="n">
        <x:f>'Scenario Inputs'!$C$23</x:f>
        <x:v>15000</x:v>
      </x:c>
      <x:c r="AE645" s="60" t="n">
        <x:f>'Scenario Inputs'!$C$23</x:f>
        <x:v>15000</x:v>
      </x:c>
      <x:c r="AF645" s="60" t="n">
        <x:f>'Scenario Inputs'!$C$23</x:f>
        <x:v>15000</x:v>
      </x:c>
      <x:c r="AG645" s="60" t="n">
        <x:f>'Scenario Inputs'!$C$23</x:f>
        <x:v>15000</x:v>
      </x:c>
      <x:c r="AH645" s="60" t="n">
        <x:f>'Scenario Inputs'!$C$23</x:f>
        <x:v>15000</x:v>
      </x:c>
      <x:c r="AI645" s="60" t="n">
        <x:f>'Scenario Inputs'!$C$23</x:f>
        <x:v>15000</x:v>
      </x:c>
      <x:c r="AJ645" s="60" t="n">
        <x:f>'Scenario Inputs'!$C$23</x:f>
        <x:v>15000</x:v>
      </x:c>
      <x:c r="AK645" s="60" t="n">
        <x:f>'Scenario Inputs'!$C$23</x:f>
        <x:v>15000</x:v>
      </x:c>
    </x:row>
    <x:row r="646" ht="18" customHeight="1">
      <x:c r="A646" s="74" t="str">
        <x:v>TOTAL ACQUISITION SPEND (INR)</x:v>
      </x:c>
      <x:c r="B646" s="75" t="n">
        <x:f>B637+SUM(B644:B645)</x:f>
        <x:v>12500</x:v>
      </x:c>
      <x:c r="C646" s="75" t="n">
        <x:f>C637+SUM(C644:C645)</x:f>
        <x:v>12500</x:v>
      </x:c>
      <x:c r="D646" s="75" t="n">
        <x:f>D637+SUM(D644:D645)</x:f>
        <x:v>12500</x:v>
      </x:c>
      <x:c r="E646" s="75" t="n">
        <x:f>E637+SUM(E644:E645)</x:f>
        <x:v>20000</x:v>
      </x:c>
      <x:c r="F646" s="75" t="n">
        <x:f>F637+SUM(F644:F645)</x:f>
        <x:v>20000</x:v>
      </x:c>
      <x:c r="G646" s="75" t="n">
        <x:f>G637+SUM(G644:G645)</x:f>
        <x:v>20000</x:v>
      </x:c>
      <x:c r="H646" s="75" t="n">
        <x:f>H637+SUM(H644:H645)</x:f>
        <x:v>36250</x:v>
      </x:c>
      <x:c r="I646" s="75" t="n">
        <x:f>I637+SUM(I644:I645)</x:f>
        <x:v>36250</x:v>
      </x:c>
      <x:c r="J646" s="75" t="n">
        <x:f>J637+SUM(J644:J645)</x:f>
        <x:v>36250</x:v>
      </x:c>
      <x:c r="K646" s="75" t="n">
        <x:f>K637+SUM(K644:K645)</x:f>
        <x:v>36250</x:v>
      </x:c>
      <x:c r="L646" s="75" t="n">
        <x:f>L637+SUM(L644:L645)</x:f>
        <x:v>36250</x:v>
      </x:c>
      <x:c r="M646" s="75" t="n">
        <x:f>M637+SUM(M644:M645)</x:f>
        <x:v>36250</x:v>
      </x:c>
      <x:c r="N646" s="75" t="n">
        <x:f>N637+SUM(N644:N645)</x:f>
        <x:v>72500</x:v>
      </x:c>
      <x:c r="O646" s="75" t="n">
        <x:f>O637+SUM(O644:O645)</x:f>
        <x:v>72500</x:v>
      </x:c>
      <x:c r="P646" s="75" t="n">
        <x:f>P637+SUM(P644:P645)</x:f>
        <x:v>72500</x:v>
      </x:c>
      <x:c r="Q646" s="75" t="n">
        <x:f>Q637+SUM(Q644:Q645)</x:f>
        <x:v>72500</x:v>
      </x:c>
      <x:c r="R646" s="75" t="n">
        <x:f>R637+SUM(R644:R645)</x:f>
        <x:v>72500</x:v>
      </x:c>
      <x:c r="S646" s="75" t="n">
        <x:f>S637+SUM(S644:S645)</x:f>
        <x:v>72500</x:v>
      </x:c>
      <x:c r="T646" s="75" t="n">
        <x:f>T637+SUM(T644:T645)</x:f>
        <x:v>103750</x:v>
      </x:c>
      <x:c r="U646" s="75" t="n">
        <x:f>U637+SUM(U644:U645)</x:f>
        <x:v>103750</x:v>
      </x:c>
      <x:c r="V646" s="75" t="n">
        <x:f>V637+SUM(V644:V645)</x:f>
        <x:v>103750</x:v>
      </x:c>
      <x:c r="W646" s="75" t="n">
        <x:f>W637+SUM(W644:W645)</x:f>
        <x:v>103750</x:v>
      </x:c>
      <x:c r="X646" s="75" t="n">
        <x:f>X637+SUM(X644:X645)</x:f>
        <x:v>103750</x:v>
      </x:c>
      <x:c r="Y646" s="75" t="n">
        <x:f>Y637+SUM(Y644:Y645)</x:f>
        <x:v>103750</x:v>
      </x:c>
      <x:c r="Z646" s="75" t="n">
        <x:f>Z637+SUM(Z644:Z645)</x:f>
        <x:v>140000</x:v>
      </x:c>
      <x:c r="AA646" s="75" t="n">
        <x:f>AA637+SUM(AA644:AA645)</x:f>
        <x:v>140000</x:v>
      </x:c>
      <x:c r="AB646" s="75" t="n">
        <x:f>AB637+SUM(AB644:AB645)</x:f>
        <x:v>140000</x:v>
      </x:c>
      <x:c r="AC646" s="75" t="n">
        <x:f>AC637+SUM(AC644:AC645)</x:f>
        <x:v>140000</x:v>
      </x:c>
      <x:c r="AD646" s="75" t="n">
        <x:f>AD637+SUM(AD644:AD645)</x:f>
        <x:v>140000</x:v>
      </x:c>
      <x:c r="AE646" s="75" t="n">
        <x:f>AE637+SUM(AE644:AE645)</x:f>
        <x:v>140000</x:v>
      </x:c>
      <x:c r="AF646" s="75" t="n">
        <x:f>AF637+SUM(AF644:AF645)</x:f>
        <x:v>171250</x:v>
      </x:c>
      <x:c r="AG646" s="75" t="n">
        <x:f>AG637+SUM(AG644:AG645)</x:f>
        <x:v>171250</x:v>
      </x:c>
      <x:c r="AH646" s="75" t="n">
        <x:f>AH637+SUM(AH644:AH645)</x:f>
        <x:v>171250</x:v>
      </x:c>
      <x:c r="AI646" s="75" t="n">
        <x:f>AI637+SUM(AI644:AI645)</x:f>
        <x:v>171250</x:v>
      </x:c>
      <x:c r="AJ646" s="75" t="n">
        <x:f>AJ637+SUM(AJ644:AJ645)</x:f>
        <x:v>171250</x:v>
      </x:c>
      <x:c r="AK646" s="75" t="n">
        <x:f>AK637+SUM(AK644:AK645)</x:f>
        <x:v>171250</x:v>
      </x:c>
    </x:row>
    <x:row r="647" ht="18" customHeight="1">
      <x:c r="A647" s="4" t="str">
        <x:v>Blended cash CAC (INR / gross buyer)</x:v>
      </x:c>
      <x:c r="B647" s="64" t="n">
        <x:f>IFERROR(B646/B642,0)</x:f>
        <x:v>543.4782608695652</x:v>
      </x:c>
      <x:c r="C647" s="64" t="n">
        <x:f>IFERROR(C646/C642,0)</x:f>
        <x:v>504.0322580645161</x:v>
      </x:c>
      <x:c r="D647" s="64" t="n">
        <x:f>IFERROR(D646/D642,0)</x:f>
        <x:v>466.13961813842485</x:v>
      </x:c>
      <x:c r="E647" s="64" t="n">
        <x:f>IFERROR(E646/E642,0)</x:f>
        <x:v>539.4627813837867</x:v>
      </x:c>
      <x:c r="F647" s="64" t="n">
        <x:f>IFERROR(F646/F642,0)</x:f>
        <x:v>505.01491935275345</x:v>
      </x:c>
      <x:c r="G647" s="64" t="n">
        <x:f>IFERROR(G646/G642,0)</x:f>
        <x:v>471.3076698399191</x:v>
      </x:c>
      <x:c r="H647" s="64" t="n">
        <x:f>IFERROR(H646/H642,0)</x:f>
        <x:v>575.9391808226676</x:v>
      </x:c>
      <x:c r="I647" s="64" t="n">
        <x:f>IFERROR(I646/I642,0)</x:f>
        <x:v>545.1656224859784</x:v>
      </x:c>
      <x:c r="J647" s="64" t="n">
        <x:f>IFERROR(J646/J642,0)</x:f>
        <x:v>514.3829929379713</x:v>
      </x:c>
      <x:c r="K647" s="64" t="n">
        <x:f>IFERROR(K646/K642,0)</x:f>
        <x:v>483.78799926188833</x:v>
      </x:c>
      <x:c r="L647" s="64" t="n">
        <x:f>IFERROR(L646/L642,0)</x:f>
        <x:v>453.57258282521383</x:v>
      </x:c>
      <x:c r="M647" s="64" t="n">
        <x:f>IFERROR(M646/M642,0)</x:f>
        <x:v>423.9191771365997</x:v>
      </x:c>
      <x:c r="N647" s="64" t="n">
        <x:f>IFERROR(N646/N642,0)</x:f>
        <x:v>619.8776172720052</x:v>
      </x:c>
      <x:c r="O647" s="64" t="n">
        <x:f>IFERROR(O646/O642,0)</x:f>
        <x:v>596.8710556002676</x:v>
      </x:c>
      <x:c r="P647" s="64" t="n">
        <x:f>IFERROR(P646/P642,0)</x:f>
        <x:v>573.8682038069225</x:v>
      </x:c>
      <x:c r="Q647" s="64" t="n">
        <x:f>IFERROR(Q646/Q642,0)</x:f>
        <x:v>550.9369998251204</x:v>
      </x:c>
      <x:c r="R647" s="64" t="n">
        <x:f>IFERROR(R646/R642,0)</x:f>
        <x:v>528.144537640092</x:v>
      </x:c>
      <x:c r="S647" s="64" t="n">
        <x:f>IFERROR(S646/S642,0)</x:f>
        <x:v>505.5562881828474</x:v>
      </x:c>
      <x:c r="T647" s="64" t="n">
        <x:f>IFERROR(T646/T642,0)</x:f>
        <x:v>575.3231287129595</x:v>
      </x:c>
      <x:c r="U647" s="64" t="n">
        <x:f>IFERROR(U646/U642,0)</x:f>
        <x:v>553.3705494389106</x:v>
      </x:c>
      <x:c r="V647" s="64" t="n">
        <x:f>IFERROR(V646/V642,0)</x:f>
        <x:v>531.4689722290592</x:v>
      </x:c>
      <x:c r="W647" s="64" t="n">
        <x:f>IFERROR(W646/W642,0)</x:f>
        <x:v>509.6826965798988</x:v>
      </x:c>
      <x:c r="X647" s="64" t="n">
        <x:f>IFERROR(X646/X642,0)</x:f>
        <x:v>488.0746700657381</x:v>
      </x:c>
      <x:c r="Y647" s="64" t="n">
        <x:f>IFERROR(Y646/Y642,0)</x:f>
        <x:v>466.70577132036897</x:v>
      </x:c>
      <x:c r="Z647" s="64" t="n">
        <x:f>IFERROR(Z646/Z642,0)</x:f>
        <x:v>561.1893404869104</x:v>
      </x:c>
      <x:c r="AA647" s="64" t="n">
        <x:f>IFERROR(AA646/AA642,0)</x:f>
        <x:v>543.0001643503775</x:v>
      </x:c>
      <x:c r="AB647" s="64" t="n">
        <x:f>IFERROR(AB646/AB642,0)</x:f>
        <x:v>524.9642080309238</x:v>
      </x:c>
      <x:c r="AC647" s="64" t="n">
        <x:f>IFERROR(AC646/AC642,0)</x:f>
        <x:v>507.1097353891948</x:v>
      </x:c>
      <x:c r="AD647" s="64" t="n">
        <x:f>IFERROR(AD646/AD642,0)</x:f>
        <x:v>489.4638356483215</x:v>
      </x:c>
      <x:c r="AE647" s="64" t="n">
        <x:f>IFERROR(AE646/AE642,0)</x:f>
        <x:v>472.0522703766119</x:v>
      </x:c>
      <x:c r="AF647" s="64" t="n">
        <x:f>IFERROR(AF646/AF642,0)</x:f>
        <x:v>510.72354751100994</x:v>
      </x:c>
      <x:c r="AG647" s="64" t="n">
        <x:f>IFERROR(AG646/AG642,0)</x:f>
        <x:v>493.28462055076653</x:v>
      </x:c>
      <x:c r="AH647" s="64" t="n">
        <x:f>IFERROR(AH646/AH642,0)</x:f>
        <x:v>476.05418983482895</x:v>
      </x:c>
      <x:c r="AI647" s="64" t="n">
        <x:f>IFERROR(AI646/AI642,0)</x:f>
        <x:v>459.05722972379</x:v>
      </x:c>
      <x:c r="AJ647" s="64" t="n">
        <x:f>IFERROR(AJ646/AJ642,0)</x:f>
        <x:v>442.31726196448653</x:v>
      </x:c>
      <x:c r="AK647" s="64" t="n">
        <x:f>IFERROR(AK646/AK642,0)</x:f>
        <x:v>425.8562446771645</x:v>
      </x:c>
    </x:row>
    <x:row r="648" ht="18" customHeight="1">
      <x:c r="A648" s="4" t="str">
        <x:v>Loaded paid-channel CAC (INR)</x:v>
      </x:c>
      <x:c r="B648" s="64" t="n">
        <x:f>IFERROR((B637+B644)/B641,0)</x:f>
        <x:v>937.5</x:v>
      </x:c>
      <x:c r="C648" s="64" t="n">
        <x:f>IFERROR((C637+C644)/C641,0)</x:f>
        <x:v>937.5</x:v>
      </x:c>
      <x:c r="D648" s="64" t="n">
        <x:f>IFERROR((D637+D644)/D641,0)</x:f>
        <x:v>937.5</x:v>
      </x:c>
      <x:c r="E648" s="64" t="n">
        <x:f>IFERROR((E637+E644)/E641,0)</x:f>
        <x:v>937.5</x:v>
      </x:c>
      <x:c r="F648" s="64" t="n">
        <x:f>IFERROR((F637+F644)/F641,0)</x:f>
        <x:v>937.5</x:v>
      </x:c>
      <x:c r="G648" s="64" t="n">
        <x:f>IFERROR((G637+G644)/G641,0)</x:f>
        <x:v>937.5</x:v>
      </x:c>
      <x:c r="H648" s="64" t="n">
        <x:f>IFERROR((H637+H644)/H641,0)</x:f>
        <x:v>937.4999999999999</x:v>
      </x:c>
      <x:c r="I648" s="64" t="n">
        <x:f>IFERROR((I637+I644)/I641,0)</x:f>
        <x:v>937.4999999999999</x:v>
      </x:c>
      <x:c r="J648" s="64" t="n">
        <x:f>IFERROR((J637+J644)/J641,0)</x:f>
        <x:v>937.4999999999999</x:v>
      </x:c>
      <x:c r="K648" s="64" t="n">
        <x:f>IFERROR((K637+K644)/K641,0)</x:f>
        <x:v>937.4999999999999</x:v>
      </x:c>
      <x:c r="L648" s="64" t="n">
        <x:f>IFERROR((L637+L644)/L641,0)</x:f>
        <x:v>937.4999999999999</x:v>
      </x:c>
      <x:c r="M648" s="64" t="n">
        <x:f>IFERROR((M637+M644)/M641,0)</x:f>
        <x:v>937.4999999999999</x:v>
      </x:c>
      <x:c r="N648" s="64" t="n">
        <x:f>IFERROR((N637+N644)/N641,0)</x:f>
        <x:v>1031.25</x:v>
      </x:c>
      <x:c r="O648" s="64" t="n">
        <x:f>IFERROR((O637+O644)/O641,0)</x:f>
        <x:v>1031.25</x:v>
      </x:c>
      <x:c r="P648" s="64" t="n">
        <x:f>IFERROR((P637+P644)/P641,0)</x:f>
        <x:v>1031.25</x:v>
      </x:c>
      <x:c r="Q648" s="64" t="n">
        <x:f>IFERROR((Q637+Q644)/Q641,0)</x:f>
        <x:v>1031.25</x:v>
      </x:c>
      <x:c r="R648" s="64" t="n">
        <x:f>IFERROR((R637+R644)/R641,0)</x:f>
        <x:v>1031.25</x:v>
      </x:c>
      <x:c r="S648" s="64" t="n">
        <x:f>IFERROR((S637+S644)/S641,0)</x:f>
        <x:v>1031.25</x:v>
      </x:c>
      <x:c r="T648" s="64" t="n">
        <x:f>IFERROR((T637+T644)/T641,0)</x:f>
        <x:v>1031.25</x:v>
      </x:c>
      <x:c r="U648" s="64" t="n">
        <x:f>IFERROR((U637+U644)/U641,0)</x:f>
        <x:v>1031.25</x:v>
      </x:c>
      <x:c r="V648" s="64" t="n">
        <x:f>IFERROR((V637+V644)/V641,0)</x:f>
        <x:v>1031.25</x:v>
      </x:c>
      <x:c r="W648" s="64" t="n">
        <x:f>IFERROR((W637+W644)/W641,0)</x:f>
        <x:v>1031.25</x:v>
      </x:c>
      <x:c r="X648" s="64" t="n">
        <x:f>IFERROR((X637+X644)/X641,0)</x:f>
        <x:v>1031.25</x:v>
      </x:c>
      <x:c r="Y648" s="64" t="n">
        <x:f>IFERROR((Y637+Y644)/Y641,0)</x:f>
        <x:v>1031.25</x:v>
      </x:c>
      <x:c r="Z648" s="64" t="n">
        <x:f>IFERROR((Z637+Z644)/Z641,0)</x:f>
        <x:v>1134.3750000000002</x:v>
      </x:c>
      <x:c r="AA648" s="64" t="n">
        <x:f>IFERROR((AA637+AA644)/AA641,0)</x:f>
        <x:v>1134.3750000000002</x:v>
      </x:c>
      <x:c r="AB648" s="64" t="n">
        <x:f>IFERROR((AB637+AB644)/AB641,0)</x:f>
        <x:v>1134.3750000000002</x:v>
      </x:c>
      <x:c r="AC648" s="64" t="n">
        <x:f>IFERROR((AC637+AC644)/AC641,0)</x:f>
        <x:v>1134.3750000000002</x:v>
      </x:c>
      <x:c r="AD648" s="64" t="n">
        <x:f>IFERROR((AD637+AD644)/AD641,0)</x:f>
        <x:v>1134.3750000000002</x:v>
      </x:c>
      <x:c r="AE648" s="64" t="n">
        <x:f>IFERROR((AE637+AE644)/AE641,0)</x:f>
        <x:v>1134.3750000000002</x:v>
      </x:c>
      <x:c r="AF648" s="64" t="n">
        <x:f>IFERROR((AF637+AF644)/AF641,0)</x:f>
        <x:v>1134.375</x:v>
      </x:c>
      <x:c r="AG648" s="64" t="n">
        <x:f>IFERROR((AG637+AG644)/AG641,0)</x:f>
        <x:v>1134.375</x:v>
      </x:c>
      <x:c r="AH648" s="64" t="n">
        <x:f>IFERROR((AH637+AH644)/AH641,0)</x:f>
        <x:v>1134.375</x:v>
      </x:c>
      <x:c r="AI648" s="64" t="n">
        <x:f>IFERROR((AI637+AI644)/AI641,0)</x:f>
        <x:v>1134.375</x:v>
      </x:c>
      <x:c r="AJ648" s="64" t="n">
        <x:f>IFERROR((AJ637+AJ644)/AJ641,0)</x:f>
        <x:v>1134.375</x:v>
      </x:c>
      <x:c r="AK648" s="64" t="n">
        <x:f>IFERROR((AK637+AK644)/AK641,0)</x:f>
        <x:v>1134.375</x:v>
      </x:c>
    </x:row>
    <x:row r="649" ht="18" customHeight="1">
      <x:c r="A649" s="4" t="str"/>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c r="AA649" s="58"/>
      <x:c r="AB649" s="58"/>
      <x:c r="AC649" s="58"/>
      <x:c r="AD649" s="58"/>
      <x:c r="AE649" s="58"/>
      <x:c r="AF649" s="58"/>
      <x:c r="AG649" s="58"/>
      <x:c r="AH649" s="58"/>
      <x:c r="AI649" s="58"/>
      <x:c r="AJ649" s="58"/>
      <x:c r="AK649" s="58"/>
    </x:row>
    <x:row r="650" ht="18" customHeight="1">
      <x:c r="A650" s="4" t="str">
        <x:v>New annual payers after refunds</x:v>
      </x:c>
      <x:c r="B650" s="58" t="n">
        <x:f>B642*'Scenario Inputs'!$C$27*(1-'Scenario Inputs'!$C$29)</x:f>
        <x:v>16.732499999999998</x:v>
      </x:c>
      <x:c r="C650" s="58" t="n">
        <x:f>C642*'Scenario Inputs'!$C$27*(1-'Scenario Inputs'!$C$29)</x:f>
        <x:v>18.042</x:v>
      </x:c>
      <x:c r="D650" s="58" t="n">
        <x:f>D642*'Scenario Inputs'!$C$27*(1-'Scenario Inputs'!$C$29)</x:f>
        <x:v>19.508639999999996</x:v>
      </x:c>
      <x:c r="E650" s="58" t="n">
        <x:f>E642*'Scenario Inputs'!$C$27*(1-'Scenario Inputs'!$C$29)</x:f>
        <x:v>26.971276800000002</x:v>
      </x:c>
      <x:c r="F650" s="58" t="n">
        <x:f>F642*'Scenario Inputs'!$C$27*(1-'Scenario Inputs'!$C$29)</x:f>
        <x:v>28.811030016</x:v>
      </x:c>
      <x:c r="G650" s="58" t="n">
        <x:f>G642*'Scenario Inputs'!$C$27*(1-'Scenario Inputs'!$C$29)</x:f>
        <x:v>30.871553617920004</x:v>
      </x:c>
      <x:c r="H650" s="58" t="n">
        <x:f>H642*'Scenario Inputs'!$C$27*(1-'Scenario Inputs'!$C$29)</x:f>
        <x:v>45.78934005207041</x:v>
      </x:c>
      <x:c r="I650" s="58" t="n">
        <x:f>I642*'Scenario Inputs'!$C$27*(1-'Scenario Inputs'!$C$29)</x:f>
        <x:v>48.374060858318856</x:v>
      </x:c>
      <x:c r="J650" s="58" t="n">
        <x:f>J642*'Scenario Inputs'!$C$27*(1-'Scenario Inputs'!$C$29)</x:f>
        <x:v>51.26894816131712</x:v>
      </x:c>
      <x:c r="K650" s="58" t="n">
        <x:f>K642*'Scenario Inputs'!$C$27*(1-'Scenario Inputs'!$C$29)</x:f>
        <x:v>54.511221940675185</x:v>
      </x:c>
      <x:c r="L650" s="58" t="n">
        <x:f>L642*'Scenario Inputs'!$C$27*(1-'Scenario Inputs'!$C$29)</x:f>
        <x:v>58.14256857355621</x:v>
      </x:c>
      <x:c r="M650" s="58" t="n">
        <x:f>M642*'Scenario Inputs'!$C$27*(1-'Scenario Inputs'!$C$29)</x:f>
        <x:v>62.20967680238296</x:v>
      </x:c>
      <x:c r="N650" s="58" t="n">
        <x:f>N642*'Scenario Inputs'!$C$27*(1-'Scenario Inputs'!$C$29)</x:f>
        <x:v>85.08736003748268</x:v>
      </x:c>
      <x:c r="O650" s="58" t="n">
        <x:f>O642*'Scenario Inputs'!$C$27*(1-'Scenario Inputs'!$C$29)</x:f>
        <x:v>88.36707611320857</x:v>
      </x:c>
      <x:c r="P650" s="58" t="n">
        <x:f>P642*'Scenario Inputs'!$C$27*(1-'Scenario Inputs'!$C$29)</x:f>
        <x:v>91.90916947499254</x:v>
      </x:c>
      <x:c r="Q650" s="58" t="n">
        <x:f>Q642*'Scenario Inputs'!$C$27*(1-'Scenario Inputs'!$C$29)</x:f>
        <x:v>95.73463030571921</x:v>
      </x:c>
      <x:c r="R650" s="58" t="n">
        <x:f>R642*'Scenario Inputs'!$C$27*(1-'Scenario Inputs'!$C$29)</x:f>
        <x:v>99.86612800290402</x:v>
      </x:c>
      <x:c r="S650" s="58" t="n">
        <x:f>S642*'Scenario Inputs'!$C$27*(1-'Scenario Inputs'!$C$29)</x:f>
        <x:v>104.32814551586364</x:v>
      </x:c>
      <x:c r="T650" s="58" t="n">
        <x:f>T642*'Scenario Inputs'!$C$27*(1-'Scenario Inputs'!$C$29)</x:f>
        <x:v>131.19257897531455</x:v>
      </x:c>
      <x:c r="U650" s="58" t="n">
        <x:f>U642*'Scenario Inputs'!$C$27*(1-'Scenario Inputs'!$C$29)</x:f>
        <x:v>136.3970762024306</x:v>
      </x:c>
      <x:c r="V650" s="58" t="n">
        <x:f>V642*'Scenario Inputs'!$C$27*(1-'Scenario Inputs'!$C$29)</x:f>
        <x:v>142.01793320771597</x:v>
      </x:c>
      <x:c r="W650" s="58" t="n">
        <x:f>W642*'Scenario Inputs'!$C$27*(1-'Scenario Inputs'!$C$29)</x:f>
        <x:v>148.08845877342418</x:v>
      </x:c>
      <x:c r="X650" s="58" t="n">
        <x:f>X642*'Scenario Inputs'!$C$27*(1-'Scenario Inputs'!$C$29)</x:f>
        <x:v>154.644626384389</x:v>
      </x:c>
      <x:c r="Y650" s="58" t="n">
        <x:f>Y642*'Scenario Inputs'!$C$27*(1-'Scenario Inputs'!$C$29)</x:f>
        <x:v>161.72528740423104</x:v>
      </x:c>
      <x:c r="Z650" s="58" t="n">
        <x:f>Z642*'Scenario Inputs'!$C$27*(1-'Scenario Inputs'!$C$29)</x:f>
        <x:v>181.48954845013782</x:v>
      </x:c>
      <x:c r="AA650" s="58" t="n">
        <x:f>AA642*'Scenario Inputs'!$C$27*(1-'Scenario Inputs'!$C$29)</x:f>
        <x:v>187.56900400177415</x:v>
      </x:c>
      <x:c r="AB650" s="58" t="n">
        <x:f>AB642*'Scenario Inputs'!$C$27*(1-'Scenario Inputs'!$C$29)</x:f>
        <x:v>194.01322688650873</x:v>
      </x:c>
      <x:c r="AC650" s="58" t="n">
        <x:f>AC642*'Scenario Inputs'!$C$27*(1-'Scenario Inputs'!$C$29)</x:f>
        <x:v>200.84410314432736</x:v>
      </x:c>
      <x:c r="AD650" s="58" t="n">
        <x:f>AD642*'Scenario Inputs'!$C$27*(1-'Scenario Inputs'!$C$29)</x:f>
        <x:v>208.08483197761512</x:v>
      </x:c>
      <x:c r="AE650" s="58" t="n">
        <x:f>AE642*'Scenario Inputs'!$C$27*(1-'Scenario Inputs'!$C$29)</x:f>
        <x:v>215.76000454090016</x:v>
      </x:c>
      <x:c r="AF650" s="58" t="n">
        <x:f>AF642*'Scenario Inputs'!$C$27*(1-'Scenario Inputs'!$C$29)</x:f>
        <x:v>243.93700977203184</x:v>
      </x:c>
      <x:c r="AG650" s="58" t="n">
        <x:f>AG642*'Scenario Inputs'!$C$27*(1-'Scenario Inputs'!$C$29)</x:f>
        <x:v>252.5608336641389</x:v>
      </x:c>
      <x:c r="AH650" s="58" t="n">
        <x:f>AH642*'Scenario Inputs'!$C$27*(1-'Scenario Inputs'!$C$29)</x:f>
        <x:v>261.70208698977234</x:v>
      </x:c>
      <x:c r="AI650" s="58" t="n">
        <x:f>AI642*'Scenario Inputs'!$C$27*(1-'Scenario Inputs'!$C$29)</x:f>
        <x:v>271.3918155149438</x:v>
      </x:c>
      <x:c r="AJ650" s="58" t="n">
        <x:f>AJ642*'Scenario Inputs'!$C$27*(1-'Scenario Inputs'!$C$29)</x:f>
        <x:v>281.66292775162555</x:v>
      </x:c>
      <x:c r="AK650" s="58" t="n">
        <x:f>AK642*'Scenario Inputs'!$C$27*(1-'Scenario Inputs'!$C$29)</x:f>
        <x:v>292.55030672250825</x:v>
      </x:c>
    </x:row>
    <x:row r="651" ht="18" customHeight="1">
      <x:c r="A651" s="4" t="str">
        <x:v>First annual renewals after refunds</x:v>
      </x:c>
      <x:c r="B651" s="58" t="n">
        <x:f>0*'Scenario Inputs'!$C$30*(1-'Scenario Inputs'!$C$29)</x:f>
        <x:v>0</x:v>
      </x:c>
      <x:c r="C651" s="58" t="n">
        <x:f>0*'Scenario Inputs'!$C$30*(1-'Scenario Inputs'!$C$29)</x:f>
        <x:v>0</x:v>
      </x:c>
      <x:c r="D651" s="58" t="n">
        <x:f>0*'Scenario Inputs'!$C$30*(1-'Scenario Inputs'!$C$29)</x:f>
        <x:v>0</x:v>
      </x:c>
      <x:c r="E651" s="58" t="n">
        <x:f>0*'Scenario Inputs'!$C$30*(1-'Scenario Inputs'!$C$29)</x:f>
        <x:v>0</x:v>
      </x:c>
      <x:c r="F651" s="58" t="n">
        <x:f>0*'Scenario Inputs'!$C$30*(1-'Scenario Inputs'!$C$29)</x:f>
        <x:v>0</x:v>
      </x:c>
      <x:c r="G651" s="58" t="n">
        <x:f>0*'Scenario Inputs'!$C$30*(1-'Scenario Inputs'!$C$29)</x:f>
        <x:v>0</x:v>
      </x:c>
      <x:c r="H651" s="58" t="n">
        <x:f>0*'Scenario Inputs'!$C$30*(1-'Scenario Inputs'!$C$29)</x:f>
        <x:v>0</x:v>
      </x:c>
      <x:c r="I651" s="58" t="n">
        <x:f>0*'Scenario Inputs'!$C$30*(1-'Scenario Inputs'!$C$29)</x:f>
        <x:v>0</x:v>
      </x:c>
      <x:c r="J651" s="58" t="n">
        <x:f>0*'Scenario Inputs'!$C$30*(1-'Scenario Inputs'!$C$29)</x:f>
        <x:v>0</x:v>
      </x:c>
      <x:c r="K651" s="58" t="n">
        <x:f>0*'Scenario Inputs'!$C$30*(1-'Scenario Inputs'!$C$29)</x:f>
        <x:v>0</x:v>
      </x:c>
      <x:c r="L651" s="58" t="n">
        <x:f>0*'Scenario Inputs'!$C$30*(1-'Scenario Inputs'!$C$29)</x:f>
        <x:v>0</x:v>
      </x:c>
      <x:c r="M651" s="58" t="n">
        <x:f>0*'Scenario Inputs'!$C$30*(1-'Scenario Inputs'!$C$29)</x:f>
        <x:v>0</x:v>
      </x:c>
      <x:c r="N651" s="58" t="n">
        <x:f>B650*'Scenario Inputs'!$C$30*(1-'Scenario Inputs'!$C$29)</x:f>
        <x:v>4.869157499999999</x:v>
      </x:c>
      <x:c r="O651" s="58" t="n">
        <x:f>C650*'Scenario Inputs'!$C$30*(1-'Scenario Inputs'!$C$29)</x:f>
        <x:v>5.250222</x:v>
      </x:c>
      <x:c r="P651" s="58" t="n">
        <x:f>D650*'Scenario Inputs'!$C$30*(1-'Scenario Inputs'!$C$29)</x:f>
        <x:v>5.677014239999998</x:v>
      </x:c>
      <x:c r="Q651" s="58" t="n">
        <x:f>E650*'Scenario Inputs'!$C$30*(1-'Scenario Inputs'!$C$29)</x:f>
        <x:v>7.8486415488</x:v>
      </x:c>
      <x:c r="R651" s="58" t="n">
        <x:f>F650*'Scenario Inputs'!$C$30*(1-'Scenario Inputs'!$C$29)</x:f>
        <x:v>8.384009734655999</x:v>
      </x:c>
      <x:c r="S651" s="58" t="n">
        <x:f>G650*'Scenario Inputs'!$C$30*(1-'Scenario Inputs'!$C$29)</x:f>
        <x:v>8.983622102814719</x:v>
      </x:c>
      <x:c r="T651" s="58" t="n">
        <x:f>H650*'Scenario Inputs'!$C$30*(1-'Scenario Inputs'!$C$29)</x:f>
        <x:v>13.324697955152487</x:v>
      </x:c>
      <x:c r="U651" s="58" t="n">
        <x:f>I650*'Scenario Inputs'!$C$30*(1-'Scenario Inputs'!$C$29)</x:f>
        <x:v>14.076851709770786</x:v>
      </x:c>
      <x:c r="V651" s="58" t="n">
        <x:f>J650*'Scenario Inputs'!$C$30*(1-'Scenario Inputs'!$C$29)</x:f>
        <x:v>14.919263914943281</x:v>
      </x:c>
      <x:c r="W651" s="58" t="n">
        <x:f>K650*'Scenario Inputs'!$C$30*(1-'Scenario Inputs'!$C$29)</x:f>
        <x:v>15.862765584736477</x:v>
      </x:c>
      <x:c r="X651" s="58" t="n">
        <x:f>L650*'Scenario Inputs'!$C$30*(1-'Scenario Inputs'!$C$29)</x:f>
        <x:v>16.919487454904857</x:v>
      </x:c>
      <x:c r="Y651" s="58" t="n">
        <x:f>M650*'Scenario Inputs'!$C$30*(1-'Scenario Inputs'!$C$29)</x:f>
        <x:v>18.10301594949344</x:v>
      </x:c>
      <x:c r="Z651" s="58" t="n">
        <x:f>N650*'Scenario Inputs'!$C$30*(1-'Scenario Inputs'!$C$29)</x:f>
        <x:v>24.76042177090746</x:v>
      </x:c>
      <x:c r="AA651" s="58" t="n">
        <x:f>O650*'Scenario Inputs'!$C$30*(1-'Scenario Inputs'!$C$29)</x:f>
        <x:v>25.71481914894369</x:v>
      </x:c>
      <x:c r="AB651" s="58" t="n">
        <x:f>P650*'Scenario Inputs'!$C$30*(1-'Scenario Inputs'!$C$29)</x:f>
        <x:v>26.745568317222826</x:v>
      </x:c>
      <x:c r="AC651" s="58" t="n">
        <x:f>Q650*'Scenario Inputs'!$C$30*(1-'Scenario Inputs'!$C$29)</x:f>
        <x:v>27.85877741896429</x:v>
      </x:c>
      <x:c r="AD651" s="58" t="n">
        <x:f>R650*'Scenario Inputs'!$C$30*(1-'Scenario Inputs'!$C$29)</x:f>
        <x:v>29.06104324884507</x:v>
      </x:c>
      <x:c r="AE651" s="58" t="n">
        <x:f>S650*'Scenario Inputs'!$C$30*(1-'Scenario Inputs'!$C$29)</x:f>
        <x:v>30.359490345116317</x:v>
      </x:c>
      <x:c r="AF651" s="58" t="n">
        <x:f>T650*'Scenario Inputs'!$C$30*(1-'Scenario Inputs'!$C$29)</x:f>
        <x:v>38.17704048181653</x:v>
      </x:c>
      <x:c r="AG651" s="58" t="n">
        <x:f>U650*'Scenario Inputs'!$C$30*(1-'Scenario Inputs'!$C$29)</x:f>
        <x:v>39.69154917490731</x:v>
      </x:c>
      <x:c r="AH651" s="58" t="n">
        <x:f>V650*'Scenario Inputs'!$C$30*(1-'Scenario Inputs'!$C$29)</x:f>
        <x:v>41.32721856344535</x:v>
      </x:c>
      <x:c r="AI651" s="58" t="n">
        <x:f>W650*'Scenario Inputs'!$C$30*(1-'Scenario Inputs'!$C$29)</x:f>
        <x:v>43.09374150306644</x:v>
      </x:c>
      <x:c r="AJ651" s="58" t="n">
        <x:f>X650*'Scenario Inputs'!$C$30*(1-'Scenario Inputs'!$C$29)</x:f>
        <x:v>45.0015862778572</x:v>
      </x:c>
      <x:c r="AK651" s="58" t="n">
        <x:f>Y650*'Scenario Inputs'!$C$30*(1-'Scenario Inputs'!$C$29)</x:f>
        <x:v>47.06205863463123</x:v>
      </x:c>
    </x:row>
    <x:row r="652" ht="18" customHeight="1">
      <x:c r="A652" s="4" t="str">
        <x:v>Second annual renewals after refunds</x:v>
      </x:c>
      <x:c r="B652" s="58" t="n">
        <x:f>0*'Scenario Inputs'!$C$31*(1-'Scenario Inputs'!$C$29)</x:f>
        <x:v>0</x:v>
      </x:c>
      <x:c r="C652" s="58" t="n">
        <x:f>0*'Scenario Inputs'!$C$31*(1-'Scenario Inputs'!$C$29)</x:f>
        <x:v>0</x:v>
      </x:c>
      <x:c r="D652" s="58" t="n">
        <x:f>0*'Scenario Inputs'!$C$31*(1-'Scenario Inputs'!$C$29)</x:f>
        <x:v>0</x:v>
      </x:c>
      <x:c r="E652" s="58" t="n">
        <x:f>0*'Scenario Inputs'!$C$31*(1-'Scenario Inputs'!$C$29)</x:f>
        <x:v>0</x:v>
      </x:c>
      <x:c r="F652" s="58" t="n">
        <x:f>0*'Scenario Inputs'!$C$31*(1-'Scenario Inputs'!$C$29)</x:f>
        <x:v>0</x:v>
      </x:c>
      <x:c r="G652" s="58" t="n">
        <x:f>0*'Scenario Inputs'!$C$31*(1-'Scenario Inputs'!$C$29)</x:f>
        <x:v>0</x:v>
      </x:c>
      <x:c r="H652" s="58" t="n">
        <x:f>0*'Scenario Inputs'!$C$31*(1-'Scenario Inputs'!$C$29)</x:f>
        <x:v>0</x:v>
      </x:c>
      <x:c r="I652" s="58" t="n">
        <x:f>0*'Scenario Inputs'!$C$31*(1-'Scenario Inputs'!$C$29)</x:f>
        <x:v>0</x:v>
      </x:c>
      <x:c r="J652" s="58" t="n">
        <x:f>0*'Scenario Inputs'!$C$31*(1-'Scenario Inputs'!$C$29)</x:f>
        <x:v>0</x:v>
      </x:c>
      <x:c r="K652" s="58" t="n">
        <x:f>0*'Scenario Inputs'!$C$31*(1-'Scenario Inputs'!$C$29)</x:f>
        <x:v>0</x:v>
      </x:c>
      <x:c r="L652" s="58" t="n">
        <x:f>0*'Scenario Inputs'!$C$31*(1-'Scenario Inputs'!$C$29)</x:f>
        <x:v>0</x:v>
      </x:c>
      <x:c r="M652" s="58" t="n">
        <x:f>0*'Scenario Inputs'!$C$31*(1-'Scenario Inputs'!$C$29)</x:f>
        <x:v>0</x:v>
      </x:c>
      <x:c r="N652" s="58" t="n">
        <x:f>B651*'Scenario Inputs'!$C$31*(1-'Scenario Inputs'!$C$29)</x:f>
        <x:v>0</x:v>
      </x:c>
      <x:c r="O652" s="58" t="n">
        <x:f>C651*'Scenario Inputs'!$C$31*(1-'Scenario Inputs'!$C$29)</x:f>
        <x:v>0</x:v>
      </x:c>
      <x:c r="P652" s="58" t="n">
        <x:f>D651*'Scenario Inputs'!$C$31*(1-'Scenario Inputs'!$C$29)</x:f>
        <x:v>0</x:v>
      </x:c>
      <x:c r="Q652" s="58" t="n">
        <x:f>E651*'Scenario Inputs'!$C$31*(1-'Scenario Inputs'!$C$29)</x:f>
        <x:v>0</x:v>
      </x:c>
      <x:c r="R652" s="58" t="n">
        <x:f>F651*'Scenario Inputs'!$C$31*(1-'Scenario Inputs'!$C$29)</x:f>
        <x:v>0</x:v>
      </x:c>
      <x:c r="S652" s="58" t="n">
        <x:f>G651*'Scenario Inputs'!$C$31*(1-'Scenario Inputs'!$C$29)</x:f>
        <x:v>0</x:v>
      </x:c>
      <x:c r="T652" s="58" t="n">
        <x:f>H651*'Scenario Inputs'!$C$31*(1-'Scenario Inputs'!$C$29)</x:f>
        <x:v>0</x:v>
      </x:c>
      <x:c r="U652" s="58" t="n">
        <x:f>I651*'Scenario Inputs'!$C$31*(1-'Scenario Inputs'!$C$29)</x:f>
        <x:v>0</x:v>
      </x:c>
      <x:c r="V652" s="58" t="n">
        <x:f>J651*'Scenario Inputs'!$C$31*(1-'Scenario Inputs'!$C$29)</x:f>
        <x:v>0</x:v>
      </x:c>
      <x:c r="W652" s="58" t="n">
        <x:f>K651*'Scenario Inputs'!$C$31*(1-'Scenario Inputs'!$C$29)</x:f>
        <x:v>0</x:v>
      </x:c>
      <x:c r="X652" s="58" t="n">
        <x:f>L651*'Scenario Inputs'!$C$31*(1-'Scenario Inputs'!$C$29)</x:f>
        <x:v>0</x:v>
      </x:c>
      <x:c r="Y652" s="58" t="n">
        <x:f>M651*'Scenario Inputs'!$C$31*(1-'Scenario Inputs'!$C$29)</x:f>
        <x:v>0</x:v>
      </x:c>
      <x:c r="Z652" s="58" t="n">
        <x:f>N651*'Scenario Inputs'!$C$31*(1-'Scenario Inputs'!$C$29)</x:f>
        <x:v>2.59769552625</x:v>
      </x:c>
      <x:c r="AA652" s="58" t="n">
        <x:f>O651*'Scenario Inputs'!$C$31*(1-'Scenario Inputs'!$C$29)</x:f>
        <x:v>2.8009934370000003</x:v>
      </x:c>
      <x:c r="AB652" s="58" t="n">
        <x:f>P651*'Scenario Inputs'!$C$31*(1-'Scenario Inputs'!$C$29)</x:f>
        <x:v>3.0286870970399993</x:v>
      </x:c>
      <x:c r="AC652" s="58" t="n">
        <x:f>Q651*'Scenario Inputs'!$C$31*(1-'Scenario Inputs'!$C$29)</x:f>
        <x:v>4.1872502662848</x:v>
      </x:c>
      <x:c r="AD652" s="58" t="n">
        <x:f>R651*'Scenario Inputs'!$C$31*(1-'Scenario Inputs'!$C$29)</x:f>
        <x:v>4.472869193438976</x:v>
      </x:c>
      <x:c r="AE652" s="58" t="n">
        <x:f>S651*'Scenario Inputs'!$C$31*(1-'Scenario Inputs'!$C$29)</x:f>
        <x:v>4.792762391851653</x:v>
      </x:c>
      <x:c r="AF652" s="58" t="n">
        <x:f>T651*'Scenario Inputs'!$C$31*(1-'Scenario Inputs'!$C$29)</x:f>
        <x:v>7.108726359073852</x:v>
      </x:c>
      <x:c r="AG652" s="58" t="n">
        <x:f>U651*'Scenario Inputs'!$C$31*(1-'Scenario Inputs'!$C$29)</x:f>
        <x:v>7.510000387162715</x:v>
      </x:c>
      <x:c r="AH652" s="58" t="n">
        <x:f>V651*'Scenario Inputs'!$C$31*(1-'Scenario Inputs'!$C$29)</x:f>
        <x:v>7.959427298622241</x:v>
      </x:c>
      <x:c r="AI652" s="58" t="n">
        <x:f>W651*'Scenario Inputs'!$C$31*(1-'Scenario Inputs'!$C$29)</x:f>
        <x:v>8.46278543945691</x:v>
      </x:c>
      <x:c r="AJ652" s="58" t="n">
        <x:f>X651*'Scenario Inputs'!$C$31*(1-'Scenario Inputs'!$C$29)</x:f>
        <x:v>9.026546557191743</x:v>
      </x:c>
      <x:c r="AK652" s="58" t="n">
        <x:f>Y651*'Scenario Inputs'!$C$31*(1-'Scenario Inputs'!$C$29)</x:f>
        <x:v>9.65795900905475</x:v>
      </x:c>
    </x:row>
    <x:row r="653" ht="18" customHeight="1">
      <x:c r="A653" s="4" t="str">
        <x:v>Annual terms ending this month</x:v>
      </x:c>
      <x:c r="B653" s="58" t="n">
        <x:f>0+0+0</x:f>
        <x:v>0</x:v>
      </x:c>
      <x:c r="C653" s="58" t="n">
        <x:f>0+0+0</x:f>
        <x:v>0</x:v>
      </x:c>
      <x:c r="D653" s="58" t="n">
        <x:f>0+0+0</x:f>
        <x:v>0</x:v>
      </x:c>
      <x:c r="E653" s="58" t="n">
        <x:f>0+0+0</x:f>
        <x:v>0</x:v>
      </x:c>
      <x:c r="F653" s="58" t="n">
        <x:f>0+0+0</x:f>
        <x:v>0</x:v>
      </x:c>
      <x:c r="G653" s="58" t="n">
        <x:f>0+0+0</x:f>
        <x:v>0</x:v>
      </x:c>
      <x:c r="H653" s="58" t="n">
        <x:f>0+0+0</x:f>
        <x:v>0</x:v>
      </x:c>
      <x:c r="I653" s="58" t="n">
        <x:f>0+0+0</x:f>
        <x:v>0</x:v>
      </x:c>
      <x:c r="J653" s="58" t="n">
        <x:f>0+0+0</x:f>
        <x:v>0</x:v>
      </x:c>
      <x:c r="K653" s="58" t="n">
        <x:f>0+0+0</x:f>
        <x:v>0</x:v>
      </x:c>
      <x:c r="L653" s="58" t="n">
        <x:f>0+0+0</x:f>
        <x:v>0</x:v>
      </x:c>
      <x:c r="M653" s="58" t="n">
        <x:f>0+0+0</x:f>
        <x:v>0</x:v>
      </x:c>
      <x:c r="N653" s="58" t="n">
        <x:f>B650+B651+B652</x:f>
        <x:v>16.732499999999998</x:v>
      </x:c>
      <x:c r="O653" s="58" t="n">
        <x:f>C650+C651+C652</x:f>
        <x:v>18.042</x:v>
      </x:c>
      <x:c r="P653" s="58" t="n">
        <x:f>D650+D651+D652</x:f>
        <x:v>19.508639999999996</x:v>
      </x:c>
      <x:c r="Q653" s="58" t="n">
        <x:f>E650+E651+E652</x:f>
        <x:v>26.971276800000002</x:v>
      </x:c>
      <x:c r="R653" s="58" t="n">
        <x:f>F650+F651+F652</x:f>
        <x:v>28.811030016</x:v>
      </x:c>
      <x:c r="S653" s="58" t="n">
        <x:f>G650+G651+G652</x:f>
        <x:v>30.871553617920004</x:v>
      </x:c>
      <x:c r="T653" s="58" t="n">
        <x:f>H650+H651+H652</x:f>
        <x:v>45.78934005207041</x:v>
      </x:c>
      <x:c r="U653" s="58" t="n">
        <x:f>I650+I651+I652</x:f>
        <x:v>48.374060858318856</x:v>
      </x:c>
      <x:c r="V653" s="58" t="n">
        <x:f>J650+J651+J652</x:f>
        <x:v>51.26894816131712</x:v>
      </x:c>
      <x:c r="W653" s="58" t="n">
        <x:f>K650+K651+K652</x:f>
        <x:v>54.511221940675185</x:v>
      </x:c>
      <x:c r="X653" s="58" t="n">
        <x:f>L650+L651+L652</x:f>
        <x:v>58.14256857355621</x:v>
      </x:c>
      <x:c r="Y653" s="58" t="n">
        <x:f>M650+M651+M652</x:f>
        <x:v>62.20967680238296</x:v>
      </x:c>
      <x:c r="Z653" s="58" t="n">
        <x:f>N650+N651+N652</x:f>
        <x:v>89.95651753748268</x:v>
      </x:c>
      <x:c r="AA653" s="58" t="n">
        <x:f>O650+O651+O652</x:f>
        <x:v>93.61729811320856</x:v>
      </x:c>
      <x:c r="AB653" s="58" t="n">
        <x:f>P650+P651+P652</x:f>
        <x:v>97.58618371499253</x:v>
      </x:c>
      <x:c r="AC653" s="58" t="n">
        <x:f>Q650+Q651+Q652</x:f>
        <x:v>103.58327185451921</x:v>
      </x:c>
      <x:c r="AD653" s="58" t="n">
        <x:f>R650+R651+R652</x:f>
        <x:v>108.25013773756002</x:v>
      </x:c>
      <x:c r="AE653" s="58" t="n">
        <x:f>S650+S651+S652</x:f>
        <x:v>113.31176761867836</x:v>
      </x:c>
      <x:c r="AF653" s="58" t="n">
        <x:f>T650+T651+T652</x:f>
        <x:v>144.51727693046703</x:v>
      </x:c>
      <x:c r="AG653" s="58" t="n">
        <x:f>U650+U651+U652</x:f>
        <x:v>150.4739279122014</x:v>
      </x:c>
      <x:c r="AH653" s="58" t="n">
        <x:f>V650+V651+V652</x:f>
        <x:v>156.93719712265926</x:v>
      </x:c>
      <x:c r="AI653" s="58" t="n">
        <x:f>W650+W651+W652</x:f>
        <x:v>163.95122435816066</x:v>
      </x:c>
      <x:c r="AJ653" s="58" t="n">
        <x:f>X650+X651+X652</x:f>
        <x:v>171.56411383929387</x:v>
      </x:c>
      <x:c r="AK653" s="58" t="n">
        <x:f>Y650+Y651+Y652</x:f>
        <x:v>179.8283033537245</x:v>
      </x:c>
    </x:row>
    <x:row r="654" ht="18" customHeight="1">
      <x:c r="A654" s="74" t="str">
        <x:v>ACTIVE ANNUAL SUBSCRIBERS</x:v>
      </x:c>
      <x:c r="B654" s="75" t="n">
        <x:f>0+SUM(B650:B652)-B653</x:f>
        <x:v>16.732499999999998</x:v>
      </x:c>
      <x:c r="C654" s="75" t="n">
        <x:f>B654+SUM(C650:C652)-C653</x:f>
        <x:v>34.7745</x:v>
      </x:c>
      <x:c r="D654" s="75" t="n">
        <x:f>C654+SUM(D650:D652)-D653</x:f>
        <x:v>54.28314</x:v>
      </x:c>
      <x:c r="E654" s="75" t="n">
        <x:f>D654+SUM(E650:E652)-E653</x:f>
        <x:v>81.2544168</x:v>
      </x:c>
      <x:c r="F654" s="75" t="n">
        <x:f>E654+SUM(F650:F652)-F653</x:f>
        <x:v>110.065446816</x:v>
      </x:c>
      <x:c r="G654" s="75" t="n">
        <x:f>F654+SUM(G650:G652)-G653</x:f>
        <x:v>140.93700043392002</x:v>
      </x:c>
      <x:c r="H654" s="75" t="n">
        <x:f>G654+SUM(H650:H652)-H653</x:f>
        <x:v>186.72634048599042</x:v>
      </x:c>
      <x:c r="I654" s="75" t="n">
        <x:f>H654+SUM(I650:I652)-I653</x:f>
        <x:v>235.10040134430926</x:v>
      </x:c>
      <x:c r="J654" s="75" t="n">
        <x:f>I654+SUM(J650:J652)-J653</x:f>
        <x:v>286.36934950562636</x:v>
      </x:c>
      <x:c r="K654" s="75" t="n">
        <x:f>J654+SUM(K650:K652)-K653</x:f>
        <x:v>340.88057144630153</x:v>
      </x:c>
      <x:c r="L654" s="75" t="n">
        <x:f>K654+SUM(L650:L652)-L653</x:f>
        <x:v>399.02314001985775</x:v>
      </x:c>
      <x:c r="M654" s="75" t="n">
        <x:f>L654+SUM(M650:M652)-M653</x:f>
        <x:v>461.2328168222407</x:v>
      </x:c>
      <x:c r="N654" s="75" t="n">
        <x:f>M654+SUM(N650:N652)-N653</x:f>
        <x:v>534.4568343597234</x:v>
      </x:c>
      <x:c r="O654" s="75" t="n">
        <x:f>N654+SUM(O650:O652)-O653</x:f>
        <x:v>610.032132472932</x:v>
      </x:c>
      <x:c r="P654" s="75" t="n">
        <x:f>O654+SUM(P650:P652)-P653</x:f>
        <x:v>688.1096761879245</x:v>
      </x:c>
      <x:c r="Q654" s="75" t="n">
        <x:f>P654+SUM(Q650:Q652)-Q653</x:f>
        <x:v>764.7216712424437</x:v>
      </x:c>
      <x:c r="R654" s="75" t="n">
        <x:f>Q654+SUM(R650:R652)-R653</x:f>
        <x:v>844.1607789640037</x:v>
      </x:c>
      <x:c r="S654" s="75" t="n">
        <x:f>R654+SUM(S650:S652)-S653</x:f>
        <x:v>926.6009929647621</x:v>
      </x:c>
      <x:c r="T654" s="75" t="n">
        <x:f>S654+SUM(T650:T652)-T653</x:f>
        <x:v>1025.3289298431587</x:v>
      </x:c>
      <x:c r="U654" s="75" t="n">
        <x:f>T654+SUM(U650:U652)-U653</x:f>
        <x:v>1127.4287968970411</x:v>
      </x:c>
      <x:c r="V654" s="75" t="n">
        <x:f>U654+SUM(V650:V652)-V653</x:f>
        <x:v>1233.0970458583831</x:v>
      </x:c>
      <x:c r="W654" s="75" t="n">
        <x:f>V654+SUM(W650:W652)-W653</x:f>
        <x:v>1342.5370482758688</x:v>
      </x:c>
      <x:c r="X654" s="75" t="n">
        <x:f>W654+SUM(X650:X652)-X653</x:f>
        <x:v>1455.9585935416064</x:v>
      </x:c>
      <x:c r="Y654" s="75" t="n">
        <x:f>X654+SUM(Y650:Y652)-Y653</x:f>
        <x:v>1573.577220092948</x:v>
      </x:c>
      <x:c r="Z654" s="75" t="n">
        <x:f>Y654+SUM(Z650:Z652)-Z653</x:f>
        <x:v>1692.4683683027606</x:v>
      </x:c>
      <x:c r="AA654" s="75" t="n">
        <x:f>Z654+SUM(AA650:AA652)-AA653</x:f>
        <x:v>1814.9358867772698</x:v>
      </x:c>
      <x:c r="AB654" s="75" t="n">
        <x:f>AA654+SUM(AB650:AB652)-AB653</x:f>
        <x:v>1941.1371853630487</x:v>
      </x:c>
      <x:c r="AC654" s="75" t="n">
        <x:f>AB654+SUM(AC650:AC652)-AC653</x:f>
        <x:v>2070.444044338106</x:v>
      </x:c>
      <x:c r="AD654" s="75" t="n">
        <x:f>AC654+SUM(AD650:AD652)-AD653</x:f>
        <x:v>2203.8126510204447</x:v>
      </x:c>
      <x:c r="AE654" s="75" t="n">
        <x:f>AD654+SUM(AE650:AE652)-AE653</x:f>
        <x:v>2341.4131406796346</x:v>
      </x:c>
      <x:c r="AF654" s="75" t="n">
        <x:f>AE654+SUM(AF650:AF652)-AF653</x:f>
        <x:v>2486.1186403620895</x:v>
      </x:c>
      <x:c r="AG654" s="75" t="n">
        <x:f>AF654+SUM(AG650:AG652)-AG653</x:f>
        <x:v>2635.407095676097</x:v>
      </x:c>
      <x:c r="AH654" s="75" t="n">
        <x:f>AG654+SUM(AH650:AH652)-AH653</x:f>
        <x:v>2789.4586314052776</x:v>
      </x:c>
      <x:c r="AI654" s="75" t="n">
        <x:f>AH654+SUM(AI650:AI652)-AI653</x:f>
        <x:v>2948.455749504584</x:v>
      </x:c>
      <x:c r="AJ654" s="75" t="n">
        <x:f>AI654+SUM(AJ650:AJ652)-AJ653</x:f>
        <x:v>3112.582696251965</x:v>
      </x:c>
      <x:c r="AK654" s="75" t="n">
        <x:f>AJ654+SUM(AK650:AK652)-AK653</x:f>
        <x:v>3282.024717264435</x:v>
      </x:c>
    </x:row>
    <x:row r="655" ht="18" customHeight="1">
      <x:c r="A655" s="4" t="str">
        <x:v>Annual charge events before refunds</x:v>
      </x:c>
      <x:c r="B655" s="58" t="n">
        <x:f>SUM(B650:B652)/(1-'Scenario Inputs'!$C$29)</x:f>
        <x:v>17.25</x:v>
      </x:c>
      <x:c r="C655" s="58" t="n">
        <x:f>SUM(C650:C652)/(1-'Scenario Inputs'!$C$29)</x:f>
        <x:v>18.6</x:v>
      </x:c>
      <x:c r="D655" s="58" t="n">
        <x:f>SUM(D650:D652)/(1-'Scenario Inputs'!$C$29)</x:f>
        <x:v>20.112</x:v>
      </x:c>
      <x:c r="E655" s="58" t="n">
        <x:f>SUM(E650:E652)/(1-'Scenario Inputs'!$C$29)</x:f>
        <x:v>27.805440000000004</x:v>
      </x:c>
      <x:c r="F655" s="58" t="n">
        <x:f>SUM(F650:F652)/(1-'Scenario Inputs'!$C$29)</x:f>
        <x:v>29.702092800000003</x:v>
      </x:c>
      <x:c r="G655" s="58" t="n">
        <x:f>SUM(G650:G652)/(1-'Scenario Inputs'!$C$29)</x:f>
        <x:v>31.826343936000004</x:v>
      </x:c>
      <x:c r="H655" s="58" t="n">
        <x:f>SUM(H650:H652)/(1-'Scenario Inputs'!$C$29)</x:f>
        <x:v>47.20550520832001</x:v>
      </x:c>
      <x:c r="I655" s="58" t="n">
        <x:f>SUM(I650:I652)/(1-'Scenario Inputs'!$C$29)</x:f>
        <x:v>49.87016583331841</x:v>
      </x:c>
      <x:c r="J655" s="58" t="n">
        <x:f>SUM(J650:J652)/(1-'Scenario Inputs'!$C$29)</x:f>
        <x:v>52.85458573331662</x:v>
      </x:c>
      <x:c r="K655" s="58" t="n">
        <x:f>SUM(K650:K652)/(1-'Scenario Inputs'!$C$29)</x:f>
        <x:v>56.19713602131463</x:v>
      </x:c>
      <x:c r="L655" s="58" t="n">
        <x:f>SUM(L650:L652)/(1-'Scenario Inputs'!$C$29)</x:f>
        <x:v>59.94079234387238</x:v>
      </x:c>
      <x:c r="M655" s="58" t="n">
        <x:f>SUM(M650:M652)/(1-'Scenario Inputs'!$C$29)</x:f>
        <x:v>64.13368742513707</x:v>
      </x:c>
      <x:c r="N655" s="58" t="n">
        <x:f>SUM(N650:N652)/(1-'Scenario Inputs'!$C$29)</x:f>
        <x:v>92.73867787369349</x:v>
      </x:c>
      <x:c r="O655" s="58" t="n">
        <x:f>SUM(O650:O652)/(1-'Scenario Inputs'!$C$29)</x:f>
        <x:v>96.51267846722533</x:v>
      </x:c>
      <x:c r="P655" s="58" t="n">
        <x:f>SUM(P650:P652)/(1-'Scenario Inputs'!$C$29)</x:f>
        <x:v>100.60431310823972</x:v>
      </x:c>
      <x:c r="Q655" s="58" t="n">
        <x:f>SUM(Q650:Q652)/(1-'Scenario Inputs'!$C$29)</x:f>
        <x:v>106.78687820053527</x:v>
      </x:c>
      <x:c r="R655" s="58" t="n">
        <x:f>SUM(R650:R652)/(1-'Scenario Inputs'!$C$29)</x:f>
        <x:v>111.59808014181446</x:v>
      </x:c>
      <x:c r="S655" s="58" t="n">
        <x:f>SUM(S650:S652)/(1-'Scenario Inputs'!$C$29)</x:f>
        <x:v>116.816255276988</x:v>
      </x:c>
      <x:c r="T655" s="58" t="n">
        <x:f>SUM(T650:T652)/(1-'Scenario Inputs'!$C$29)</x:f>
        <x:v>148.98688343347118</x:v>
      </x:c>
      <x:c r="U655" s="58" t="n">
        <x:f>SUM(U650:U652)/(1-'Scenario Inputs'!$C$29)</x:f>
        <x:v>155.12776073422825</x:v>
      </x:c>
      <x:c r="V655" s="58" t="n">
        <x:f>SUM(V650:V652)/(1-'Scenario Inputs'!$C$29)</x:f>
        <x:v>161.79092486872088</x:v>
      </x:c>
      <x:c r="W655" s="58" t="n">
        <x:f>SUM(W650:W652)/(1-'Scenario Inputs'!$C$29)</x:f>
        <x:v>169.02188078160893</x:v>
      </x:c>
      <x:c r="X655" s="58" t="n">
        <x:f>SUM(X650:X652)/(1-'Scenario Inputs'!$C$29)</x:f>
        <x:v>176.8702204528803</x:v>
      </x:c>
      <x:c r="Y655" s="58" t="n">
        <x:f>SUM(Y650:Y652)/(1-'Scenario Inputs'!$C$29)</x:f>
        <x:v>185.39000345744793</x:v>
      </x:c>
      <x:c r="Z655" s="58" t="n">
        <x:f>SUM(Z650:Z652)/(1-'Scenario Inputs'!$C$29)</x:f>
        <x:v>215.30687190442814</x:v>
      </x:c>
      <x:c r="AA655" s="58" t="n">
        <x:f>SUM(AA650:AA652)/(1-'Scenario Inputs'!$C$29)</x:f>
        <x:v>222.76785215228642</x:v>
      </x:c>
      <x:c r="AB655" s="58" t="n">
        <x:f>SUM(AB650:AB652)/(1-'Scenario Inputs'!$C$29)</x:f>
        <x:v>230.7087446399707</x:v>
      </x:c>
      <x:c r="AC655" s="58" t="n">
        <x:f>SUM(AC650:AC652)/(1-'Scenario Inputs'!$C$29)</x:f>
        <x:v>240.09291838100665</x:v>
      </x:c>
      <x:c r="AD655" s="58" t="n">
        <x:f>SUM(AD650:AD652)/(1-'Scenario Inputs'!$C$29)</x:f>
        <x:v>249.09148909267955</x:v>
      </x:c>
      <x:c r="AE655" s="58" t="n">
        <x:f>SUM(AE650:AE652)/(1-'Scenario Inputs'!$C$29)</x:f>
        <x:v>258.6724301833692</x:v>
      </x:c>
      <x:c r="AF655" s="58" t="n">
        <x:f>SUM(AF650:AF652)/(1-'Scenario Inputs'!$C$29)</x:f>
        <x:v>298.167810941157</x:v>
      </x:c>
      <x:c r="AG655" s="58" t="n">
        <x:f>SUM(AG650:AG652)/(1-'Scenario Inputs'!$C$29)</x:f>
        <x:v>309.0333847692876</x:v>
      </x:c>
      <x:c r="AH655" s="58" t="n">
        <x:f>SUM(AH650:AH652)/(1-'Scenario Inputs'!$C$29)</x:f>
        <x:v>320.60694108437104</x:v>
      </x:c>
      <x:c r="AI655" s="58" t="n">
        <x:f>SUM(AI650:AI652)/(1-'Scenario Inputs'!$C$29)</x:f>
        <x:v>332.93643552316206</x:v>
      </x:c>
      <x:c r="AJ655" s="58" t="n">
        <x:f>SUM(AJ650:AJ652)/(1-'Scenario Inputs'!$C$29)</x:f>
        <x:v>346.0732583367778</x:v>
      </x:c>
      <x:c r="AK655" s="58" t="n">
        <x:f>SUM(AK650:AK652)/(1-'Scenario Inputs'!$C$29)</x:f>
        <x:v>360.072499346592</x:v>
      </x:c>
    </x:row>
    <x:row r="656" ht="18" customHeight="1">
      <x:c r="A656" s="4" t="str"/>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c r="AA656" s="58"/>
      <x:c r="AB656" s="58"/>
      <x:c r="AC656" s="58"/>
      <x:c r="AD656" s="58"/>
      <x:c r="AE656" s="58"/>
      <x:c r="AF656" s="58"/>
      <x:c r="AG656" s="58"/>
      <x:c r="AH656" s="58"/>
      <x:c r="AI656" s="58"/>
      <x:c r="AJ656" s="58"/>
      <x:c r="AK656" s="58"/>
    </x:row>
    <x:row r="657" ht="18" customHeight="1">
      <x:c r="A657" s="4" t="str">
        <x:v>New monthly payers after refunds</x:v>
      </x:c>
      <x:c r="B657" s="58" t="n">
        <x:f>B642*(1-'Scenario Inputs'!$C$27)*(1-'Scenario Inputs'!$C$29)</x:f>
        <x:v>5.5775</x:v>
      </x:c>
      <x:c r="C657" s="58" t="n">
        <x:f>C642*(1-'Scenario Inputs'!$C$27)*(1-'Scenario Inputs'!$C$29)</x:f>
        <x:v>6.014</x:v>
      </x:c>
      <x:c r="D657" s="58" t="n">
        <x:f>D642*(1-'Scenario Inputs'!$C$27)*(1-'Scenario Inputs'!$C$29)</x:f>
        <x:v>6.502879999999999</x:v>
      </x:c>
      <x:c r="E657" s="58" t="n">
        <x:f>E642*(1-'Scenario Inputs'!$C$27)*(1-'Scenario Inputs'!$C$29)</x:f>
        <x:v>8.9904256</x:v>
      </x:c>
      <x:c r="F657" s="58" t="n">
        <x:f>F642*(1-'Scenario Inputs'!$C$27)*(1-'Scenario Inputs'!$C$29)</x:f>
        <x:v>9.603676672</x:v>
      </x:c>
      <x:c r="G657" s="58" t="n">
        <x:f>G642*(1-'Scenario Inputs'!$C$27)*(1-'Scenario Inputs'!$C$29)</x:f>
        <x:v>10.29051787264</x:v>
      </x:c>
      <x:c r="H657" s="58" t="n">
        <x:f>H642*(1-'Scenario Inputs'!$C$27)*(1-'Scenario Inputs'!$C$29)</x:f>
        <x:v>15.263113350690137</x:v>
      </x:c>
      <x:c r="I657" s="58" t="n">
        <x:f>I642*(1-'Scenario Inputs'!$C$27)*(1-'Scenario Inputs'!$C$29)</x:f>
        <x:v>16.12468695277295</x:v>
      </x:c>
      <x:c r="J657" s="58" t="n">
        <x:f>J642*(1-'Scenario Inputs'!$C$27)*(1-'Scenario Inputs'!$C$29)</x:f>
        <x:v>17.089649387105705</x:v>
      </x:c>
      <x:c r="K657" s="58" t="n">
        <x:f>K642*(1-'Scenario Inputs'!$C$27)*(1-'Scenario Inputs'!$C$29)</x:f>
        <x:v>18.170407313558396</x:v>
      </x:c>
      <x:c r="L657" s="58" t="n">
        <x:f>L642*(1-'Scenario Inputs'!$C$27)*(1-'Scenario Inputs'!$C$29)</x:f>
        <x:v>19.3808561911854</x:v>
      </x:c>
      <x:c r="M657" s="58" t="n">
        <x:f>M642*(1-'Scenario Inputs'!$C$27)*(1-'Scenario Inputs'!$C$29)</x:f>
        <x:v>20.73655893412765</x:v>
      </x:c>
      <x:c r="N657" s="58" t="n">
        <x:f>N642*(1-'Scenario Inputs'!$C$27)*(1-'Scenario Inputs'!$C$29)</x:f>
        <x:v>28.36245334582756</x:v>
      </x:c>
      <x:c r="O657" s="58" t="n">
        <x:f>O642*(1-'Scenario Inputs'!$C$27)*(1-'Scenario Inputs'!$C$29)</x:f>
        <x:v>29.455692037736192</x:v>
      </x:c>
      <x:c r="P657" s="58" t="n">
        <x:f>P642*(1-'Scenario Inputs'!$C$27)*(1-'Scenario Inputs'!$C$29)</x:f>
        <x:v>30.636389824997515</x:v>
      </x:c>
      <x:c r="Q657" s="58" t="n">
        <x:f>Q642*(1-'Scenario Inputs'!$C$27)*(1-'Scenario Inputs'!$C$29)</x:f>
        <x:v>31.911543435239736</x:v>
      </x:c>
      <x:c r="R657" s="58" t="n">
        <x:f>R642*(1-'Scenario Inputs'!$C$27)*(1-'Scenario Inputs'!$C$29)</x:f>
        <x:v>33.288709334301345</x:v>
      </x:c>
      <x:c r="S657" s="58" t="n">
        <x:f>S642*(1-'Scenario Inputs'!$C$27)*(1-'Scenario Inputs'!$C$29)</x:f>
        <x:v>34.776048505287875</x:v>
      </x:c>
      <x:c r="T657" s="58" t="n">
        <x:f>T642*(1-'Scenario Inputs'!$C$27)*(1-'Scenario Inputs'!$C$29)</x:f>
        <x:v>43.73085965843818</x:v>
      </x:c>
      <x:c r="U657" s="58" t="n">
        <x:f>U642*(1-'Scenario Inputs'!$C$27)*(1-'Scenario Inputs'!$C$29)</x:f>
        <x:v>45.46569206747687</x:v>
      </x:c>
      <x:c r="V657" s="58" t="n">
        <x:f>V642*(1-'Scenario Inputs'!$C$27)*(1-'Scenario Inputs'!$C$29)</x:f>
        <x:v>47.33931106923866</x:v>
      </x:c>
      <x:c r="W657" s="58" t="n">
        <x:f>W642*(1-'Scenario Inputs'!$C$27)*(1-'Scenario Inputs'!$C$29)</x:f>
        <x:v>49.36281959114139</x:v>
      </x:c>
      <x:c r="X657" s="58" t="n">
        <x:f>X642*(1-'Scenario Inputs'!$C$27)*(1-'Scenario Inputs'!$C$29)</x:f>
        <x:v>51.54820879479634</x:v>
      </x:c>
      <x:c r="Y657" s="58" t="n">
        <x:f>Y642*(1-'Scenario Inputs'!$C$27)*(1-'Scenario Inputs'!$C$29)</x:f>
        <x:v>53.90842913474368</x:v>
      </x:c>
      <x:c r="Z657" s="58" t="n">
        <x:f>Z642*(1-'Scenario Inputs'!$C$27)*(1-'Scenario Inputs'!$C$29)</x:f>
        <x:v>60.496516150045935</x:v>
      </x:c>
      <x:c r="AA657" s="58" t="n">
        <x:f>AA642*(1-'Scenario Inputs'!$C$27)*(1-'Scenario Inputs'!$C$29)</x:f>
        <x:v>62.523001333924725</x:v>
      </x:c>
      <x:c r="AB657" s="58" t="n">
        <x:f>AB642*(1-'Scenario Inputs'!$C$27)*(1-'Scenario Inputs'!$C$29)</x:f>
        <x:v>64.67107562883625</x:v>
      </x:c>
      <x:c r="AC657" s="58" t="n">
        <x:f>AC642*(1-'Scenario Inputs'!$C$27)*(1-'Scenario Inputs'!$C$29)</x:f>
        <x:v>66.94803438144245</x:v>
      </x:c>
      <x:c r="AD657" s="58" t="n">
        <x:f>AD642*(1-'Scenario Inputs'!$C$27)*(1-'Scenario Inputs'!$C$29)</x:f>
        <x:v>69.36161065920504</x:v>
      </x:c>
      <x:c r="AE657" s="58" t="n">
        <x:f>AE642*(1-'Scenario Inputs'!$C$27)*(1-'Scenario Inputs'!$C$29)</x:f>
        <x:v>71.92000151363338</x:v>
      </x:c>
      <x:c r="AF657" s="58" t="n">
        <x:f>AF642*(1-'Scenario Inputs'!$C$27)*(1-'Scenario Inputs'!$C$29)</x:f>
        <x:v>81.31233659067728</x:v>
      </x:c>
      <x:c r="AG657" s="58" t="n">
        <x:f>AG642*(1-'Scenario Inputs'!$C$27)*(1-'Scenario Inputs'!$C$29)</x:f>
        <x:v>84.18694455471295</x:v>
      </x:c>
      <x:c r="AH657" s="58" t="n">
        <x:f>AH642*(1-'Scenario Inputs'!$C$27)*(1-'Scenario Inputs'!$C$29)</x:f>
        <x:v>87.23402899659078</x:v>
      </x:c>
      <x:c r="AI657" s="58" t="n">
        <x:f>AI642*(1-'Scenario Inputs'!$C$27)*(1-'Scenario Inputs'!$C$29)</x:f>
        <x:v>90.46393850498127</x:v>
      </x:c>
      <x:c r="AJ657" s="58" t="n">
        <x:f>AJ642*(1-'Scenario Inputs'!$C$27)*(1-'Scenario Inputs'!$C$29)</x:f>
        <x:v>93.88764258387519</x:v>
      </x:c>
      <x:c r="AK657" s="58" t="n">
        <x:f>AK642*(1-'Scenario Inputs'!$C$27)*(1-'Scenario Inputs'!$C$29)</x:f>
        <x:v>97.51676890750275</x:v>
      </x:c>
    </x:row>
    <x:row r="658" ht="18" customHeight="1">
      <x:c r="A658" s="4" t="str">
        <x:v>First monthly renewals after refunds</x:v>
      </x:c>
      <x:c r="B658" s="58" t="n">
        <x:f>0*'Scenario Inputs'!$C$32*(1-'Scenario Inputs'!$C$29)</x:f>
        <x:v>0</x:v>
      </x:c>
      <x:c r="C658" s="58" t="n">
        <x:f>B657*'Scenario Inputs'!$C$32*(1-'Scenario Inputs'!$C$29)</x:f>
        <x:v>3.2461049999999996</x:v>
      </x:c>
      <x:c r="D658" s="58" t="n">
        <x:f>C657*'Scenario Inputs'!$C$32*(1-'Scenario Inputs'!$C$29)</x:f>
        <x:v>3.500148</x:v>
      </x:c>
      <x:c r="E658" s="58" t="n">
        <x:f>D657*'Scenario Inputs'!$C$32*(1-'Scenario Inputs'!$C$29)</x:f>
        <x:v>3.784676159999999</x:v>
      </x:c>
      <x:c r="F658" s="58" t="n">
        <x:f>E657*'Scenario Inputs'!$C$32*(1-'Scenario Inputs'!$C$29)</x:f>
        <x:v>5.2324276992</x:v>
      </x:c>
      <x:c r="G658" s="58" t="n">
        <x:f>F657*'Scenario Inputs'!$C$32*(1-'Scenario Inputs'!$C$29)</x:f>
        <x:v>5.589339823104</x:v>
      </x:c>
      <x:c r="H658" s="58" t="n">
        <x:f>G657*'Scenario Inputs'!$C$32*(1-'Scenario Inputs'!$C$29)</x:f>
        <x:v>5.98908140187648</x:v>
      </x:c>
      <x:c r="I658" s="58" t="n">
        <x:f>H657*'Scenario Inputs'!$C$32*(1-'Scenario Inputs'!$C$29)</x:f>
        <x:v>8.88313197010166</x:v>
      </x:c>
      <x:c r="J658" s="58" t="n">
        <x:f>I657*'Scenario Inputs'!$C$32*(1-'Scenario Inputs'!$C$29)</x:f>
        <x:v>9.384567806513857</x:v>
      </x:c>
      <x:c r="K658" s="58" t="n">
        <x:f>J657*'Scenario Inputs'!$C$32*(1-'Scenario Inputs'!$C$29)</x:f>
        <x:v>9.94617594329552</x:v>
      </x:c>
      <x:c r="L658" s="58" t="n">
        <x:f>K657*'Scenario Inputs'!$C$32*(1-'Scenario Inputs'!$C$29)</x:f>
        <x:v>10.575177056490984</x:v>
      </x:c>
      <x:c r="M658" s="58" t="n">
        <x:f>L657*'Scenario Inputs'!$C$32*(1-'Scenario Inputs'!$C$29)</x:f>
        <x:v>11.279658303269903</x:v>
      </x:c>
      <x:c r="N658" s="58" t="n">
        <x:f>M657*'Scenario Inputs'!$C$32*(1-'Scenario Inputs'!$C$29)</x:f>
        <x:v>12.068677299662292</x:v>
      </x:c>
      <x:c r="O658" s="58" t="n">
        <x:f>N657*'Scenario Inputs'!$C$32*(1-'Scenario Inputs'!$C$29)</x:f>
        <x:v>16.50694784727164</x:v>
      </x:c>
      <x:c r="P658" s="58" t="n">
        <x:f>O657*'Scenario Inputs'!$C$32*(1-'Scenario Inputs'!$C$29)</x:f>
        <x:v>17.143212765962463</x:v>
      </x:c>
      <x:c r="Q658" s="58" t="n">
        <x:f>P657*'Scenario Inputs'!$C$32*(1-'Scenario Inputs'!$C$29)</x:f>
        <x:v>17.83037887814855</x:v>
      </x:c>
      <x:c r="R658" s="58" t="n">
        <x:f>Q657*'Scenario Inputs'!$C$32*(1-'Scenario Inputs'!$C$29)</x:f>
        <x:v>18.572518279309524</x:v>
      </x:c>
      <x:c r="S658" s="58" t="n">
        <x:f>R657*'Scenario Inputs'!$C$32*(1-'Scenario Inputs'!$C$29)</x:f>
        <x:v>19.374028832563383</x:v>
      </x:c>
      <x:c r="T658" s="58" t="n">
        <x:f>S657*'Scenario Inputs'!$C$32*(1-'Scenario Inputs'!$C$29)</x:f>
        <x:v>20.239660230077543</x:v>
      </x:c>
      <x:c r="U658" s="58" t="n">
        <x:f>T657*'Scenario Inputs'!$C$32*(1-'Scenario Inputs'!$C$29)</x:f>
        <x:v>25.451360321211016</x:v>
      </x:c>
      <x:c r="V658" s="58" t="n">
        <x:f>U657*'Scenario Inputs'!$C$32*(1-'Scenario Inputs'!$C$29)</x:f>
        <x:v>26.461032783271538</x:v>
      </x:c>
      <x:c r="W658" s="58" t="n">
        <x:f>V657*'Scenario Inputs'!$C$32*(1-'Scenario Inputs'!$C$29)</x:f>
        <x:v>27.5514790422969</x:v>
      </x:c>
      <x:c r="X658" s="58" t="n">
        <x:f>W657*'Scenario Inputs'!$C$32*(1-'Scenario Inputs'!$C$29)</x:f>
        <x:v>28.729161002044286</x:v>
      </x:c>
      <x:c r="Y658" s="58" t="n">
        <x:f>X657*'Scenario Inputs'!$C$32*(1-'Scenario Inputs'!$C$29)</x:f>
        <x:v>30.001057518571468</x:v>
      </x:c>
      <x:c r="Z658" s="58" t="n">
        <x:f>Y657*'Scenario Inputs'!$C$32*(1-'Scenario Inputs'!$C$29)</x:f>
        <x:v>31.37470575642082</x:v>
      </x:c>
      <x:c r="AA658" s="58" t="n">
        <x:f>Z657*'Scenario Inputs'!$C$32*(1-'Scenario Inputs'!$C$29)</x:f>
        <x:v>35.20897239932673</x:v>
      </x:c>
      <x:c r="AB658" s="58" t="n">
        <x:f>AA657*'Scenario Inputs'!$C$32*(1-'Scenario Inputs'!$C$29)</x:f>
        <x:v>36.38838677634419</x:v>
      </x:c>
      <x:c r="AC658" s="58" t="n">
        <x:f>AB657*'Scenario Inputs'!$C$32*(1-'Scenario Inputs'!$C$29)</x:f>
        <x:v>37.6385660159827</x:v>
      </x:c>
      <x:c r="AD658" s="58" t="n">
        <x:f>AC657*'Scenario Inputs'!$C$32*(1-'Scenario Inputs'!$C$29)</x:f>
        <x:v>38.9637560099995</x:v>
      </x:c>
      <x:c r="AE658" s="58" t="n">
        <x:f>AD657*'Scenario Inputs'!$C$32*(1-'Scenario Inputs'!$C$29)</x:f>
        <x:v>40.36845740365733</x:v>
      </x:c>
      <x:c r="AF658" s="58" t="n">
        <x:f>AE657*'Scenario Inputs'!$C$32*(1-'Scenario Inputs'!$C$29)</x:f>
        <x:v>41.857440880934625</x:v>
      </x:c>
      <x:c r="AG658" s="58" t="n">
        <x:f>AF657*'Scenario Inputs'!$C$32*(1-'Scenario Inputs'!$C$29)</x:f>
        <x:v>47.32377989577417</x:v>
      </x:c>
      <x:c r="AH658" s="58" t="n">
        <x:f>AG657*'Scenario Inputs'!$C$32*(1-'Scenario Inputs'!$C$29)</x:f>
        <x:v>48.99680173084294</x:v>
      </x:c>
      <x:c r="AI658" s="58" t="n">
        <x:f>AH657*'Scenario Inputs'!$C$32*(1-'Scenario Inputs'!$C$29)</x:f>
        <x:v>50.77020487601583</x:v>
      </x:c>
      <x:c r="AJ658" s="58" t="n">
        <x:f>AI657*'Scenario Inputs'!$C$32*(1-'Scenario Inputs'!$C$29)</x:f>
        <x:v>52.650012209899096</x:v>
      </x:c>
      <x:c r="AK658" s="58" t="n">
        <x:f>AJ657*'Scenario Inputs'!$C$32*(1-'Scenario Inputs'!$C$29)</x:f>
        <x:v>54.64260798381536</x:v>
      </x:c>
    </x:row>
    <x:row r="659" ht="18" customHeight="1">
      <x:c r="A659" s="4" t="str">
        <x:v>Second monthly renewals after refunds</x:v>
      </x:c>
      <x:c r="B659" s="58" t="n">
        <x:f>0*'Scenario Inputs'!$C$33*(1-'Scenario Inputs'!$C$29)</x:f>
        <x:v>0</x:v>
      </x:c>
      <x:c r="C659" s="58" t="n">
        <x:f>B658*'Scenario Inputs'!$C$33*(1-'Scenario Inputs'!$C$29)</x:f>
        <x:v>0</x:v>
      </x:c>
      <x:c r="D659" s="58" t="n">
        <x:f>C658*'Scenario Inputs'!$C$33*(1-'Scenario Inputs'!$C$29)</x:f>
        <x:v>2.3615413874999995</x:v>
      </x:c>
      <x:c r="E659" s="58" t="n">
        <x:f>D658*'Scenario Inputs'!$C$33*(1-'Scenario Inputs'!$C$29)</x:f>
        <x:v>2.54635767</x:v>
      </x:c>
      <x:c r="F659" s="58" t="n">
        <x:f>E658*'Scenario Inputs'!$C$33*(1-'Scenario Inputs'!$C$29)</x:f>
        <x:v>2.753351906399999</x:v>
      </x:c>
      <x:c r="G659" s="58" t="n">
        <x:f>F658*'Scenario Inputs'!$C$33*(1-'Scenario Inputs'!$C$29)</x:f>
        <x:v>3.806591151168</x:v>
      </x:c>
      <x:c r="H659" s="58" t="n">
        <x:f>G658*'Scenario Inputs'!$C$33*(1-'Scenario Inputs'!$C$29)</x:f>
        <x:v>4.06624472130816</x:v>
      </x:c>
      <x:c r="I659" s="58" t="n">
        <x:f>H658*'Scenario Inputs'!$C$33*(1-'Scenario Inputs'!$C$29)</x:f>
        <x:v>4.357056719865139</x:v>
      </x:c>
      <x:c r="J659" s="58" t="n">
        <x:f>I658*'Scenario Inputs'!$C$33*(1-'Scenario Inputs'!$C$29)</x:f>
        <x:v>6.4624785082489575</x:v>
      </x:c>
      <x:c r="K659" s="58" t="n">
        <x:f>J658*'Scenario Inputs'!$C$33*(1-'Scenario Inputs'!$C$29)</x:f>
        <x:v>6.8272730792388305</x:v>
      </x:c>
      <x:c r="L659" s="58" t="n">
        <x:f>K658*'Scenario Inputs'!$C$33*(1-'Scenario Inputs'!$C$29)</x:f>
        <x:v>7.23584299874749</x:v>
      </x:c>
      <x:c r="M659" s="58" t="n">
        <x:f>L658*'Scenario Inputs'!$C$33*(1-'Scenario Inputs'!$C$29)</x:f>
        <x:v>7.69344130859719</x:v>
      </x:c>
      <x:c r="N659" s="58" t="n">
        <x:f>M658*'Scenario Inputs'!$C$33*(1-'Scenario Inputs'!$C$29)</x:f>
        <x:v>8.205951415628853</x:v>
      </x:c>
      <x:c r="O659" s="58" t="n">
        <x:f>N658*'Scenario Inputs'!$C$33*(1-'Scenario Inputs'!$C$29)</x:f>
        <x:v>8.779962735504318</x:v>
      </x:c>
      <x:c r="P659" s="58" t="n">
        <x:f>O658*'Scenario Inputs'!$C$33*(1-'Scenario Inputs'!$C$29)</x:f>
        <x:v>12.008804558890118</x:v>
      </x:c>
      <x:c r="Q659" s="58" t="n">
        <x:f>P658*'Scenario Inputs'!$C$33*(1-'Scenario Inputs'!$C$29)</x:f>
        <x:v>12.471687287237692</x:v>
      </x:c>
      <x:c r="R659" s="58" t="n">
        <x:f>Q658*'Scenario Inputs'!$C$33*(1-'Scenario Inputs'!$C$29)</x:f>
        <x:v>12.97160063385307</x:v>
      </x:c>
      <x:c r="S659" s="58" t="n">
        <x:f>R658*'Scenario Inputs'!$C$33*(1-'Scenario Inputs'!$C$29)</x:f>
        <x:v>13.511507048197679</x:v>
      </x:c>
      <x:c r="T659" s="58" t="n">
        <x:f>S658*'Scenario Inputs'!$C$33*(1-'Scenario Inputs'!$C$29)</x:f>
        <x:v>14.094605975689861</x:v>
      </x:c>
      <x:c r="U659" s="58" t="n">
        <x:f>T658*'Scenario Inputs'!$C$33*(1-'Scenario Inputs'!$C$29)</x:f>
        <x:v>14.724352817381412</x:v>
      </x:c>
      <x:c r="V659" s="58" t="n">
        <x:f>U658*'Scenario Inputs'!$C$33*(1-'Scenario Inputs'!$C$29)</x:f>
        <x:v>18.515864633681016</x:v>
      </x:c>
      <x:c r="W659" s="58" t="n">
        <x:f>V658*'Scenario Inputs'!$C$33*(1-'Scenario Inputs'!$C$29)</x:f>
        <x:v>19.250401349830042</x:v>
      </x:c>
      <x:c r="X659" s="58" t="n">
        <x:f>W658*'Scenario Inputs'!$C$33*(1-'Scenario Inputs'!$C$29)</x:f>
        <x:v>20.043701003270993</x:v>
      </x:c>
      <x:c r="Y659" s="58" t="n">
        <x:f>X658*'Scenario Inputs'!$C$33*(1-'Scenario Inputs'!$C$29)</x:f>
        <x:v>20.900464628987216</x:v>
      </x:c>
      <x:c r="Z659" s="58" t="n">
        <x:f>Y658*'Scenario Inputs'!$C$33*(1-'Scenario Inputs'!$C$29)</x:f>
        <x:v>21.82576934476074</x:v>
      </x:c>
      <x:c r="AA659" s="58" t="n">
        <x:f>Z658*'Scenario Inputs'!$C$33*(1-'Scenario Inputs'!$C$29)</x:f>
        <x:v>22.825098437796147</x:v>
      </x:c>
      <x:c r="AB659" s="58" t="n">
        <x:f>AA658*'Scenario Inputs'!$C$33*(1-'Scenario Inputs'!$C$29)</x:f>
        <x:v>25.614527420510196</x:v>
      </x:c>
      <x:c r="AC659" s="58" t="n">
        <x:f>AB658*'Scenario Inputs'!$C$33*(1-'Scenario Inputs'!$C$29)</x:f>
        <x:v>26.4725513797904</x:v>
      </x:c>
      <x:c r="AD659" s="58" t="n">
        <x:f>AC658*'Scenario Inputs'!$C$33*(1-'Scenario Inputs'!$C$29)</x:f>
        <x:v>27.38205677662741</x:v>
      </x:c>
      <x:c r="AE659" s="58" t="n">
        <x:f>AD658*'Scenario Inputs'!$C$33*(1-'Scenario Inputs'!$C$29)</x:f>
        <x:v>28.346132497274635</x:v>
      </x:c>
      <x:c r="AF659" s="58" t="n">
        <x:f>AE658*'Scenario Inputs'!$C$33*(1-'Scenario Inputs'!$C$29)</x:f>
        <x:v>29.36805276116071</x:v>
      </x:c>
      <x:c r="AG659" s="58" t="n">
        <x:f>AF658*'Scenario Inputs'!$C$33*(1-'Scenario Inputs'!$C$29)</x:f>
        <x:v>30.451288240879936</x:v>
      </x:c>
      <x:c r="AH659" s="58" t="n">
        <x:f>AG658*'Scenario Inputs'!$C$33*(1-'Scenario Inputs'!$C$29)</x:f>
        <x:v>34.428049874175706</x:v>
      </x:c>
      <x:c r="AI659" s="58" t="n">
        <x:f>AH658*'Scenario Inputs'!$C$33*(1-'Scenario Inputs'!$C$29)</x:f>
        <x:v>35.64517325918823</x:v>
      </x:c>
      <x:c r="AJ659" s="58" t="n">
        <x:f>AI658*'Scenario Inputs'!$C$33*(1-'Scenario Inputs'!$C$29)</x:f>
        <x:v>36.93532404730151</x:v>
      </x:c>
      <x:c r="AK659" s="58" t="n">
        <x:f>AJ658*'Scenario Inputs'!$C$33*(1-'Scenario Inputs'!$C$29)</x:f>
        <x:v>38.302883882701586</x:v>
      </x:c>
    </x:row>
    <x:row r="660" ht="18" customHeight="1">
      <x:c r="A660" s="4" t="str">
        <x:v>Later monthly renewals after refunds</x:v>
      </x:c>
      <x:c r="B660" s="58" t="n">
        <x:f>(0+0)*'Scenario Inputs'!$C$34*(1-'Scenario Inputs'!$C$29)</x:f>
        <x:v>0</x:v>
      </x:c>
      <x:c r="C660" s="58" t="n">
        <x:f>(B659+B660)*'Scenario Inputs'!$C$34*(1-'Scenario Inputs'!$C$29)</x:f>
        <x:v>0</x:v>
      </x:c>
      <x:c r="D660" s="58" t="n">
        <x:f>(C659+C660)*'Scenario Inputs'!$C$34*(1-'Scenario Inputs'!$C$29)</x:f>
        <x:v>0</x:v>
      </x:c>
      <x:c r="E660" s="58" t="n">
        <x:f>(D659+D660)*'Scenario Inputs'!$C$34*(1-'Scenario Inputs'!$C$29)</x:f>
        <x:v>2.0158117283699997</x:v>
      </x:c>
      <x:c r="F660" s="58" t="n">
        <x:f>(E659+E660)*'Scenario Inputs'!$C$34*(1-'Scenario Inputs'!$C$29)</x:f>
        <x:v>3.8942677984486314</x:v>
      </x:c>
      <x:c r="G660" s="58" t="n">
        <x:f>(F659+F660)*'Scenario Inputs'!$C$34*(1-'Scenario Inputs'!$C$29)</x:f>
        <x:v>5.67440818005879</x:v>
      </x:c>
      <x:c r="H660" s="58" t="n">
        <x:f>(G659+G660)*'Scenario Inputs'!$C$34*(1-'Scenario Inputs'!$C$29)</x:f>
        <x:v>8.092981029135188</x:v>
      </x:c>
      <x:c r="I660" s="58" t="n">
        <x:f>(H659+H660)*'Scenario Inputs'!$C$34*(1-'Scenario Inputs'!$C$29)</x:f>
        <x:v>10.379115100578442</x:v>
      </x:c>
      <x:c r="J660" s="58" t="n">
        <x:f>(I659+I660)*'Scenario Inputs'!$C$34*(1-'Scenario Inputs'!$C$29)</x:f>
        <x:v>12.57879626593064</x:v>
      </x:c>
      <x:c r="K660" s="58" t="n">
        <x:f>(J659+J660)*'Scenario Inputs'!$C$34*(1-'Scenario Inputs'!$C$29)</x:f>
        <x:v>16.253632147239706</x:v>
      </x:c>
      <x:c r="L660" s="58" t="n">
        <x:f>(K659+K660)*'Scenario Inputs'!$C$34*(1-'Scenario Inputs'!$C$29)</x:f>
        <x:v>19.70186070132208</x:v>
      </x:c>
      <x:c r="M660" s="58" t="n">
        <x:f>(L659+L660)*'Scenario Inputs'!$C$34*(1-'Scenario Inputs'!$C$29)</x:f>
        <x:v>22.994023878379384</x:v>
      </x:c>
      <x:c r="N660" s="58" t="n">
        <x:f>(M659+M660)*'Scenario Inputs'!$C$34*(1-'Scenario Inputs'!$C$29)</x:f>
        <x:v>26.194820283603203</x:v>
      </x:c>
      <x:c r="O660" s="58" t="n">
        <x:f>(N659+N660)*'Scenario Inputs'!$C$34*(1-'Scenario Inputs'!$C$29)</x:f>
        <x:v>29.36449872246448</x:v>
      </x:c>
      <x:c r="P660" s="58" t="n">
        <x:f>(O659+O660)*'Scenario Inputs'!$C$34*(1-'Scenario Inputs'!$C$29)</x:f>
        <x:v>32.560112300522164</x:v>
      </x:c>
      <x:c r="Q660" s="58" t="n">
        <x:f>(P659+P660)*'Scenario Inputs'!$C$34*(1-'Scenario Inputs'!$C$29)</x:f>
        <x:v>38.04402743119432</x:v>
      </x:c>
      <x:c r="R660" s="58" t="n">
        <x:f>(Q659+Q660)*'Scenario Inputs'!$C$34*(1-'Scenario Inputs'!$C$29)</x:f>
        <x:v>43.120214083653565</x:v>
      </x:c>
      <x:c r="S660" s="58" t="n">
        <x:f>(R659+R660)*'Scenario Inputs'!$C$34*(1-'Scenario Inputs'!$C$29)</x:f>
        <x:v>47.87997304286366</x:v>
      </x:c>
      <x:c r="T660" s="58" t="n">
        <x:f>(S659+S660)*'Scenario Inputs'!$C$34*(1-'Scenario Inputs'!$C$29)</x:f>
        <x:v>52.40376740572996</x:v>
      </x:c>
      <x:c r="U660" s="58" t="n">
        <x:f>(T659+T660)*'Scenario Inputs'!$C$34*(1-'Scenario Inputs'!$C$29)</x:f>
        <x:v>56.76301151837996</x:v>
      </x:c>
      <x:c r="V660" s="58" t="n">
        <x:f>(U659+U660)*'Scenario Inputs'!$C$34*(1-'Scenario Inputs'!$C$29)</x:f>
        <x:v>61.0216141970059</x:v>
      </x:c>
      <x:c r="W660" s="58" t="n">
        <x:f>(V659+V660)*'Scenario Inputs'!$C$34*(1-'Scenario Inputs'!$C$29)</x:f>
        <x:v>67.89319192987435</x:v>
      </x:c>
      <x:c r="X660" s="58" t="n">
        <x:f>(W659+W660)*'Scenario Inputs'!$C$34*(1-'Scenario Inputs'!$C$29)</x:f>
        <x:v>74.38577122355566</x:v>
      </x:c>
      <x:c r="Y660" s="58" t="n">
        <x:f>(X659+X660)*'Scenario Inputs'!$C$34*(1-'Scenario Inputs'!$C$29)</x:f>
        <x:v>80.60499749281924</x:v>
      </x:c>
      <x:c r="Z660" s="58" t="n">
        <x:f>(Y659+Y660)*'Scenario Inputs'!$C$34*(1-'Scenario Inputs'!$C$29)</x:f>
        <x:v>86.645062467174</x:v>
      </x:c>
      <x:c r="AA660" s="58" t="n">
        <x:f>(Z659+Z660)*'Scenario Inputs'!$C$34*(1-'Scenario Inputs'!$C$29)</x:f>
        <x:v>92.5907020346675</x:v>
      </x:c>
      <x:c r="AB660" s="58" t="n">
        <x:f>(AA659+AA660)*'Scenario Inputs'!$C$34*(1-'Scenario Inputs'!$C$29)</x:f>
        <x:v>98.51892728329496</x:v>
      </x:c>
      <x:c r="AC660" s="58" t="n">
        <x:f>(AB659+AB660)*'Scenario Inputs'!$C$34*(1-'Scenario Inputs'!$C$29)</x:f>
        <x:v>105.96031693516808</x:v>
      </x:c>
      <x:c r="AD660" s="58" t="n">
        <x:f>(AC659+AC660)*'Scenario Inputs'!$C$34*(1-'Scenario Inputs'!$C$29)</x:f>
        <x:v>113.04469639364856</x:v>
      </x:c>
      <x:c r="AE660" s="58" t="n">
        <x:f>(AD659+AD660)*'Scenario Inputs'!$C$34*(1-'Scenario Inputs'!$C$29)</x:f>
        <x:v>119.86827650614758</x:v>
      </x:c>
      <x:c r="AF660" s="58" t="n">
        <x:f>(AE659+AE660)*'Scenario Inputs'!$C$34*(1-'Scenario Inputs'!$C$29)</x:f>
        <x:v>126.51581952532119</x:v>
      </x:c>
      <x:c r="AG660" s="58" t="n">
        <x:f>(AF659+AF660)*'Scenario Inputs'!$C$34*(1-'Scenario Inputs'!$C$29)</x:f>
        <x:v>133.06247338374095</x:v>
      </x:c>
      <x:c r="AH660" s="58" t="n">
        <x:f>(AG659+AG660)*'Scenario Inputs'!$C$34*(1-'Scenario Inputs'!$C$29)</x:f>
        <x:v>139.5753469227764</x:v>
      </x:c>
      <x:c r="AI660" s="58" t="n">
        <x:f>(AH659+AH660)*'Scenario Inputs'!$C$34*(1-'Scenario Inputs'!$C$29)</x:f>
        <x:v>148.5292995058783</x:v>
      </x:c>
      <x:c r="AJ660" s="58" t="n">
        <x:f>(AI659+AI660)*'Scenario Inputs'!$C$34*(1-'Scenario Inputs'!$C$29)</x:f>
        <x:v>157.21132995226077</x:v>
      </x:c>
      <x:c r="AK660" s="58" t="n">
        <x:f>(AJ659+AJ660)*'Scenario Inputs'!$C$34*(1-'Scenario Inputs'!$C$29)</x:f>
        <x:v>165.72358385402637</x:v>
      </x:c>
    </x:row>
    <x:row r="661" ht="18" customHeight="1">
      <x:c r="A661" s="74" t="str">
        <x:v>ACTIVE MONTHLY SUBSCRIBERS</x:v>
      </x:c>
      <x:c r="B661" s="75" t="n">
        <x:f>SUM(B657:B660)</x:f>
        <x:v>5.5775</x:v>
      </x:c>
      <x:c r="C661" s="75" t="n">
        <x:f>SUM(C657:C660)</x:f>
        <x:v>9.260105</x:v>
      </x:c>
      <x:c r="D661" s="75" t="n">
        <x:f>SUM(D657:D660)</x:f>
        <x:v>12.364569387499998</x:v>
      </x:c>
      <x:c r="E661" s="75" t="n">
        <x:f>SUM(E657:E660)</x:f>
        <x:v>17.337271158369997</x:v>
      </x:c>
      <x:c r="F661" s="75" t="n">
        <x:f>SUM(F657:F660)</x:f>
        <x:v>21.48372407604863</x:v>
      </x:c>
      <x:c r="G661" s="75" t="n">
        <x:f>SUM(G657:G660)</x:f>
        <x:v>25.36085702697079</x:v>
      </x:c>
      <x:c r="H661" s="75" t="n">
        <x:f>SUM(H657:H660)</x:f>
        <x:v>33.411420503009964</x:v>
      </x:c>
      <x:c r="I661" s="75" t="n">
        <x:f>SUM(I657:I660)</x:f>
        <x:v>39.74399074331819</x:v>
      </x:c>
      <x:c r="J661" s="75" t="n">
        <x:f>SUM(J657:J660)</x:f>
        <x:v>45.515491967799164</x:v>
      </x:c>
      <x:c r="K661" s="75" t="n">
        <x:f>SUM(K657:K660)</x:f>
        <x:v>51.19748848333245</x:v>
      </x:c>
      <x:c r="L661" s="75" t="n">
        <x:f>SUM(L657:L660)</x:f>
        <x:v>56.89373694774595</x:v>
      </x:c>
      <x:c r="M661" s="75" t="n">
        <x:f>SUM(M657:M660)</x:f>
        <x:v>62.70368242437412</x:v>
      </x:c>
      <x:c r="N661" s="75" t="n">
        <x:f>SUM(N657:N660)</x:f>
        <x:v>74.83190234472191</x:v>
      </x:c>
      <x:c r="O661" s="75" t="n">
        <x:f>SUM(O657:O660)</x:f>
        <x:v>84.10710134297663</x:v>
      </x:c>
      <x:c r="P661" s="75" t="n">
        <x:f>SUM(P657:P660)</x:f>
        <x:v>92.34851945037227</x:v>
      </x:c>
      <x:c r="Q661" s="75" t="n">
        <x:f>SUM(Q657:Q660)</x:f>
        <x:v>100.25763703182031</x:v>
      </x:c>
      <x:c r="R661" s="75" t="n">
        <x:f>SUM(R657:R660)</x:f>
        <x:v>107.9530423311175</x:v>
      </x:c>
      <x:c r="S661" s="75" t="n">
        <x:f>SUM(S657:S660)</x:f>
        <x:v>115.5415574289126</x:v>
      </x:c>
      <x:c r="T661" s="75" t="n">
        <x:f>SUM(T657:T660)</x:f>
        <x:v>130.46889326993553</x:v>
      </x:c>
      <x:c r="U661" s="75" t="n">
        <x:f>SUM(U657:U660)</x:f>
        <x:v>142.40441672444928</x:v>
      </x:c>
      <x:c r="V661" s="75" t="n">
        <x:f>SUM(V657:V660)</x:f>
        <x:v>153.33782268319712</x:v>
      </x:c>
      <x:c r="W661" s="75" t="n">
        <x:f>SUM(W657:W660)</x:f>
        <x:v>164.05789191314267</x:v>
      </x:c>
      <x:c r="X661" s="75" t="n">
        <x:f>SUM(X657:X660)</x:f>
        <x:v>174.70684202366726</x:v>
      </x:c>
      <x:c r="Y661" s="75" t="n">
        <x:f>SUM(Y657:Y660)</x:f>
        <x:v>185.41494877512162</x:v>
      </x:c>
      <x:c r="Z661" s="75" t="n">
        <x:f>SUM(Z657:Z660)</x:f>
        <x:v>200.3420537184015</x:v>
      </x:c>
      <x:c r="AA661" s="75" t="n">
        <x:f>SUM(AA657:AA660)</x:f>
        <x:v>213.1477742057151</x:v>
      </x:c>
      <x:c r="AB661" s="75" t="n">
        <x:f>SUM(AB657:AB660)</x:f>
        <x:v>225.1929171089856</x:v>
      </x:c>
      <x:c r="AC661" s="75" t="n">
        <x:f>SUM(AC657:AC660)</x:f>
        <x:v>237.01946871238363</x:v>
      </x:c>
      <x:c r="AD661" s="75" t="n">
        <x:f>SUM(AD657:AD660)</x:f>
        <x:v>248.7521198394805</x:v>
      </x:c>
      <x:c r="AE661" s="75" t="n">
        <x:f>SUM(AE657:AE660)</x:f>
        <x:v>260.5028679207129</x:v>
      </x:c>
      <x:c r="AF661" s="75" t="n">
        <x:f>SUM(AF657:AF660)</x:f>
        <x:v>279.0536497580938</x:v>
      </x:c>
      <x:c r="AG661" s="75" t="n">
        <x:f>SUM(AG657:AG660)</x:f>
        <x:v>295.02448607510803</x:v>
      </x:c>
      <x:c r="AH661" s="75" t="n">
        <x:f>SUM(AH657:AH660)</x:f>
        <x:v>310.2342275243858</x:v>
      </x:c>
      <x:c r="AI661" s="75" t="n">
        <x:f>SUM(AI657:AI660)</x:f>
        <x:v>325.40861614606365</x:v>
      </x:c>
      <x:c r="AJ661" s="75" t="n">
        <x:f>SUM(AJ657:AJ660)</x:f>
        <x:v>340.6843087933366</x:v>
      </x:c>
      <x:c r="AK661" s="75" t="n">
        <x:f>SUM(AK657:AK660)</x:f>
        <x:v>356.1858446280461</x:v>
      </x:c>
    </x:row>
    <x:row r="662" ht="18" customHeight="1">
      <x:c r="A662" s="4" t="str">
        <x:v>Monthly charge events before refunds</x:v>
      </x:c>
      <x:c r="B662" s="58" t="n">
        <x:f>B661/(1-'Scenario Inputs'!$C$29)</x:f>
        <x:v>5.75</x:v>
      </x:c>
      <x:c r="C662" s="58" t="n">
        <x:f>C661/(1-'Scenario Inputs'!$C$29)</x:f>
        <x:v>9.5465</x:v>
      </x:c>
      <x:c r="D662" s="58" t="n">
        <x:f>D661/(1-'Scenario Inputs'!$C$29)</x:f>
        <x:v>12.746978749999998</x:v>
      </x:c>
      <x:c r="E662" s="58" t="n">
        <x:f>E661/(1-'Scenario Inputs'!$C$29)</x:f>
        <x:v>17.873475421</x:v>
      </x:c>
      <x:c r="F662" s="58" t="n">
        <x:f>F661/(1-'Scenario Inputs'!$C$29)</x:f>
        <x:v>22.1481691505656</x:v>
      </x:c>
      <x:c r="G662" s="58" t="n">
        <x:f>G661/(1-'Scenario Inputs'!$C$29)</x:f>
        <x:v>26.145213429866796</x:v>
      </x:c>
      <x:c r="H662" s="58" t="n">
        <x:f>H661/(1-'Scenario Inputs'!$C$29)</x:f>
        <x:v>34.44476340516491</x:v>
      </x:c>
      <x:c r="I662" s="58" t="n">
        <x:f>I661/(1-'Scenario Inputs'!$C$29)</x:f>
        <x:v>40.97318633331773</x:v>
      </x:c>
      <x:c r="J662" s="58" t="n">
        <x:f>J661/(1-'Scenario Inputs'!$C$29)</x:f>
        <x:v>46.92318759566924</x:v>
      </x:c>
      <x:c r="K662" s="58" t="n">
        <x:f>K661/(1-'Scenario Inputs'!$C$29)</x:f>
        <x:v>52.78091596219841</x:v>
      </x:c>
      <x:c r="L662" s="58" t="n">
        <x:f>L661/(1-'Scenario Inputs'!$C$29)</x:f>
        <x:v>58.65333705953191</x:v>
      </x:c>
      <x:c r="M662" s="58" t="n">
        <x:f>M661/(1-'Scenario Inputs'!$C$29)</x:f>
        <x:v>64.64297157151971</x:v>
      </x:c>
      <x:c r="N662" s="58" t="n">
        <x:f>N661/(1-'Scenario Inputs'!$C$29)</x:f>
        <x:v>77.1462910770329</x:v>
      </x:c>
      <x:c r="O662" s="58" t="n">
        <x:f>O661/(1-'Scenario Inputs'!$C$29)</x:f>
        <x:v>86.70835189997591</x:v>
      </x:c>
      <x:c r="P662" s="58" t="n">
        <x:f>P661/(1-'Scenario Inputs'!$C$29)</x:f>
        <x:v>95.2046592271879</x:v>
      </x:c>
      <x:c r="Q662" s="58" t="n">
        <x:f>Q661/(1-'Scenario Inputs'!$C$29)</x:f>
        <x:v>103.35838869259825</x:v>
      </x:c>
      <x:c r="R662" s="58" t="n">
        <x:f>R661/(1-'Scenario Inputs'!$C$29)</x:f>
        <x:v>111.2917962176469</x:v>
      </x:c>
      <x:c r="S662" s="58" t="n">
        <x:f>S661/(1-'Scenario Inputs'!$C$29)</x:f>
        <x:v>119.11500765867278</x:v>
      </x:c>
      <x:c r="T662" s="58" t="n">
        <x:f>T661/(1-'Scenario Inputs'!$C$29)</x:f>
        <x:v>134.5040136803459</x:v>
      </x:c>
      <x:c r="U662" s="58" t="n">
        <x:f>U661/(1-'Scenario Inputs'!$C$29)</x:f>
        <x:v>146.80867703551473</x:v>
      </x:c>
      <x:c r="V662" s="58" t="n">
        <x:f>V661/(1-'Scenario Inputs'!$C$29)</x:f>
        <x:v>158.0802295703063</x:v>
      </x:c>
      <x:c r="W662" s="58" t="n">
        <x:f>W661/(1-'Scenario Inputs'!$C$29)</x:f>
        <x:v>169.1318473331368</x:v>
      </x:c>
      <x:c r="X662" s="58" t="n">
        <x:f>X661/(1-'Scenario Inputs'!$C$29)</x:f>
        <x:v>180.11014641615182</x:v>
      </x:c>
      <x:c r="Y662" s="58" t="n">
        <x:f>Y661/(1-'Scenario Inputs'!$C$29)</x:f>
        <x:v>191.1494317269295</x:v>
      </x:c>
      <x:c r="Z662" s="58" t="n">
        <x:f>Z661/(1-'Scenario Inputs'!$C$29)</x:f>
        <x:v>206.53819970969226</x:v>
      </x:c>
      <x:c r="AA662" s="58" t="n">
        <x:f>AA661/(1-'Scenario Inputs'!$C$29)</x:f>
        <x:v>219.73997340795373</x:v>
      </x:c>
      <x:c r="AB662" s="58" t="n">
        <x:f>AB661/(1-'Scenario Inputs'!$C$29)</x:f>
        <x:v>232.15764650410887</x:v>
      </x:c>
      <x:c r="AC662" s="58" t="n">
        <x:f>AC661/(1-'Scenario Inputs'!$C$29)</x:f>
        <x:v>244.3499677447254</x:v>
      </x:c>
      <x:c r="AD662" s="58" t="n">
        <x:f>AD661/(1-'Scenario Inputs'!$C$29)</x:f>
        <x:v>256.4454843705985</x:v>
      </x:c>
      <x:c r="AE662" s="58" t="n">
        <x:f>AE661/(1-'Scenario Inputs'!$C$29)</x:f>
        <x:v>268.5596576502195</x:v>
      </x:c>
      <x:c r="AF662" s="58" t="n">
        <x:f>AF661/(1-'Scenario Inputs'!$C$29)</x:f>
        <x:v>287.68417500834414</x:v>
      </x:c>
      <x:c r="AG662" s="58" t="n">
        <x:f>AG661/(1-'Scenario Inputs'!$C$29)</x:f>
        <x:v>304.1489547166062</x:v>
      </x:c>
      <x:c r="AH662" s="58" t="n">
        <x:f>AH661/(1-'Scenario Inputs'!$C$29)</x:f>
        <x:v>319.8291005406039</x:v>
      </x:c>
      <x:c r="AI662" s="58" t="n">
        <x:f>AI661/(1-'Scenario Inputs'!$C$29)</x:f>
        <x:v>335.47280015058107</x:v>
      </x:c>
      <x:c r="AJ662" s="58" t="n">
        <x:f>AJ661/(1-'Scenario Inputs'!$C$29)</x:f>
        <x:v>351.220936900347</x:v>
      </x:c>
      <x:c r="AK662" s="58" t="n">
        <x:f>AK661/(1-'Scenario Inputs'!$C$29)</x:f>
        <x:v>367.20190167839803</x:v>
      </x:c>
    </x:row>
    <x:row r="663" ht="18" customHeight="1">
      <x:c r="A663" s="4" t="str"/>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c r="AA663" s="58"/>
      <x:c r="AB663" s="58"/>
      <x:c r="AC663" s="58"/>
      <x:c r="AD663" s="58"/>
      <x:c r="AE663" s="58"/>
      <x:c r="AF663" s="58"/>
      <x:c r="AG663" s="58"/>
      <x:c r="AH663" s="58"/>
      <x:c r="AI663" s="58"/>
      <x:c r="AJ663" s="58"/>
      <x:c r="AK663" s="58"/>
    </x:row>
    <x:row r="664" ht="18" customHeight="1">
      <x:c r="A664" s="74" t="str">
        <x:v>TOTAL ACTIVE PAID SUBSCRIBERS</x:v>
      </x:c>
      <x:c r="B664" s="75" t="n">
        <x:f>B654+B661</x:f>
        <x:v>22.31</x:v>
      </x:c>
      <x:c r="C664" s="75" t="n">
        <x:f>C654+C661</x:f>
        <x:v>44.034605</x:v>
      </x:c>
      <x:c r="D664" s="75" t="n">
        <x:f>D654+D661</x:f>
        <x:v>66.6477093875</x:v>
      </x:c>
      <x:c r="E664" s="75" t="n">
        <x:f>E654+E661</x:f>
        <x:v>98.59168795837</x:v>
      </x:c>
      <x:c r="F664" s="75" t="n">
        <x:f>F654+F661</x:f>
        <x:v>131.54917089204864</x:v>
      </x:c>
      <x:c r="G664" s="75" t="n">
        <x:f>G654+G661</x:f>
        <x:v>166.2978574608908</x:v>
      </x:c>
      <x:c r="H664" s="75" t="n">
        <x:f>H654+H661</x:f>
        <x:v>220.13776098900038</x:v>
      </x:c>
      <x:c r="I664" s="75" t="n">
        <x:f>I654+I661</x:f>
        <x:v>274.84439208762745</x:v>
      </x:c>
      <x:c r="J664" s="75" t="n">
        <x:f>J654+J661</x:f>
        <x:v>331.8848414734255</x:v>
      </x:c>
      <x:c r="K664" s="75" t="n">
        <x:f>K654+K661</x:f>
        <x:v>392.078059929634</x:v>
      </x:c>
      <x:c r="L664" s="75" t="n">
        <x:f>L654+L661</x:f>
        <x:v>455.9168769676037</x:v>
      </x:c>
      <x:c r="M664" s="75" t="n">
        <x:f>M654+M661</x:f>
        <x:v>523.9364992466149</x:v>
      </x:c>
      <x:c r="N664" s="75" t="n">
        <x:f>N654+N661</x:f>
        <x:v>609.2887367044453</x:v>
      </x:c>
      <x:c r="O664" s="75" t="n">
        <x:f>O654+O661</x:f>
        <x:v>694.1392338159086</x:v>
      </x:c>
      <x:c r="P664" s="75" t="n">
        <x:f>P654+P661</x:f>
        <x:v>780.4581956382967</x:v>
      </x:c>
      <x:c r="Q664" s="75" t="n">
        <x:f>Q654+Q661</x:f>
        <x:v>864.979308274264</x:v>
      </x:c>
      <x:c r="R664" s="75" t="n">
        <x:f>R654+R661</x:f>
        <x:v>952.1138212951212</x:v>
      </x:c>
      <x:c r="S664" s="75" t="n">
        <x:f>S654+S661</x:f>
        <x:v>1042.1425503936748</x:v>
      </x:c>
      <x:c r="T664" s="75" t="n">
        <x:f>T654+T661</x:f>
        <x:v>1155.7978231130942</x:v>
      </x:c>
      <x:c r="U664" s="75" t="n">
        <x:f>U654+U661</x:f>
        <x:v>1269.8332136214904</x:v>
      </x:c>
      <x:c r="V664" s="75" t="n">
        <x:f>V654+V661</x:f>
        <x:v>1386.4348685415803</x:v>
      </x:c>
      <x:c r="W664" s="75" t="n">
        <x:f>W654+W661</x:f>
        <x:v>1506.5949401890114</x:v>
      </x:c>
      <x:c r="X664" s="75" t="n">
        <x:f>X654+X661</x:f>
        <x:v>1630.6654355652736</x:v>
      </x:c>
      <x:c r="Y664" s="75" t="n">
        <x:f>Y654+Y661</x:f>
        <x:v>1758.9921688680697</x:v>
      </x:c>
      <x:c r="Z664" s="75" t="n">
        <x:f>Z654+Z661</x:f>
        <x:v>1892.8104220211621</x:v>
      </x:c>
      <x:c r="AA664" s="75" t="n">
        <x:f>AA654+AA661</x:f>
        <x:v>2028.0836609829848</x:v>
      </x:c>
      <x:c r="AB664" s="75" t="n">
        <x:f>AB654+AB661</x:f>
        <x:v>2166.3301024720345</x:v>
      </x:c>
      <x:c r="AC664" s="75" t="n">
        <x:f>AC654+AC661</x:f>
        <x:v>2307.4635130504894</x:v>
      </x:c>
      <x:c r="AD664" s="75" t="n">
        <x:f>AD654+AD661</x:f>
        <x:v>2452.5647708599254</x:v>
      </x:c>
      <x:c r="AE664" s="75" t="n">
        <x:f>AE654+AE661</x:f>
        <x:v>2601.9160086003476</x:v>
      </x:c>
      <x:c r="AF664" s="75" t="n">
        <x:f>AF654+AF661</x:f>
        <x:v>2765.1722901201833</x:v>
      </x:c>
      <x:c r="AG664" s="75" t="n">
        <x:f>AG654+AG661</x:f>
        <x:v>2930.431581751205</x:v>
      </x:c>
      <x:c r="AH664" s="75" t="n">
        <x:f>AH654+AH661</x:f>
        <x:v>3099.6928589296635</x:v>
      </x:c>
      <x:c r="AI664" s="75" t="n">
        <x:f>AI654+AI661</x:f>
        <x:v>3273.864365650648</x:v>
      </x:c>
      <x:c r="AJ664" s="75" t="n">
        <x:f>AJ654+AJ661</x:f>
        <x:v>3453.2670050453016</x:v>
      </x:c>
      <x:c r="AK664" s="75" t="n">
        <x:f>AK654+AK661</x:f>
        <x:v>3638.210561892481</x:v>
      </x:c>
    </x:row>
    <x:row r="665" ht="18" customHeight="1">
      <x:c r="A665" s="4" t="str">
        <x:v>Estimated active free users</x:v>
      </x:c>
      <x:c r="B665" s="58" t="n">
        <x:f>MAX('Commercial Inputs'!$B$27,B664*'Commercial Inputs'!$B$26)</x:f>
        <x:v>500</x:v>
      </x:c>
      <x:c r="C665" s="58" t="n">
        <x:f>MAX('Commercial Inputs'!$B$27,C664*'Commercial Inputs'!$B$26)</x:f>
        <x:v>880.6921</x:v>
      </x:c>
      <x:c r="D665" s="58" t="n">
        <x:f>MAX('Commercial Inputs'!$B$27,D664*'Commercial Inputs'!$B$26)</x:f>
        <x:v>1332.95418775</x:v>
      </x:c>
      <x:c r="E665" s="58" t="n">
        <x:f>MAX('Commercial Inputs'!$B$27,E664*'Commercial Inputs'!$B$26)</x:f>
        <x:v>1971.8337591674</x:v>
      </x:c>
      <x:c r="F665" s="58" t="n">
        <x:f>MAX('Commercial Inputs'!$B$27,F664*'Commercial Inputs'!$B$26)</x:f>
        <x:v>2630.983417840973</x:v>
      </x:c>
      <x:c r="G665" s="58" t="n">
        <x:f>MAX('Commercial Inputs'!$B$27,G664*'Commercial Inputs'!$B$26)</x:f>
        <x:v>3325.957149217816</x:v>
      </x:c>
      <x:c r="H665" s="58" t="n">
        <x:f>MAX('Commercial Inputs'!$B$27,H664*'Commercial Inputs'!$B$26)</x:f>
        <x:v>4402.755219780008</x:v>
      </x:c>
      <x:c r="I665" s="58" t="n">
        <x:f>MAX('Commercial Inputs'!$B$27,I664*'Commercial Inputs'!$B$26)</x:f>
        <x:v>5496.887841752549</x:v>
      </x:c>
      <x:c r="J665" s="58" t="n">
        <x:f>MAX('Commercial Inputs'!$B$27,J664*'Commercial Inputs'!$B$26)</x:f>
        <x:v>6637.69682946851</x:v>
      </x:c>
      <x:c r="K665" s="58" t="n">
        <x:f>MAX('Commercial Inputs'!$B$27,K664*'Commercial Inputs'!$B$26)</x:f>
        <x:v>7841.56119859268</x:v>
      </x:c>
      <x:c r="L665" s="58" t="n">
        <x:f>MAX('Commercial Inputs'!$B$27,L664*'Commercial Inputs'!$B$26)</x:f>
        <x:v>9118.337539352073</x:v>
      </x:c>
      <x:c r="M665" s="58" t="n">
        <x:f>MAX('Commercial Inputs'!$B$27,M664*'Commercial Inputs'!$B$26)</x:f>
        <x:v>10478.729984932297</x:v>
      </x:c>
      <x:c r="N665" s="58" t="n">
        <x:f>MAX('Commercial Inputs'!$B$27,N664*'Commercial Inputs'!$B$26)</x:f>
        <x:v>12185.774734088907</x:v>
      </x:c>
      <x:c r="O665" s="58" t="n">
        <x:f>MAX('Commercial Inputs'!$B$27,O664*'Commercial Inputs'!$B$26)</x:f>
        <x:v>13882.784676318171</x:v>
      </x:c>
      <x:c r="P665" s="58" t="n">
        <x:f>MAX('Commercial Inputs'!$B$27,P664*'Commercial Inputs'!$B$26)</x:f>
        <x:v>15609.163912765935</x:v>
      </x:c>
      <x:c r="Q665" s="58" t="n">
        <x:f>MAX('Commercial Inputs'!$B$27,Q664*'Commercial Inputs'!$B$26)</x:f>
        <x:v>17299.586165485278</x:v>
      </x:c>
      <x:c r="R665" s="58" t="n">
        <x:f>MAX('Commercial Inputs'!$B$27,R664*'Commercial Inputs'!$B$26)</x:f>
        <x:v>19042.276425902422</x:v>
      </x:c>
      <x:c r="S665" s="58" t="n">
        <x:f>MAX('Commercial Inputs'!$B$27,S664*'Commercial Inputs'!$B$26)</x:f>
        <x:v>20842.851007873498</x:v>
      </x:c>
      <x:c r="T665" s="58" t="n">
        <x:f>MAX('Commercial Inputs'!$B$27,T664*'Commercial Inputs'!$B$26)</x:f>
        <x:v>23115.956462261885</x:v>
      </x:c>
      <x:c r="U665" s="58" t="n">
        <x:f>MAX('Commercial Inputs'!$B$27,U664*'Commercial Inputs'!$B$26)</x:f>
        <x:v>25396.664272429807</x:v>
      </x:c>
      <x:c r="V665" s="58" t="n">
        <x:f>MAX('Commercial Inputs'!$B$27,V664*'Commercial Inputs'!$B$26)</x:f>
        <x:v>27728.697370831607</x:v>
      </x:c>
      <x:c r="W665" s="58" t="n">
        <x:f>MAX('Commercial Inputs'!$B$27,W664*'Commercial Inputs'!$B$26)</x:f>
        <x:v>30131.898803780226</x:v>
      </x:c>
      <x:c r="X665" s="58" t="n">
        <x:f>MAX('Commercial Inputs'!$B$27,X664*'Commercial Inputs'!$B$26)</x:f>
        <x:v>32613.30871130547</x:v>
      </x:c>
      <x:c r="Y665" s="58" t="n">
        <x:f>MAX('Commercial Inputs'!$B$27,Y664*'Commercial Inputs'!$B$26)</x:f>
        <x:v>35179.843377361394</x:v>
      </x:c>
      <x:c r="Z665" s="58" t="n">
        <x:f>MAX('Commercial Inputs'!$B$27,Z664*'Commercial Inputs'!$B$26)</x:f>
        <x:v>37856.208440423245</x:v>
      </x:c>
      <x:c r="AA665" s="58" t="n">
        <x:f>MAX('Commercial Inputs'!$B$27,AA664*'Commercial Inputs'!$B$26)</x:f>
        <x:v>40561.6732196597</x:v>
      </x:c>
      <x:c r="AB665" s="58" t="n">
        <x:f>MAX('Commercial Inputs'!$B$27,AB664*'Commercial Inputs'!$B$26)</x:f>
        <x:v>43326.60204944069</x:v>
      </x:c>
      <x:c r="AC665" s="58" t="n">
        <x:f>MAX('Commercial Inputs'!$B$27,AC664*'Commercial Inputs'!$B$26)</x:f>
        <x:v>46149.27026100979</x:v>
      </x:c>
      <x:c r="AD665" s="58" t="n">
        <x:f>MAX('Commercial Inputs'!$B$27,AD664*'Commercial Inputs'!$B$26)</x:f>
        <x:v>49051.295417198504</x:v>
      </x:c>
      <x:c r="AE665" s="58" t="n">
        <x:f>MAX('Commercial Inputs'!$B$27,AE664*'Commercial Inputs'!$B$26)</x:f>
        <x:v>52038.32017200695</x:v>
      </x:c>
      <x:c r="AF665" s="58" t="n">
        <x:f>MAX('Commercial Inputs'!$B$27,AF664*'Commercial Inputs'!$B$26)</x:f>
        <x:v>55303.445802403665</x:v>
      </x:c>
      <x:c r="AG665" s="58" t="n">
        <x:f>MAX('Commercial Inputs'!$B$27,AG664*'Commercial Inputs'!$B$26)</x:f>
        <x:v>58608.6316350241</x:v>
      </x:c>
      <x:c r="AH665" s="58" t="n">
        <x:f>MAX('Commercial Inputs'!$B$27,AH664*'Commercial Inputs'!$B$26)</x:f>
        <x:v>61993.85717859327</x:v>
      </x:c>
      <x:c r="AI665" s="58" t="n">
        <x:f>MAX('Commercial Inputs'!$B$27,AI664*'Commercial Inputs'!$B$26)</x:f>
        <x:v>65477.28731301296</x:v>
      </x:c>
      <x:c r="AJ665" s="58" t="n">
        <x:f>MAX('Commercial Inputs'!$B$27,AJ664*'Commercial Inputs'!$B$26)</x:f>
        <x:v>69065.34010090603</x:v>
      </x:c>
      <x:c r="AK665" s="58" t="n">
        <x:f>MAX('Commercial Inputs'!$B$27,AK664*'Commercial Inputs'!$B$26)</x:f>
        <x:v>72764.21123784962</x:v>
      </x:c>
    </x:row>
    <x:row r="666" ht="18" customHeight="1">
      <x:c r="A666" s="4" t="str">
        <x:v>Earned annual-plan revenue (INR)</x:v>
      </x:c>
      <x:c r="B666" s="58" t="n">
        <x:f>B654*$B$714/'Commercial Inputs'!$B$46</x:f>
        <x:v>3955.9633510593217</x:v>
      </x:c>
      <x:c r="C666" s="58" t="n">
        <x:f>C654*$B$714/'Commercial Inputs'!$B$46</x:f>
        <x:v>8221.52383394068</x:v>
      </x:c>
      <x:c r="D666" s="58" t="n">
        <x:f>D654*$B$714/'Commercial Inputs'!$B$46</x:f>
        <x:v>12833.833104462714</x:v>
      </x:c>
      <x:c r="E666" s="58" t="n">
        <x:f>E654*$B$714/'Commercial Inputs'!$B$46</x:f>
        <x:v>19210.48826968468</x:v>
      </x:c>
      <x:c r="F666" s="58" t="n">
        <x:f>F654*$B$714/'Commercial Inputs'!$B$46</x:f>
        <x:v>26022.105114123115</x:v>
      </x:c>
      <x:c r="G666" s="58" t="n">
        <x:f>G654*$B$714/'Commercial Inputs'!$B$46</x:f>
        <x:v>33320.879039283995</x:v>
      </x:c>
      <x:c r="H666" s="58" t="n">
        <x:f>H654*$B$714/'Commercial Inputs'!$B$46</x:f>
        <x:v>44146.57460869581</x:v>
      </x:c>
      <x:c r="I666" s="58" t="n">
        <x:f>I654*$B$714/'Commercial Inputs'!$B$46</x:f>
        <x:v>55583.36002016586</x:v>
      </x:c>
      <x:c r="J666" s="58" t="n">
        <x:f>J654*$B$714/'Commercial Inputs'!$B$46</x:f>
        <x:v>67704.56605474114</x:v>
      </x:c>
      <x:c r="K666" s="58" t="n">
        <x:f>K654*$B$714/'Commercial Inputs'!$B$46</x:f>
        <x:v>80592.32318719426</x:v>
      </x:c>
      <x:c r="L666" s="58" t="n">
        <x:f>L654*$B$714/'Commercial Inputs'!$B$46</x:f>
        <x:v>94338.61754927057</x:v>
      </x:c>
      <x:c r="M666" s="58" t="n">
        <x:f>M654*$B$714/'Commercial Inputs'!$B$46</x:f>
        <x:v>109046.47360852484</x:v>
      </x:c>
      <x:c r="N666" s="58" t="n">
        <x:f>N654*$B$714/'Commercial Inputs'!$B$46</x:f>
        <x:v>126358.38335277147</x:v>
      </x:c>
      <x:c r="O666" s="58" t="n">
        <x:f>O654*$B$714/'Commercial Inputs'!$B$46</x:f>
        <x:v>144226.1920831606</x:v>
      </x:c>
      <x:c r="P666" s="58" t="n">
        <x:f>P654*$B$714/'Commercial Inputs'!$B$46</x:f>
        <x:v>162685.5915439251</x:v>
      </x:c>
      <x:c r="Q666" s="58" t="n">
        <x:f>Q654*$B$714/'Commercial Inputs'!$B$46</x:f>
        <x:v>180798.50023582508</x:v>
      </x:c>
      <x:c r="R666" s="58" t="n">
        <x:f>R654*$B$714/'Commercial Inputs'!$B$46</x:f>
        <x:v>199579.80600527648</x:v>
      </x:c>
      <x:c r="S666" s="58" t="n">
        <x:f>S654*$B$714/'Commercial Inputs'!$B$46</x:f>
        <x:v>219070.64510526077</x:v>
      </x:c>
      <x:c r="T666" s="58" t="n">
        <x:f>T654*$B$714/'Commercial Inputs'!$B$46</x:f>
        <x:v>242412.29160259443</x:v>
      </x:c>
      <x:c r="U666" s="58" t="n">
        <x:f>U654*$B$714/'Commercial Inputs'!$B$46</x:f>
        <x:v>266551.1430720812</x:v>
      </x:c>
      <x:c r="V666" s="58" t="n">
        <x:f>V654*$B$714/'Commercial Inputs'!$B$46</x:f>
        <x:v>291533.6454035727</x:v>
      </x:c>
      <x:c r="W666" s="58" t="n">
        <x:f>W654*$B$714/'Commercial Inputs'!$B$46</x:f>
        <x:v>317407.88049715804</x:v>
      </x:c>
      <x:c r="X666" s="58" t="n">
        <x:f>X654*$B$714/'Commercial Inputs'!$B$46</x:f>
        <x:v>344223.4475846688</x:v>
      </x:c>
      <x:c r="Y666" s="58" t="n">
        <x:f>Y654*$B$714/'Commercial Inputs'!$B$46</x:f>
        <x:v>372031.30510978703</x:v>
      </x:c>
      <x:c r="Z666" s="58" t="n">
        <x:f>Z654*$B$714/'Commercial Inputs'!$B$46</x:f>
        <x:v>400140.0172020255</x:v>
      </x:c>
      <x:c r="AA666" s="58" t="n">
        <x:f>AA654*$B$714/'Commercial Inputs'!$B$46</x:f>
        <x:v>429094.2687950534</x:v>
      </x:c>
      <x:c r="AB666" s="58" t="n">
        <x:f>AB654*$B$714/'Commercial Inputs'!$B$46</x:f>
        <x:v>458931.2753428757</x:v>
      </x:c>
      <x:c r="AC666" s="58" t="n">
        <x:f>AC654*$B$714/'Commercial Inputs'!$B$46</x:f>
        <x:v>489502.5106720806</x:v>
      </x:c>
      <x:c r="AD666" s="58" t="n">
        <x:f>AD654*$B$714/'Commercial Inputs'!$B$46</x:f>
        <x:v>521034.04034291155</x:v>
      </x:c>
      <x:c r="AE666" s="58" t="n">
        <x:f>AE654*$B$714/'Commercial Inputs'!$B$46</x:f>
        <x:v>553566.0884038452</x:v>
      </x:c>
      <x:c r="AF666" s="58" t="n">
        <x:f>AF654*$B$714/'Commercial Inputs'!$B$46</x:f>
        <x:v>587777.9308326824</x:v>
      </x:c>
      <x:c r="AG666" s="58" t="n">
        <x:f>AG654*$B$714/'Commercial Inputs'!$B$46</x:f>
        <x:v>623073.2936271526</x:v>
      </x:c>
      <x:c r="AH666" s="58" t="n">
        <x:f>AH654*$B$714/'Commercial Inputs'!$B$46</x:f>
        <x:v>659494.7625958688</x:v>
      </x:c>
      <x:c r="AI666" s="58" t="n">
        <x:f>AI654*$B$714/'Commercial Inputs'!$B$46</x:f>
        <x:v>697085.4855676248</x:v>
      </x:c>
      <x:c r="AJ666" s="58" t="n">
        <x:f>AJ654*$B$714/'Commercial Inputs'!$B$46</x:f>
        <x:v>735889.022770906</x:v>
      </x:c>
      <x:c r="AK666" s="58" t="n">
        <x:f>AK654*$B$714/'Commercial Inputs'!$B$46</x:f>
        <x:v>775949.1707018641</x:v>
      </x:c>
    </x:row>
    <x:row r="667" ht="18" customHeight="1">
      <x:c r="A667" s="4" t="str">
        <x:v>Earned monthly-plan revenue (INR)</x:v>
      </x:c>
      <x:c r="B667" s="58" t="n">
        <x:f>B661*$B$715</x:f>
        <x:v>2274.876963559322</x:v>
      </x:c>
      <x:c r="C667" s="58" t="n">
        <x:f>C661*$B$715</x:f>
        <x:v>3776.889205672881</x:v>
      </x:c>
      <x:c r="D667" s="58" t="n">
        <x:f>D661*$B$715</x:f>
        <x:v>5043.097097974817</x:v>
      </x:c>
      <x:c r="E667" s="58" t="n">
        <x:f>E661*$B$715</x:f>
        <x:v>7071.296955474199</x:v>
      </x:c>
      <x:c r="F667" s="58" t="n">
        <x:f>F661*$B$715</x:f>
        <x:v>8762.497354023812</x:v>
      </x:c>
      <x:c r="G667" s="58" t="n">
        <x:f>G661*$B$715</x:f>
        <x:v>10343.85108503405</x:v>
      </x:c>
      <x:c r="H667" s="58" t="n">
        <x:f>H661*$B$715</x:f>
        <x:v>13627.408484462749</x:v>
      </x:c>
      <x:c r="I667" s="58" t="n">
        <x:f>I661*$B$715</x:f>
        <x:v>16210.25351535446</x:v>
      </x:c>
      <x:c r="J667" s="58" t="n">
        <x:f>J661*$B$715</x:f>
        <x:v>18564.257133593128</x:v>
      </x:c>
      <x:c r="K667" s="58" t="n">
        <x:f>K661*$B$715</x:f>
        <x:v>20881.75475442881</x:v>
      </x:c>
      <x:c r="L667" s="58" t="n">
        <x:f>L661*$B$715</x:f>
        <x:v>23205.065271758158</x:v>
      </x:c>
      <x:c r="M667" s="58" t="n">
        <x:f>M661*$B$715</x:f>
        <x:v>25574.74902331658</x:v>
      </x:c>
      <x:c r="N667" s="58" t="n">
        <x:f>N661*$B$715</x:f>
        <x:v>30521.44702524943</x:v>
      </x:c>
      <x:c r="O667" s="58" t="n">
        <x:f>O661*$B$715</x:f>
        <x:v>34304.492571382674</x:v>
      </x:c>
      <x:c r="P667" s="58" t="n">
        <x:f>P661*$B$715</x:f>
        <x:v>37665.893234686126</x:v>
      </x:c>
      <x:c r="Q667" s="58" t="n">
        <x:f>Q661*$B$715</x:f>
        <x:v>40891.75955259167</x:v>
      </x:c>
      <x:c r="R667" s="58" t="n">
        <x:f>R661*$B$715</x:f>
        <x:v>44030.45973020234</x:v>
      </x:c>
      <x:c r="S667" s="58" t="n">
        <x:f>S661*$B$715</x:f>
        <x:v>47125.56294554903</x:v>
      </x:c>
      <x:c r="T667" s="58" t="n">
        <x:f>T661*$B$715</x:f>
        <x:v>53213.927343945536</x:v>
      </x:c>
      <x:c r="U667" s="58" t="n">
        <x:f>U661*$B$715</x:f>
        <x:v>58082.03085890659</x:v>
      </x:c>
      <x:c r="V667" s="58" t="n">
        <x:f>V661*$B$715</x:f>
        <x:v>62541.403938027644</x:v>
      </x:c>
      <x:c r="W667" s="58" t="n">
        <x:f>W661*$B$715</x:f>
        <x:v>66913.7640525887</x:v>
      </x:c>
      <x:c r="X667" s="58" t="n">
        <x:f>X661*$B$715</x:f>
        <x:v>71257.11704093919</x:v>
      </x:c>
      <x:c r="Y667" s="58" t="n">
        <x:f>Y661*$B$715</x:f>
        <x:v>75624.59805792128</x:v>
      </x:c>
      <x:c r="Z667" s="58" t="n">
        <x:f>Z661*$B$715</x:f>
        <x:v>81712.86828079888</x:v>
      </x:c>
      <x:c r="AA667" s="58" t="n">
        <x:f>AA661*$B$715</x:f>
        <x:v>86935.89625719859</x:v>
      </x:c>
      <x:c r="AB667" s="58" t="n">
        <x:f>AB661*$B$715</x:f>
        <x:v>91848.70990371228</x:v>
      </x:c>
      <x:c r="AC667" s="58" t="n">
        <x:f>AC661*$B$715</x:f>
        <x:v>96672.36742068507</x:v>
      </x:c>
      <x:c r="AD667" s="58" t="n">
        <x:f>AD661*$B$715</x:f>
        <x:v>101457.72605278029</x:v>
      </x:c>
      <x:c r="AE667" s="58" t="n">
        <x:f>AE661*$B$715</x:f>
        <x:v>106250.46583128041</x:v>
      </x:c>
      <x:c r="AF667" s="58" t="n">
        <x:f>AF661*$B$715</x:f>
        <x:v>113816.71347948704</x:v>
      </x:c>
      <x:c r="AG667" s="58" t="n">
        <x:f>AG661*$B$715</x:f>
        <x:v>120330.68705660084</x:v>
      </x:c>
      <x:c r="AH667" s="58" t="n">
        <x:f>AH661*$B$715</x:f>
        <x:v>126534.23532099447</x:v>
      </x:c>
      <x:c r="AI667" s="58" t="n">
        <x:f>AI661*$B$715</x:f>
        <x:v>132723.364341443</x:v>
      </x:c>
      <x:c r="AJ667" s="58" t="n">
        <x:f>AJ661*$B$715</x:f>
        <x:v>138953.81190857769</x:v>
      </x:c>
      <x:c r="AK667" s="58" t="n">
        <x:f>AK661*$B$715</x:f>
        <x:v>145276.3734092805</x:v>
      </x:c>
    </x:row>
    <x:row r="668" ht="18" customHeight="1">
      <x:c r="A668" s="74" t="str">
        <x:v>EARNED REVENUE, NET OF SALES TAX / REFUNDS</x:v>
      </x:c>
      <x:c r="B668" s="75" t="n">
        <x:f>SUM(B666:B667)</x:f>
        <x:v>6230.840314618644</x:v>
      </x:c>
      <x:c r="C668" s="75" t="n">
        <x:f>SUM(C666:C667)</x:f>
        <x:v>11998.413039613562</x:v>
      </x:c>
      <x:c r="D668" s="75" t="n">
        <x:f>SUM(D666:D667)</x:f>
        <x:v>17876.930202437532</x:v>
      </x:c>
      <x:c r="E668" s="75" t="n">
        <x:f>SUM(E666:E667)</x:f>
        <x:v>26281.785225158877</x:v>
      </x:c>
      <x:c r="F668" s="75" t="n">
        <x:f>SUM(F666:F667)</x:f>
        <x:v>34784.60246814693</x:v>
      </x:c>
      <x:c r="G668" s="75" t="n">
        <x:f>SUM(G666:G667)</x:f>
        <x:v>43664.73012431804</x:v>
      </x:c>
      <x:c r="H668" s="75" t="n">
        <x:f>SUM(H666:H667)</x:f>
        <x:v>57773.98309315856</x:v>
      </x:c>
      <x:c r="I668" s="75" t="n">
        <x:f>SUM(I666:I667)</x:f>
        <x:v>71793.61353552033</x:v>
      </x:c>
      <x:c r="J668" s="75" t="n">
        <x:f>SUM(J666:J667)</x:f>
        <x:v>86268.82318833427</x:v>
      </x:c>
      <x:c r="K668" s="75" t="n">
        <x:f>SUM(K666:K667)</x:f>
        <x:v>101474.07794162307</x:v>
      </x:c>
      <x:c r="L668" s="75" t="n">
        <x:f>SUM(L666:L667)</x:f>
        <x:v>117543.68282102872</x:v>
      </x:c>
      <x:c r="M668" s="75" t="n">
        <x:f>SUM(M666:M667)</x:f>
        <x:v>134621.22263184143</x:v>
      </x:c>
      <x:c r="N668" s="75" t="n">
        <x:f>SUM(N666:N667)</x:f>
        <x:v>156879.8303780209</x:v>
      </x:c>
      <x:c r="O668" s="75" t="n">
        <x:f>SUM(O666:O667)</x:f>
        <x:v>178530.68465454326</x:v>
      </x:c>
      <x:c r="P668" s="75" t="n">
        <x:f>SUM(P666:P667)</x:f>
        <x:v>200351.48477861122</x:v>
      </x:c>
      <x:c r="Q668" s="75" t="n">
        <x:f>SUM(Q666:Q667)</x:f>
        <x:v>221690.25978841673</x:v>
      </x:c>
      <x:c r="R668" s="75" t="n">
        <x:f>SUM(R666:R667)</x:f>
        <x:v>243610.2657354788</x:v>
      </x:c>
      <x:c r="S668" s="75" t="n">
        <x:f>SUM(S666:S667)</x:f>
        <x:v>266196.2080508098</x:v>
      </x:c>
      <x:c r="T668" s="75" t="n">
        <x:f>SUM(T666:T667)</x:f>
        <x:v>295626.21894654</x:v>
      </x:c>
      <x:c r="U668" s="75" t="n">
        <x:f>SUM(U666:U667)</x:f>
        <x:v>324633.1739309878</x:v>
      </x:c>
      <x:c r="V668" s="75" t="n">
        <x:f>SUM(V666:V667)</x:f>
        <x:v>354075.04934160033</x:v>
      </x:c>
      <x:c r="W668" s="75" t="n">
        <x:f>SUM(W666:W667)</x:f>
        <x:v>384321.64454974676</x:v>
      </x:c>
      <x:c r="X668" s="75" t="n">
        <x:f>SUM(X666:X667)</x:f>
        <x:v>415480.56462560804</x:v>
      </x:c>
      <x:c r="Y668" s="75" t="n">
        <x:f>SUM(Y666:Y667)</x:f>
        <x:v>447655.9031677083</x:v>
      </x:c>
      <x:c r="Z668" s="75" t="n">
        <x:f>SUM(Z666:Z667)</x:f>
        <x:v>481852.8854828244</x:v>
      </x:c>
      <x:c r="AA668" s="75" t="n">
        <x:f>SUM(AA666:AA667)</x:f>
        <x:v>516030.165052252</x:v>
      </x:c>
      <x:c r="AB668" s="75" t="n">
        <x:f>SUM(AB666:AB667)</x:f>
        <x:v>550779.985246588</x:v>
      </x:c>
      <x:c r="AC668" s="75" t="n">
        <x:f>SUM(AC666:AC667)</x:f>
        <x:v>586174.8780927657</x:v>
      </x:c>
      <x:c r="AD668" s="75" t="n">
        <x:f>SUM(AD666:AD667)</x:f>
        <x:v>622491.7663956918</x:v>
      </x:c>
      <x:c r="AE668" s="75" t="n">
        <x:f>SUM(AE666:AE667)</x:f>
        <x:v>659816.5542351257</x:v>
      </x:c>
      <x:c r="AF668" s="75" t="n">
        <x:f>SUM(AF666:AF667)</x:f>
        <x:v>701594.6443121694</x:v>
      </x:c>
      <x:c r="AG668" s="75" t="n">
        <x:f>SUM(AG666:AG667)</x:f>
        <x:v>743403.9806837534</x:v>
      </x:c>
      <x:c r="AH668" s="75" t="n">
        <x:f>SUM(AH666:AH667)</x:f>
        <x:v>786028.9979168633</x:v>
      </x:c>
      <x:c r="AI668" s="75" t="n">
        <x:f>SUM(AI666:AI667)</x:f>
        <x:v>829808.8499090679</x:v>
      </x:c>
      <x:c r="AJ668" s="75" t="n">
        <x:f>SUM(AJ666:AJ667)</x:f>
        <x:v>874842.8346794837</x:v>
      </x:c>
      <x:c r="AK668" s="75" t="n">
        <x:f>SUM(AK666:AK667)</x:f>
        <x:v>921225.5441111445</x:v>
      </x:c>
    </x:row>
    <x:row r="669" ht="18" customHeight="1">
      <x:c r="A669" s="4" t="str">
        <x:v>Annual gross billings, ex-tax (INR)</x:v>
      </x:c>
      <x:c r="B669" s="58" t="n">
        <x:f>B655*$B$714</x:f>
        <x:v>48939.75279661018</x:v>
      </x:c>
      <x:c r="C669" s="58" t="n">
        <x:f>C655*$B$714</x:f>
        <x:v>52769.82040677967</x:v>
      </x:c>
      <x:c r="D669" s="58" t="n">
        <x:f>D655*$B$714</x:f>
        <x:v>57059.49613016949</x:v>
      </x:c>
      <x:c r="E669" s="58" t="n">
        <x:f>E655*$B$714</x:f>
        <x:v>78886.45565223054</x:v>
      </x:c>
      <x:c r="F669" s="58" t="n">
        <x:f>F655*$B$714</x:f>
        <x:v>84267.42487965073</x:v>
      </x:c>
      <x:c r="G669" s="58" t="n">
        <x:f>G655*$B$714</x:f>
        <x:v>90294.11041436136</x:v>
      </x:c>
      <x:c r="H669" s="58" t="n">
        <x:f>H655*$B$714</x:f>
        <x:v>133926.13075561018</x:v>
      </x:c>
      <x:c r="I669" s="58" t="n">
        <x:f>I655*$B$714</x:f>
        <x:v>141486.0050903512</x:v>
      </x:c>
      <x:c r="J669" s="58" t="n">
        <x:f>J655*$B$714</x:f>
        <x:v>149953.0643452611</x:v>
      </x:c>
      <x:c r="K669" s="58" t="n">
        <x:f>K655*$B$714</x:f>
        <x:v>159436.17071076029</x:v>
      </x:c>
      <x:c r="L669" s="58" t="n">
        <x:f>L655*$B$714</x:f>
        <x:v>170057.2498401193</x:v>
      </x:c>
      <x:c r="M669" s="58" t="n">
        <x:f>M655*$B$714</x:f>
        <x:v>181952.85846500142</x:v>
      </x:c>
      <x:c r="N669" s="58" t="n">
        <x:f>N655*$B$714</x:f>
        <x:v>263107.70839553745</x:v>
      </x:c>
      <x:c r="O669" s="58" t="n">
        <x:f>O655*$B$714</x:f>
        <x:v>273814.8768652017</x:v>
      </x:c>
      <x:c r="P669" s="58" t="n">
        <x:f>P655*$B$714</x:f>
        <x:v>285423.20079942147</x:v>
      </x:c>
      <x:c r="Q669" s="58" t="n">
        <x:f>Q655*$B$714</x:f>
        <x:v>302963.6765829517</x:v>
      </x:c>
      <x:c r="R669" s="58" t="n">
        <x:f>R655*$B$714</x:f>
        <x:v>316613.4756357502</x:v>
      </x:c>
      <x:c r="S669" s="58" t="n">
        <x:f>S655*$B$714</x:f>
        <x:v>331417.8930945798</x:v>
      </x:c>
      <x:c r="T669" s="58" t="n">
        <x:f>T655*$B$714</x:f>
        <x:v>422688.7678360264</x:v>
      </x:c>
      <x:c r="U669" s="58" t="n">
        <x:f>U655*$B$714</x:f>
        <x:v>440110.97172317805</x:v>
      </x:c>
      <x:c r="V669" s="58" t="n">
        <x:f>V655*$B$714</x:f>
        <x:v>459014.9488585582</x:v>
      </x:c>
      <x:c r="W669" s="58" t="n">
        <x:f>W655*$B$714</x:f>
        <x:v>479529.8007344961</x:v>
      </x:c>
      <x:c r="X669" s="58" t="n">
        <x:f>X655*$B$714</x:f>
        <x:v>501796.2241186033</x:v>
      </x:c>
      <x:c r="Y669" s="58" t="n">
        <x:f>Y655*$B$714</x:f>
        <x:v>525967.5907345047</x:v>
      </x:c>
      <x:c r="Z669" s="58" t="n">
        <x:f>Z655*$B$714</x:f>
        <x:v>610844.3528356014</x:v>
      </x:c>
      <x:c r="AA669" s="58" t="n">
        <x:f>AA655*$B$714</x:f>
        <x:v>632011.803789258</x:v>
      </x:c>
      <x:c r="AB669" s="58" t="n">
        <x:f>AB655*$B$714</x:f>
        <x:v>654540.8075766045</x:v>
      </x:c>
      <x:c r="AC669" s="58" t="n">
        <x:f>AC655*$B$714</x:f>
        <x:v>681164.5260164156</x:v>
      </x:c>
      <x:c r="AD669" s="58" t="n">
        <x:f>AD655*$B$714</x:f>
        <x:v>706694.2550687105</x:v>
      </x:c>
      <x:c r="AE669" s="58" t="n">
        <x:f>AE655*$B$714</x:f>
        <x:v>733876.2196215938</x:v>
      </x:c>
      <x:c r="AF669" s="58" t="n">
        <x:f>AF655*$B$714</x:f>
        <x:v>845928.0556154563</x:v>
      </x:c>
      <x:c r="AG669" s="58" t="n">
        <x:f>AG655*$B$714</x:f>
        <x:v>876754.6351599217</x:v>
      </x:c>
      <x:c r="AH669" s="58" t="n">
        <x:f>AH655*$B$714</x:f>
        <x:v>909589.8226983468</x:v>
      </x:c>
      <x:c r="AI669" s="58" t="n">
        <x:f>AI655*$B$714</x:f>
        <x:v>944569.6725500345</x:v>
      </x:c>
      <x:c r="AJ669" s="58" t="n">
        <x:f>AJ655*$B$714</x:f>
        <x:v>981839.9833344532</x:v>
      </x:c>
      <x:c r="AK669" s="58" t="n">
        <x:f>AK655*$B$714</x:f>
        <x:v>1021557.0496741908</x:v>
      </x:c>
    </x:row>
    <x:row r="670" ht="18" customHeight="1">
      <x:c r="A670" s="4" t="str">
        <x:v>Monthly gross billings, ex-tax (INR)</x:v>
      </x:c>
      <x:c r="B670" s="58" t="n">
        <x:f>B662*$B$715</x:f>
        <x:v>2345.2339830508477</x:v>
      </x:c>
      <x:c r="C670" s="58" t="n">
        <x:f>C662*$B$715</x:f>
        <x:v>3893.7002120338984</x:v>
      </x:c>
      <x:c r="D670" s="58" t="n">
        <x:f>D662*$B$715</x:f>
        <x:v>5199.069173169914</x:v>
      </x:c>
      <x:c r="E670" s="58" t="n">
        <x:f>E662*$B$715</x:f>
        <x:v>7289.996861313609</x:v>
      </x:c>
      <x:c r="F670" s="58" t="n">
        <x:f>F662*$B$715</x:f>
        <x:v>9033.502426828672</x:v>
      </x:c>
      <x:c r="G670" s="58" t="n">
        <x:f>G662*$B$715</x:f>
        <x:v>10663.764005189742</x:v>
      </x:c>
      <x:c r="H670" s="58" t="n">
        <x:f>H662*$B$715</x:f>
        <x:v>14048.874726250258</x:v>
      </x:c>
      <x:c r="I670" s="58" t="n">
        <x:f>I662*$B$715</x:f>
        <x:v>16711.60156222109</x:v>
      </x:c>
      <x:c r="J670" s="58" t="n">
        <x:f>J662*$B$715</x:f>
        <x:v>19138.40941607539</x:v>
      </x:c>
      <x:c r="K670" s="58" t="n">
        <x:f>K662*$B$715</x:f>
        <x:v>21527.58222106063</x:v>
      </x:c>
      <x:c r="L670" s="58" t="n">
        <x:f>L662*$B$715</x:f>
        <x:v>23922.74770284346</x:v>
      </x:c>
      <x:c r="M670" s="58" t="n">
        <x:f>M662*$B$715</x:f>
        <x:v>26365.720642594413</x:v>
      </x:c>
      <x:c r="N670" s="58" t="n">
        <x:f>N662*$B$715</x:f>
        <x:v>31465.409304380857</x:v>
      </x:c>
      <x:c r="O670" s="58" t="n">
        <x:f>O662*$B$715</x:f>
        <x:v>35365.45625915739</x:v>
      </x:c>
      <x:c r="P670" s="58" t="n">
        <x:f>P662*$B$715</x:f>
        <x:v>38830.81776771765</x:v>
      </x:c>
      <x:c r="Q670" s="58" t="n">
        <x:f>Q662*$B$715</x:f>
        <x:v>42156.45314700172</x:v>
      </x:c>
      <x:c r="R670" s="58" t="n">
        <x:f>R662*$B$715</x:f>
        <x:v>45392.22652598179</x:v>
      </x:c>
      <x:c r="S670" s="58" t="n">
        <x:f>S662*$B$715</x:f>
        <x:v>48583.05458304024</x:v>
      </x:c>
      <x:c r="T670" s="58" t="n">
        <x:f>T662*$B$715</x:f>
        <x:v>54859.71891128405</x:v>
      </x:c>
      <x:c r="U670" s="58" t="n">
        <x:f>U662*$B$715</x:f>
        <x:v>59878.38232876969</x:v>
      </x:c>
      <x:c r="V670" s="58" t="n">
        <x:f>V662*$B$715</x:f>
        <x:v>64475.67416291509</x:v>
      </x:c>
      <x:c r="W670" s="58" t="n">
        <x:f>W662*$B$715</x:f>
        <x:v>68983.26190988526</x:v>
      </x:c>
      <x:c r="X670" s="58" t="n">
        <x:f>X662*$B$715</x:f>
        <x:v>73460.9454030301</x:v>
      </x:c>
      <x:c r="Y670" s="58" t="n">
        <x:f>Y662*$B$715</x:f>
        <x:v>77963.50315249615</x:v>
      </x:c>
      <x:c r="Z670" s="58" t="n">
        <x:f>Z662*$B$715</x:f>
        <x:v>84240.07039257616</x:v>
      </x:c>
      <x:c r="AA670" s="58" t="n">
        <x:f>AA662*$B$715</x:f>
        <x:v>89624.63531669958</x:v>
      </x:c>
      <x:c r="AB670" s="58" t="n">
        <x:f>AB662*$B$715</x:f>
        <x:v>94689.39165331163</x:v>
      </x:c>
      <x:c r="AC670" s="58" t="n">
        <x:f>AC662*$B$715</x:f>
        <x:v>99662.23445431452</x:v>
      </x:c>
      <x:c r="AD670" s="58" t="n">
        <x:f>AD662*$B$715</x:f>
        <x:v>104595.59386884565</x:v>
      </x:c>
      <x:c r="AE670" s="58" t="n">
        <x:f>AE662*$B$715</x:f>
        <x:v>109536.56271266022</x:v>
      </x:c>
      <x:c r="AF670" s="58" t="n">
        <x:f>AF662*$B$715</x:f>
        <x:v>117336.81802008973</x:v>
      </x:c>
      <x:c r="AG670" s="58" t="n">
        <x:f>AG662*$B$715</x:f>
        <x:v>124052.25469752666</x:v>
      </x:c>
      <x:c r="AH670" s="58" t="n">
        <x:f>AH662*$B$715</x:f>
        <x:v>130447.66527937574</x:v>
      </x:c>
      <x:c r="AI670" s="58" t="n">
        <x:f>AI662*$B$715</x:f>
        <x:v>136828.21066128142</x:v>
      </x:c>
      <x:c r="AJ670" s="58" t="n">
        <x:f>AJ662*$B$715</x:f>
        <x:v>143251.35248306976</x:v>
      </x:c>
      <x:c r="AK670" s="58" t="n">
        <x:f>AK662*$B$715</x:f>
        <x:v>149769.4571229696</x:v>
      </x:c>
    </x:row>
    <x:row r="671" ht="18" customHeight="1">
      <x:c r="A671" s="4" t="str">
        <x:v>Total gross billings, ex-tax (INR)</x:v>
      </x:c>
      <x:c r="B671" s="58" t="n">
        <x:f>SUM(B669:B670)</x:f>
        <x:v>51284.98677966103</x:v>
      </x:c>
      <x:c r="C671" s="58" t="n">
        <x:f>SUM(C669:C670)</x:f>
        <x:v>56663.52061881356</x:v>
      </x:c>
      <x:c r="D671" s="58" t="n">
        <x:f>SUM(D669:D670)</x:f>
        <x:v>62258.565303339405</x:v>
      </x:c>
      <x:c r="E671" s="58" t="n">
        <x:f>SUM(E669:E670)</x:f>
        <x:v>86176.45251354415</x:v>
      </x:c>
      <x:c r="F671" s="58" t="n">
        <x:f>SUM(F669:F670)</x:f>
        <x:v>93300.9273064794</x:v>
      </x:c>
      <x:c r="G671" s="58" t="n">
        <x:f>SUM(G669:G670)</x:f>
        <x:v>100957.87441955111</x:v>
      </x:c>
      <x:c r="H671" s="58" t="n">
        <x:f>SUM(H669:H670)</x:f>
        <x:v>147975.00548186043</x:v>
      </x:c>
      <x:c r="I671" s="58" t="n">
        <x:f>SUM(I669:I670)</x:f>
        <x:v>158197.60665257229</x:v>
      </x:c>
      <x:c r="J671" s="58" t="n">
        <x:f>SUM(J669:J670)</x:f>
        <x:v>169091.4737613365</x:v>
      </x:c>
      <x:c r="K671" s="58" t="n">
        <x:f>SUM(K669:K670)</x:f>
        <x:v>180963.75293182093</x:v>
      </x:c>
      <x:c r="L671" s="58" t="n">
        <x:f>SUM(L669:L670)</x:f>
        <x:v>193979.99754296275</x:v>
      </x:c>
      <x:c r="M671" s="58" t="n">
        <x:f>SUM(M669:M670)</x:f>
        <x:v>208318.57910759584</x:v>
      </x:c>
      <x:c r="N671" s="58" t="n">
        <x:f>SUM(N669:N670)</x:f>
        <x:v>294573.11769991834</x:v>
      </x:c>
      <x:c r="O671" s="58" t="n">
        <x:f>SUM(O669:O670)</x:f>
        <x:v>309180.3331243591</x:v>
      </x:c>
      <x:c r="P671" s="58" t="n">
        <x:f>SUM(P669:P670)</x:f>
        <x:v>324254.0185671391</x:v>
      </x:c>
      <x:c r="Q671" s="58" t="n">
        <x:f>SUM(Q669:Q670)</x:f>
        <x:v>345120.1297299534</x:v>
      </x:c>
      <x:c r="R671" s="58" t="n">
        <x:f>SUM(R669:R670)</x:f>
        <x:v>362005.702161732</x:v>
      </x:c>
      <x:c r="S671" s="58" t="n">
        <x:f>SUM(S669:S670)</x:f>
        <x:v>380000.94767762005</x:v>
      </x:c>
      <x:c r="T671" s="58" t="n">
        <x:f>SUM(T669:T670)</x:f>
        <x:v>477548.48674731044</x:v>
      </x:c>
      <x:c r="U671" s="58" t="n">
        <x:f>SUM(U669:U670)</x:f>
        <x:v>499989.3540519477</x:v>
      </x:c>
      <x:c r="V671" s="58" t="n">
        <x:f>SUM(V669:V670)</x:f>
        <x:v>523490.6230214733</x:v>
      </x:c>
      <x:c r="W671" s="58" t="n">
        <x:f>SUM(W669:W670)</x:f>
        <x:v>548513.0626443813</x:v>
      </x:c>
      <x:c r="X671" s="58" t="n">
        <x:f>SUM(X669:X670)</x:f>
        <x:v>575257.1695216334</x:v>
      </x:c>
      <x:c r="Y671" s="58" t="n">
        <x:f>SUM(Y669:Y670)</x:f>
        <x:v>603931.0938870009</x:v>
      </x:c>
      <x:c r="Z671" s="58" t="n">
        <x:f>SUM(Z669:Z670)</x:f>
        <x:v>695084.4232281776</x:v>
      </x:c>
      <x:c r="AA671" s="58" t="n">
        <x:f>SUM(AA669:AA670)</x:f>
        <x:v>721636.4391059576</x:v>
      </x:c>
      <x:c r="AB671" s="58" t="n">
        <x:f>SUM(AB669:AB670)</x:f>
        <x:v>749230.1992299162</x:v>
      </x:c>
      <x:c r="AC671" s="58" t="n">
        <x:f>SUM(AC669:AC670)</x:f>
        <x:v>780826.76047073</x:v>
      </x:c>
      <x:c r="AD671" s="58" t="n">
        <x:f>SUM(AD669:AD670)</x:f>
        <x:v>811289.8489375561</x:v>
      </x:c>
      <x:c r="AE671" s="58" t="n">
        <x:f>SUM(AE669:AE670)</x:f>
        <x:v>843412.782334254</x:v>
      </x:c>
      <x:c r="AF671" s="58" t="n">
        <x:f>SUM(AF669:AF670)</x:f>
        <x:v>963264.8736355461</x:v>
      </x:c>
      <x:c r="AG671" s="58" t="n">
        <x:f>SUM(AG669:AG670)</x:f>
        <x:v>1000806.8898574484</x:v>
      </x:c>
      <x:c r="AH671" s="58" t="n">
        <x:f>SUM(AH669:AH670)</x:f>
        <x:v>1040037.4879777225</x:v>
      </x:c>
      <x:c r="AI671" s="58" t="n">
        <x:f>SUM(AI669:AI670)</x:f>
        <x:v>1081397.8832113158</x:v>
      </x:c>
      <x:c r="AJ671" s="58" t="n">
        <x:f>SUM(AJ669:AJ670)</x:f>
        <x:v>1125091.3358175228</x:v>
      </x:c>
      <x:c r="AK671" s="58" t="n">
        <x:f>SUM(AK669:AK670)</x:f>
        <x:v>1171326.5067971605</x:v>
      </x:c>
    </x:row>
    <x:row r="672" ht="18" customHeight="1">
      <x:c r="A672" s="4" t="str">
        <x:v>Refunds (INR)</x:v>
      </x:c>
      <x:c r="B672" s="58" t="n">
        <x:f>B671*'Scenario Inputs'!$C$29</x:f>
        <x:v>1538.5496033898307</x:v>
      </x:c>
      <x:c r="C672" s="58" t="n">
        <x:f>C671*'Scenario Inputs'!$C$29</x:f>
        <x:v>1699.905618564407</x:v>
      </x:c>
      <x:c r="D672" s="58" t="n">
        <x:f>D671*'Scenario Inputs'!$C$29</x:f>
        <x:v>1867.756959100182</x:v>
      </x:c>
      <x:c r="E672" s="58" t="n">
        <x:f>E671*'Scenario Inputs'!$C$29</x:f>
        <x:v>2585.2935754063246</x:v>
      </x:c>
      <x:c r="F672" s="58" t="n">
        <x:f>F671*'Scenario Inputs'!$C$29</x:f>
        <x:v>2799.0278191943817</x:v>
      </x:c>
      <x:c r="G672" s="58" t="n">
        <x:f>G671*'Scenario Inputs'!$C$29</x:f>
        <x:v>3028.7362325865333</x:v>
      </x:c>
      <x:c r="H672" s="58" t="n">
        <x:f>H671*'Scenario Inputs'!$C$29</x:f>
        <x:v>4439.250164455812</x:v>
      </x:c>
      <x:c r="I672" s="58" t="n">
        <x:f>I671*'Scenario Inputs'!$C$29</x:f>
        <x:v>4745.928199577168</x:v>
      </x:c>
      <x:c r="J672" s="58" t="n">
        <x:f>J671*'Scenario Inputs'!$C$29</x:f>
        <x:v>5072.744212840094</x:v>
      </x:c>
      <x:c r="K672" s="58" t="n">
        <x:f>K671*'Scenario Inputs'!$C$29</x:f>
        <x:v>5428.912587954627</x:v>
      </x:c>
      <x:c r="L672" s="58" t="n">
        <x:f>L671*'Scenario Inputs'!$C$29</x:f>
        <x:v>5819.399926288882</x:v>
      </x:c>
      <x:c r="M672" s="58" t="n">
        <x:f>M671*'Scenario Inputs'!$C$29</x:f>
        <x:v>6249.557373227875</x:v>
      </x:c>
      <x:c r="N672" s="58" t="n">
        <x:f>N671*'Scenario Inputs'!$C$29</x:f>
        <x:v>8837.19353099755</x:v>
      </x:c>
      <x:c r="O672" s="58" t="n">
        <x:f>O671*'Scenario Inputs'!$C$29</x:f>
        <x:v>9275.409993730773</x:v>
      </x:c>
      <x:c r="P672" s="58" t="n">
        <x:f>P671*'Scenario Inputs'!$C$29</x:f>
        <x:v>9727.620557014174</x:v>
      </x:c>
      <x:c r="Q672" s="58" t="n">
        <x:f>Q671*'Scenario Inputs'!$C$29</x:f>
        <x:v>10353.603891898601</x:v>
      </x:c>
      <x:c r="R672" s="58" t="n">
        <x:f>R671*'Scenario Inputs'!$C$29</x:f>
        <x:v>10860.17106485196</x:v>
      </x:c>
      <x:c r="S672" s="58" t="n">
        <x:f>S671*'Scenario Inputs'!$C$29</x:f>
        <x:v>11400.0284303286</x:v>
      </x:c>
      <x:c r="T672" s="58" t="n">
        <x:f>T671*'Scenario Inputs'!$C$29</x:f>
        <x:v>14326.454602419313</x:v>
      </x:c>
      <x:c r="U672" s="58" t="n">
        <x:f>U671*'Scenario Inputs'!$C$29</x:f>
        <x:v>14999.680621558431</x:v>
      </x:c>
      <x:c r="V672" s="58" t="n">
        <x:f>V671*'Scenario Inputs'!$C$29</x:f>
        <x:v>15704.718690644198</x:v>
      </x:c>
      <x:c r="W672" s="58" t="n">
        <x:f>W671*'Scenario Inputs'!$C$29</x:f>
        <x:v>16455.391879331437</x:v>
      </x:c>
      <x:c r="X672" s="58" t="n">
        <x:f>X671*'Scenario Inputs'!$C$29</x:f>
        <x:v>17257.715085649</x:v>
      </x:c>
      <x:c r="Y672" s="58" t="n">
        <x:f>Y671*'Scenario Inputs'!$C$29</x:f>
        <x:v>18117.932816610028</x:v>
      </x:c>
      <x:c r="Z672" s="58" t="n">
        <x:f>Z671*'Scenario Inputs'!$C$29</x:f>
        <x:v>20852.532696845326</x:v>
      </x:c>
      <x:c r="AA672" s="58" t="n">
        <x:f>AA671*'Scenario Inputs'!$C$29</x:f>
        <x:v>21649.093173178728</x:v>
      </x:c>
      <x:c r="AB672" s="58" t="n">
        <x:f>AB671*'Scenario Inputs'!$C$29</x:f>
        <x:v>22476.905976897484</x:v>
      </x:c>
      <x:c r="AC672" s="58" t="n">
        <x:f>AC671*'Scenario Inputs'!$C$29</x:f>
        <x:v>23424.8028141219</x:v>
      </x:c>
      <x:c r="AD672" s="58" t="n">
        <x:f>AD671*'Scenario Inputs'!$C$29</x:f>
        <x:v>24338.695468126683</x:v>
      </x:c>
      <x:c r="AE672" s="58" t="n">
        <x:f>AE671*'Scenario Inputs'!$C$29</x:f>
        <x:v>25302.38347002762</x:v>
      </x:c>
      <x:c r="AF672" s="58" t="n">
        <x:f>AF671*'Scenario Inputs'!$C$29</x:f>
        <x:v>28897.94620906638</x:v>
      </x:c>
      <x:c r="AG672" s="58" t="n">
        <x:f>AG671*'Scenario Inputs'!$C$29</x:f>
        <x:v>30024.20669572345</x:v>
      </x:c>
      <x:c r="AH672" s="58" t="n">
        <x:f>AH671*'Scenario Inputs'!$C$29</x:f>
        <x:v>31201.124639331676</x:v>
      </x:c>
      <x:c r="AI672" s="58" t="n">
        <x:f>AI671*'Scenario Inputs'!$C$29</x:f>
        <x:v>32441.936496339473</x:v>
      </x:c>
      <x:c r="AJ672" s="58" t="n">
        <x:f>AJ671*'Scenario Inputs'!$C$29</x:f>
        <x:v>33752.74007452568</x:v>
      </x:c>
      <x:c r="AK672" s="58" t="n">
        <x:f>AK671*'Scenario Inputs'!$C$29</x:f>
        <x:v>35139.795203914815</x:v>
      </x:c>
    </x:row>
    <x:row r="673" ht="18" customHeight="1">
      <x:c r="A673" s="4" t="str">
        <x:v>Net billings, ex-tax (INR)</x:v>
      </x:c>
      <x:c r="B673" s="58" t="n">
        <x:f>B671-B672</x:f>
        <x:v>49746.437176271196</x:v>
      </x:c>
      <x:c r="C673" s="58" t="n">
        <x:f>C671-C672</x:f>
        <x:v>54963.615000249156</x:v>
      </x:c>
      <x:c r="D673" s="58" t="n">
        <x:f>D671-D672</x:f>
        <x:v>60390.80834423922</x:v>
      </x:c>
      <x:c r="E673" s="58" t="n">
        <x:f>E671-E672</x:f>
        <x:v>83591.15893813783</x:v>
      </x:c>
      <x:c r="F673" s="58" t="n">
        <x:f>F671-F672</x:f>
        <x:v>90501.89948728502</x:v>
      </x:c>
      <x:c r="G673" s="58" t="n">
        <x:f>G671-G672</x:f>
        <x:v>97929.13818696457</x:v>
      </x:c>
      <x:c r="H673" s="58" t="n">
        <x:f>H671-H672</x:f>
        <x:v>143535.7553174046</x:v>
      </x:c>
      <x:c r="I673" s="58" t="n">
        <x:f>I671-I672</x:f>
        <x:v>153451.6784529951</x:v>
      </x:c>
      <x:c r="J673" s="58" t="n">
        <x:f>J671-J672</x:f>
        <x:v>164018.7295484964</x:v>
      </x:c>
      <x:c r="K673" s="58" t="n">
        <x:f>K671-K672</x:f>
        <x:v>175534.8403438663</x:v>
      </x:c>
      <x:c r="L673" s="58" t="n">
        <x:f>L671-L672</x:f>
        <x:v>188160.59761667388</x:v>
      </x:c>
      <x:c r="M673" s="58" t="n">
        <x:f>M671-M672</x:f>
        <x:v>202069.02173436797</x:v>
      </x:c>
      <x:c r="N673" s="58" t="n">
        <x:f>N671-N672</x:f>
        <x:v>285735.9241689208</x:v>
      </x:c>
      <x:c r="O673" s="58" t="n">
        <x:f>O671-O672</x:f>
        <x:v>299904.9231306283</x:v>
      </x:c>
      <x:c r="P673" s="58" t="n">
        <x:f>P671-P672</x:f>
        <x:v>314526.3980101249</x:v>
      </x:c>
      <x:c r="Q673" s="58" t="n">
        <x:f>Q671-Q672</x:f>
        <x:v>334766.52583805483</x:v>
      </x:c>
      <x:c r="R673" s="58" t="n">
        <x:f>R671-R672</x:f>
        <x:v>351145.53109688003</x:v>
      </x:c>
      <x:c r="S673" s="58" t="n">
        <x:f>S671-S672</x:f>
        <x:v>368600.91924729146</x:v>
      </x:c>
      <x:c r="T673" s="58" t="n">
        <x:f>T671-T672</x:f>
        <x:v>463222.0321448911</x:v>
      </x:c>
      <x:c r="U673" s="58" t="n">
        <x:f>U671-U672</x:f>
        <x:v>484989.67343038926</x:v>
      </x:c>
      <x:c r="V673" s="58" t="n">
        <x:f>V671-V672</x:f>
        <x:v>507785.9043308291</x:v>
      </x:c>
      <x:c r="W673" s="58" t="n">
        <x:f>W671-W672</x:f>
        <x:v>532057.6707650499</x:v>
      </x:c>
      <x:c r="X673" s="58" t="n">
        <x:f>X671-X672</x:f>
        <x:v>557999.4544359844</x:v>
      </x:c>
      <x:c r="Y673" s="58" t="n">
        <x:f>Y671-Y672</x:f>
        <x:v>585813.161070391</x:v>
      </x:c>
      <x:c r="Z673" s="58" t="n">
        <x:f>Z671-Z672</x:f>
        <x:v>674231.8905313322</x:v>
      </x:c>
      <x:c r="AA673" s="58" t="n">
        <x:f>AA671-AA672</x:f>
        <x:v>699987.3459327789</x:v>
      </x:c>
      <x:c r="AB673" s="58" t="n">
        <x:f>AB671-AB672</x:f>
        <x:v>726753.2932530188</x:v>
      </x:c>
      <x:c r="AC673" s="58" t="n">
        <x:f>AC671-AC672</x:f>
        <x:v>757401.9576566081</x:v>
      </x:c>
      <x:c r="AD673" s="58" t="n">
        <x:f>AD671-AD672</x:f>
        <x:v>786951.1534694295</x:v>
      </x:c>
      <x:c r="AE673" s="58" t="n">
        <x:f>AE671-AE672</x:f>
        <x:v>818110.3988642264</x:v>
      </x:c>
      <x:c r="AF673" s="58" t="n">
        <x:f>AF671-AF672</x:f>
        <x:v>934366.9274264796</x:v>
      </x:c>
      <x:c r="AG673" s="58" t="n">
        <x:f>AG671-AG672</x:f>
        <x:v>970782.6831617249</x:v>
      </x:c>
      <x:c r="AH673" s="58" t="n">
        <x:f>AH671-AH672</x:f>
        <x:v>1008836.3633383908</x:v>
      </x:c>
      <x:c r="AI673" s="58" t="n">
        <x:f>AI671-AI672</x:f>
        <x:v>1048955.9467149763</x:v>
      </x:c>
      <x:c r="AJ673" s="58" t="n">
        <x:f>AJ671-AJ672</x:f>
        <x:v>1091338.5957429972</x:v>
      </x:c>
      <x:c r="AK673" s="58" t="n">
        <x:f>AK671-AK672</x:f>
        <x:v>1136186.7115932456</x:v>
      </x:c>
    </x:row>
    <x:row r="674" ht="18" customHeight="1">
      <x:c r="A674" s="4" t="str">
        <x:v>Payment / store fees (INR)</x:v>
      </x:c>
      <x:c r="B674" s="58" t="n">
        <x:f>B655*$B$716+B662*$B$717</x:f>
        <x:v>9150.528956949152</x:v>
      </x:c>
      <x:c r="C674" s="58" t="n">
        <x:f>C655*$B$716+C662*$B$717</x:f>
        <x:v>10147.568533592033</x:v>
      </x:c>
      <x:c r="D674" s="58" t="n">
        <x:f>D655*$B$716+D662*$B$717</x:f>
        <x:v>11175.979560833084</x:v>
      </x:c>
      <x:c r="E674" s="58" t="n">
        <x:f>E655*$B$716+E662*$B$717</x:f>
        <x:v>15472.143930883029</x:v>
      </x:c>
      <x:c r="F674" s="58" t="n">
        <x:f>F655*$B$716+F662*$B$717</x:f>
        <x:v>16784.008697481055</x:v>
      </x:c>
      <x:c r="G674" s="58" t="n">
        <x:f>G655*$B$716+G662*$B$717</x:f>
        <x:v>18186.931785525663</x:v>
      </x:c>
      <x:c r="H674" s="58" t="n">
        <x:f>H655*$B$716+H662*$B$717</x:f>
        <x:v>26611.40643548272</x:v>
      </x:c>
      <x:c r="I674" s="58" t="n">
        <x:f>I655*$B$716+I662*$B$717</x:f>
        <x:v>28498.36557589786</x:v>
      </x:c>
      <x:c r="J674" s="58" t="n">
        <x:f>J655*$B$716+J662*$B$717</x:f>
        <x:v>30497.445152921144</x:v>
      </x:c>
      <x:c r="K674" s="58" t="n">
        <x:f>K655*$B$716+K662*$B$717</x:f>
        <x:v>32668.73427076482</x:v>
      </x:c>
      <x:c r="L674" s="58" t="n">
        <x:f>L655*$B$716+L662*$B$717</x:f>
        <x:v>35042.80642756036</x:v>
      </x:c>
      <x:c r="M674" s="58" t="n">
        <x:f>M655*$B$716+M662*$B$717</x:f>
        <x:v>37652.45335830172</x:v>
      </x:c>
      <x:c r="N674" s="58" t="n">
        <x:f>N655*$B$716+N662*$B$717</x:f>
        <x:v>53075.57873719024</x:v>
      </x:c>
      <x:c r="O674" s="58" t="n">
        <x:f>O655*$B$716+O662*$B$717</x:f>
        <x:v>55774.613419030335</x:v>
      </x:c>
      <x:c r="P674" s="58" t="n">
        <x:f>P655*$B$716+P662*$B$717</x:f>
        <x:v>58543.793133338215</x:v>
      </x:c>
      <x:c r="Q674" s="58" t="n">
        <x:f>Q655*$B$716+Q662*$B$717</x:f>
        <x:v>62334.87711589677</x:v>
      </x:c>
      <x:c r="R674" s="58" t="n">
        <x:f>R655*$B$716+R662*$B$717</x:f>
        <x:v>65418.37767466172</x:v>
      </x:c>
      <x:c r="S674" s="58" t="n">
        <x:f>S655*$B$716+S662*$B$717</x:f>
        <x:v>68697.12603950834</x:v>
      </x:c>
      <x:c r="T674" s="58" t="n">
        <x:f>T655*$B$716+T662*$B$717</x:f>
        <x:v>86154.1600509607</x:v>
      </x:c>
      <x:c r="U674" s="58" t="n">
        <x:f>U655*$B$716+U662*$B$717</x:f>
        <x:v>90272.73339965653</x:v>
      </x:c>
      <x:c r="V674" s="58" t="n">
        <x:f>V655*$B$716+V662*$B$717</x:f>
        <x:v>94567.02678979807</x:v>
      </x:c>
      <x:c r="W674" s="58" t="n">
        <x:f>W655*$B$716+W662*$B$717</x:f>
        <x:v>99128.16522531678</x:v>
      </x:c>
      <x:c r="X674" s="58" t="n">
        <x:f>X655*$B$716+X662*$B$717</x:f>
        <x:v>103993.37514296519</x:v>
      </x:c>
      <x:c r="Y674" s="58" t="n">
        <x:f>Y655*$B$716+Y662*$B$717</x:f>
        <x:v>109201.09445529657</x:v>
      </x:c>
      <x:c r="Z674" s="58" t="n">
        <x:f>Z655*$B$716+Z662*$B$717</x:f>
        <x:v>125525.62838073532</x:v>
      </x:c>
      <x:c r="AA674" s="58" t="n">
        <x:f>AA655*$B$716+AA662*$B$717</x:f>
        <x:v>130382.83851214203</x:v>
      </x:c>
      <x:c r="AB674" s="58" t="n">
        <x:f>AB655*$B$716+AB662*$B$717</x:f>
        <x:v>135415.37845880372</x:v>
      </x:c>
      <x:c r="AC674" s="58" t="n">
        <x:f>AC655*$B$716+AC662*$B$717</x:f>
        <x:v>141154.22892668378</x:v>
      </x:c>
      <x:c r="AD674" s="58" t="n">
        <x:f>AD655*$B$716+AD662*$B$717</x:f>
        <x:v>146691.19376172993</x:v>
      </x:c>
      <x:c r="AE674" s="58" t="n">
        <x:f>AE655*$B$716+AE662*$B$717</x:f>
        <x:v>152522.35696107819</x:v>
      </x:c>
      <x:c r="AF674" s="58" t="n">
        <x:f>AF655*$B$716+AF662*$B$717</x:f>
        <x:v>173973.53370265057</x:v>
      </x:c>
      <x:c r="AG674" s="58" t="n">
        <x:f>AG655*$B$716+AG662*$B$717</x:f>
        <x:v>180815.40310898508</x:v>
      </x:c>
      <x:c r="AH674" s="58" t="n">
        <x:f>AH655*$B$716+AH662*$B$717</x:f>
        <x:v>187947.1594093264</x:v>
      </x:c>
      <x:c r="AI674" s="58" t="n">
        <x:f>AI655*$B$716+AI662*$B$717</x:f>
        <x:v>195455.7038020057</x:v>
      </x:c>
      <x:c r="AJ674" s="58" t="n">
        <x:f>AJ655*$B$716+AJ662*$B$717</x:f>
        <x:v>203378.6851114128</x:v>
      </x:c>
      <x:c r="AK674" s="58" t="n">
        <x:f>AK655*$B$716+AK662*$B$717</x:f>
        <x:v>211754.56249994805</x:v>
      </x:c>
    </x:row>
    <x:row r="675" ht="18" customHeight="1">
      <x:c r="A675" s="4" t="str">
        <x:v>Billing / entitlement reserve (INR)</x:v>
      </x:c>
      <x:c r="B675" s="58" t="n">
        <x:f>B655*$B$718+B662*$B$719</x:f>
        <x:v>534.7638</x:v>
      </x:c>
      <x:c r="C675" s="58" t="n">
        <x:f>C655*$B$718+C662*$B$719</x:f>
        <x:v>590.7725829000001</x:v>
      </x:c>
      <x:c r="D675" s="58" t="n">
        <x:f>D655*$B$718+D662*$B$719</x:f>
        <x:v>649.0535154997499</x:v>
      </x:c>
      <x:c r="E675" s="58" t="n">
        <x:f>E655*$B$718+E662*$B$719</x:f>
        <x:v>898.3951779800827</x:v>
      </x:c>
      <x:c r="F675" s="58" t="n">
        <x:f>F655*$B$718+F662*$B$719</x:f>
        <x:v>972.6027916160629</x:v>
      </x:c>
      <x:c r="G675" s="58" t="n">
        <x:f>G655*$B$718+G662*$B$719</x:f>
        <x:v>1052.370552808996</x:v>
      </x:c>
      <x:c r="H675" s="58" t="n">
        <x:f>H655*$B$718+H662*$B$719</x:f>
        <x:v>1542.5612384792046</x:v>
      </x:c>
      <x:c r="I675" s="58" t="n">
        <x:f>I655*$B$718+I662*$B$719</x:f>
        <x:v>1649.0292912091256</x:v>
      </x:c>
      <x:c r="J675" s="58" t="n">
        <x:f>J655*$B$718+J662*$B$719</x:f>
        <x:v>1762.5121420425169</x:v>
      </x:c>
      <x:c r="K675" s="58" t="n">
        <x:f>K655*$B$718+K662*$B$719</x:f>
        <x:v>1886.201916221989</x:v>
      </x:c>
      <x:c r="L675" s="58" t="n">
        <x:f>L655*$B$718+L662*$B$719</x:f>
        <x:v>2021.8228176946457</x:v>
      </x:c>
      <x:c r="M675" s="58" t="n">
        <x:f>M655*$B$718+M662*$B$719</x:f>
        <x:v>2171.232846652732</x:v>
      </x:c>
      <x:c r="N675" s="58" t="n">
        <x:f>N655*$B$718+N662*$B$719</x:f>
        <x:v>3070.5682205198095</x:v>
      </x:c>
      <x:c r="O675" s="58" t="n">
        <x:f>O655*$B$718+O662*$B$719</x:f>
        <x:v>3222.6964170003157</x:v>
      </x:c>
      <x:c r="P675" s="58" t="n">
        <x:f>P655*$B$718+P662*$B$719</x:f>
        <x:v>3379.7148187872194</x:v>
      </x:c>
      <x:c r="Q675" s="58" t="n">
        <x:f>Q655*$B$718+Q662*$B$719</x:f>
        <x:v>3597.155797283665</x:v>
      </x:c>
      <x:c r="R675" s="58" t="n">
        <x:f>R655*$B$718+R662*$B$719</x:f>
        <x:v>3773.085223322752</x:v>
      </x:c>
      <x:c r="S675" s="58" t="n">
        <x:f>S655*$B$718+S662*$B$719</x:f>
        <x:v>3960.591034800022</x:v>
      </x:c>
      <x:c r="T675" s="58" t="n">
        <x:f>T655*$B$718+T662*$B$719</x:f>
        <x:v>4977.643953202543</x:v>
      </x:c>
      <x:c r="U675" s="58" t="n">
        <x:f>U655*$B$718+U662*$B$719</x:f>
        <x:v>5211.412305848703</x:v>
      </x:c>
      <x:c r="V675" s="58" t="n">
        <x:f>V655*$B$718+V662*$B$719</x:f>
        <x:v>5456.26476064051</x:v>
      </x:c>
      <x:c r="W675" s="58" t="n">
        <x:f>W655*$B$718+W662*$B$719</x:f>
        <x:v>5716.988058783845</x:v>
      </x:c>
      <x:c r="X675" s="58" t="n">
        <x:f>X655*$B$718+X662*$B$719</x:f>
        <x:v>5995.669930761171</x:v>
      </x:c>
      <x:c r="Y675" s="58" t="n">
        <x:f>Y655*$B$718+Y662*$B$719</x:f>
        <x:v>6294.478222171906</x:v>
      </x:c>
      <x:c r="Z675" s="58" t="n">
        <x:f>Z655*$B$718+Z662*$B$719</x:f>
        <x:v>7244.840031466994</x:v>
      </x:c>
      <x:c r="AA675" s="58" t="n">
        <x:f>AA655*$B$718+AA662*$B$719</x:f>
        <x:v>7521.466337397135</x:v>
      </x:c>
      <x:c r="AB675" s="58" t="n">
        <x:f>AB655*$B$718+AB662*$B$719</x:f>
        <x:v>7808.9763184438</x:v>
      </x:c>
      <x:c r="AC675" s="58" t="n">
        <x:f>AC655*$B$718+AC662*$B$719</x:f>
        <x:v>8138.24048418585</x:v>
      </x:c>
      <x:c r="AD675" s="58" t="n">
        <x:f>AD655*$B$718+AD662*$B$719</x:f>
        <x:v>8455.684883324097</x:v>
      </x:c>
      <x:c r="AE675" s="58" t="n">
        <x:f>AE655*$B$718+AE662*$B$719</x:f>
        <x:v>8790.440900239024</x:v>
      </x:c>
      <x:c r="AF675" s="58" t="n">
        <x:f>AF655*$B$718+AF662*$B$719</x:f>
        <x:v>10040.0410972257</x:v>
      </x:c>
      <x:c r="AG675" s="58" t="n">
        <x:f>AG655*$B$718+AG662*$B$719</x:f>
        <x:v>10431.215843178155</x:v>
      </x:c>
      <x:c r="AH675" s="58" t="n">
        <x:f>AH655*$B$718+AH662*$B$719</x:f>
        <x:v>10840.020743598268</x:v>
      </x:c>
      <x:c r="AI675" s="58" t="n">
        <x:f>AI655*$B$718+AI662*$B$719</x:f>
        <x:v>11271.040117308727</x:v>
      </x:c>
      <x:c r="AJ675" s="58" t="n">
        <x:f>AJ655*$B$718+AJ662*$B$719</x:f>
        <x:v>11726.390653790866</x:v>
      </x:c>
      <x:c r="AK675" s="58" t="n">
        <x:f>AK655*$B$718+AK662*$B$719</x:f>
        <x:v>12208.245664405895</x:v>
      </x:c>
    </x:row>
    <x:row r="676" ht="18" customHeight="1">
      <x:c r="A676" s="4" t="str">
        <x:v>Paid users: AI cost (INR)</x:v>
      </x:c>
      <x:c r="B676" s="58" t="n">
        <x:f>B664*'Commercial Inputs'!$B$24*$B$720</x:f>
        <x:v>143.56485</x:v>
      </x:c>
      <x:c r="C676" s="58" t="n">
        <x:f>C664*'Commercial Inputs'!$B$24*$B$720</x:f>
        <x:v>283.36268317500003</x:v>
      </x:c>
      <x:c r="D676" s="58" t="n">
        <x:f>D664*'Commercial Inputs'!$B$24*$B$720</x:f>
        <x:v>428.87800990856255</x:v>
      </x:c>
      <x:c r="E676" s="58" t="n">
        <x:f>E664*'Commercial Inputs'!$B$24*$B$720</x:f>
        <x:v>634.437512012111</x:v>
      </x:c>
      <x:c r="F676" s="58" t="n">
        <x:f>F664*'Commercial Inputs'!$B$24*$B$720</x:f>
        <x:v>846.5189146903331</x:v>
      </x:c>
      <x:c r="G676" s="58" t="n">
        <x:f>G664*'Commercial Inputs'!$B$24*$B$720</x:f>
        <x:v>1070.1267127608323</x:v>
      </x:c>
      <x:c r="H676" s="58" t="n">
        <x:f>H664*'Commercial Inputs'!$B$24*$B$720</x:f>
        <x:v>1416.5864919642177</x:v>
      </x:c>
      <x:c r="I676" s="58" t="n">
        <x:f>I664*'Commercial Inputs'!$B$24*$B$720</x:f>
        <x:v>1768.6236630838828</x:v>
      </x:c>
      <x:c r="J676" s="58" t="n">
        <x:f>J664*'Commercial Inputs'!$B$24*$B$720</x:f>
        <x:v>2135.6789548814936</x:v>
      </x:c>
      <x:c r="K676" s="58" t="n">
        <x:f>K664*'Commercial Inputs'!$B$24*$B$720</x:f>
        <x:v>2523.022315647195</x:v>
      </x:c>
      <x:c r="L676" s="58" t="n">
        <x:f>L664*'Commercial Inputs'!$B$24*$B$720</x:f>
        <x:v>2933.82510328653</x:v>
      </x:c>
      <x:c r="M676" s="58" t="n">
        <x:f>M664*'Commercial Inputs'!$B$24*$B$720</x:f>
        <x:v>3371.5313726519666</x:v>
      </x:c>
      <x:c r="N676" s="58" t="n">
        <x:f>N664*'Commercial Inputs'!$B$24*$B$720</x:f>
        <x:v>3920.773020693106</x:v>
      </x:c>
      <x:c r="O676" s="58" t="n">
        <x:f>O664*'Commercial Inputs'!$B$24*$B$720</x:f>
        <x:v>4466.785969605373</x:v>
      </x:c>
      <x:c r="P676" s="58" t="n">
        <x:f>P664*'Commercial Inputs'!$B$24*$B$720</x:f>
        <x:v>5022.24848893244</x:v>
      </x:c>
      <x:c r="Q676" s="58" t="n">
        <x:f>Q664*'Commercial Inputs'!$B$24*$B$720</x:f>
        <x:v>5566.141848744889</x:v>
      </x:c>
      <x:c r="R676" s="58" t="n">
        <x:f>R664*'Commercial Inputs'!$B$24*$B$720</x:f>
        <x:v>6126.852440034105</x:v>
      </x:c>
      <x:c r="S676" s="58" t="n">
        <x:f>S664*'Commercial Inputs'!$B$24*$B$720</x:f>
        <x:v>6706.187311783297</x:v>
      </x:c>
      <x:c r="T676" s="58" t="n">
        <x:f>T664*'Commercial Inputs'!$B$24*$B$720</x:f>
        <x:v>7437.558991732762</x:v>
      </x:c>
      <x:c r="U676" s="58" t="n">
        <x:f>U664*'Commercial Inputs'!$B$24*$B$720</x:f>
        <x:v>8171.37672965429</x:v>
      </x:c>
      <x:c r="V676" s="58" t="n">
        <x:f>V664*'Commercial Inputs'!$B$24*$B$720</x:f>
        <x:v>8921.708379065069</x:v>
      </x:c>
      <x:c r="W676" s="58" t="n">
        <x:f>W664*'Commercial Inputs'!$B$24*$B$720</x:f>
        <x:v>9694.93844011629</x:v>
      </x:c>
      <x:c r="X676" s="58" t="n">
        <x:f>X664*'Commercial Inputs'!$B$24*$B$720</x:f>
        <x:v>10493.332077862537</x:v>
      </x:c>
      <x:c r="Y676" s="58" t="n">
        <x:f>Y664*'Commercial Inputs'!$B$24*$B$720</x:f>
        <x:v>11319.11460666603</x:v>
      </x:c>
      <x:c r="Z676" s="58" t="n">
        <x:f>Z664*'Commercial Inputs'!$B$24*$B$720</x:f>
        <x:v>12180.23506570618</x:v>
      </x:c>
      <x:c r="AA676" s="58" t="n">
        <x:f>AA664*'Commercial Inputs'!$B$24*$B$720</x:f>
        <x:v>13050.718358425509</x:v>
      </x:c>
      <x:c r="AB676" s="58" t="n">
        <x:f>AB664*'Commercial Inputs'!$B$24*$B$720</x:f>
        <x:v>13940.334209407541</x:v>
      </x:c>
      <x:c r="AC676" s="58" t="n">
        <x:f>AC664*'Commercial Inputs'!$B$24*$B$720</x:f>
        <x:v>14848.527706479901</x:v>
      </x:c>
      <x:c r="AD676" s="58" t="n">
        <x:f>AD664*'Commercial Inputs'!$B$24*$B$720</x:f>
        <x:v>15782.25430048362</x:v>
      </x:c>
      <x:c r="AE676" s="58" t="n">
        <x:f>AE664*'Commercial Inputs'!$B$24*$B$720</x:f>
        <x:v>16743.329515343237</x:v>
      </x:c>
      <x:c r="AF676" s="58" t="n">
        <x:f>AF664*'Commercial Inputs'!$B$24*$B$720</x:f>
        <x:v>17793.883686923382</x:v>
      </x:c>
      <x:c r="AG676" s="58" t="n">
        <x:f>AG664*'Commercial Inputs'!$B$24*$B$720</x:f>
        <x:v>18857.327228569007</x:v>
      </x:c>
      <x:c r="AH676" s="58" t="n">
        <x:f>AH664*'Commercial Inputs'!$B$24*$B$720</x:f>
        <x:v>19946.52354721239</x:v>
      </x:c>
      <x:c r="AI676" s="58" t="n">
        <x:f>AI664*'Commercial Inputs'!$B$24*$B$720</x:f>
        <x:v>21067.31719296192</x:v>
      </x:c>
      <x:c r="AJ676" s="58" t="n">
        <x:f>AJ664*'Commercial Inputs'!$B$24*$B$720</x:f>
        <x:v>22221.77317746652</x:v>
      </x:c>
      <x:c r="AK676" s="58" t="n">
        <x:f>AK664*'Commercial Inputs'!$B$24*$B$720</x:f>
        <x:v>23411.884965778117</x:v>
      </x:c>
    </x:row>
    <x:row r="677" ht="18" customHeight="1">
      <x:c r="A677" s="4" t="str">
        <x:v>Free users: AI cost (INR)</x:v>
      </x:c>
      <x:c r="B677" s="58" t="n">
        <x:f>B665*'Commercial Inputs'!$B$25*$B$720</x:f>
        <x:v>193.05</x:v>
      </x:c>
      <x:c r="C677" s="58" t="n">
        <x:f>C665*'Commercial Inputs'!$B$25*$B$720</x:f>
        <x:v>340.03521981</x:v>
      </x:c>
      <x:c r="D677" s="58" t="n">
        <x:f>D665*'Commercial Inputs'!$B$25*$B$720</x:f>
        <x:v>514.6536118902751</x:v>
      </x:c>
      <x:c r="E677" s="58" t="n">
        <x:f>E665*'Commercial Inputs'!$B$25*$B$720</x:f>
        <x:v>761.3250144145333</x:v>
      </x:c>
      <x:c r="F677" s="58" t="n">
        <x:f>F665*'Commercial Inputs'!$B$25*$B$720</x:f>
        <x:v>1015.8226976283997</x:v>
      </x:c>
      <x:c r="G677" s="58" t="n">
        <x:f>G665*'Commercial Inputs'!$B$25*$B$720</x:f>
        <x:v>1284.1520553129988</x:v>
      </x:c>
      <x:c r="H677" s="58" t="n">
        <x:f>H665*'Commercial Inputs'!$B$25*$B$720</x:f>
        <x:v>1699.9037903570613</x:v>
      </x:c>
      <x:c r="I677" s="58" t="n">
        <x:f>I665*'Commercial Inputs'!$B$25*$B$720</x:f>
        <x:v>2122.3483957006597</x:v>
      </x:c>
      <x:c r="J677" s="58" t="n">
        <x:f>J665*'Commercial Inputs'!$B$25*$B$720</x:f>
        <x:v>2562.814745857792</x:v>
      </x:c>
      <x:c r="K677" s="58" t="n">
        <x:f>K665*'Commercial Inputs'!$B$25*$B$720</x:f>
        <x:v>3027.6267787766337</x:v>
      </x:c>
      <x:c r="L677" s="58" t="n">
        <x:f>L665*'Commercial Inputs'!$B$25*$B$720</x:f>
        <x:v>3520.5901239438354</x:v>
      </x:c>
      <x:c r="M677" s="58" t="n">
        <x:f>M665*'Commercial Inputs'!$B$25*$B$720</x:f>
        <x:v>4045.8376471823603</x:v>
      </x:c>
      <x:c r="N677" s="58" t="n">
        <x:f>N665*'Commercial Inputs'!$B$25*$B$720</x:f>
        <x:v>4704.927624831728</x:v>
      </x:c>
      <x:c r="O677" s="58" t="n">
        <x:f>O665*'Commercial Inputs'!$B$25*$B$720</x:f>
        <x:v>5360.143163526446</x:v>
      </x:c>
      <x:c r="P677" s="58" t="n">
        <x:f>P665*'Commercial Inputs'!$B$25*$B$720</x:f>
        <x:v>6026.698186718928</x:v>
      </x:c>
      <x:c r="Q677" s="58" t="n">
        <x:f>Q665*'Commercial Inputs'!$B$25*$B$720</x:f>
        <x:v>6679.370218493867</x:v>
      </x:c>
      <x:c r="R677" s="58" t="n">
        <x:f>R665*'Commercial Inputs'!$B$25*$B$720</x:f>
        <x:v>7352.222928040926</x:v>
      </x:c>
      <x:c r="S677" s="58" t="n">
        <x:f>S665*'Commercial Inputs'!$B$25*$B$720</x:f>
        <x:v>8047.424774139959</x:v>
      </x:c>
      <x:c r="T677" s="58" t="n">
        <x:f>T665*'Commercial Inputs'!$B$25*$B$720</x:f>
        <x:v>8925.070790079315</x:v>
      </x:c>
      <x:c r="U677" s="58" t="n">
        <x:f>U665*'Commercial Inputs'!$B$25*$B$720</x:f>
        <x:v>9805.65207558515</x:v>
      </x:c>
      <x:c r="V677" s="58" t="n">
        <x:f>V665*'Commercial Inputs'!$B$25*$B$720</x:f>
        <x:v>10706.050054878084</x:v>
      </x:c>
      <x:c r="W677" s="58" t="n">
        <x:f>W665*'Commercial Inputs'!$B$25*$B$720</x:f>
        <x:v>11633.926128139545</x:v>
      </x:c>
      <x:c r="X677" s="58" t="n">
        <x:f>X665*'Commercial Inputs'!$B$25*$B$720</x:f>
        <x:v>12591.998493435045</x:v>
      </x:c>
      <x:c r="Y677" s="58" t="n">
        <x:f>Y665*'Commercial Inputs'!$B$25*$B$720</x:f>
        <x:v>13582.937527999235</x:v>
      </x:c>
      <x:c r="Z677" s="58" t="n">
        <x:f>Z665*'Commercial Inputs'!$B$25*$B$720</x:f>
        <x:v>14616.282078847416</x:v>
      </x:c>
      <x:c r="AA677" s="58" t="n">
        <x:f>AA665*'Commercial Inputs'!$B$25*$B$720</x:f>
        <x:v>15660.862030110611</x:v>
      </x:c>
      <x:c r="AB677" s="58" t="n">
        <x:f>AB665*'Commercial Inputs'!$B$25*$B$720</x:f>
        <x:v>16728.401051289053</x:v>
      </x:c>
      <x:c r="AC677" s="58" t="n">
        <x:f>AC665*'Commercial Inputs'!$B$25*$B$720</x:f>
        <x:v>17818.23324777588</x:v>
      </x:c>
      <x:c r="AD677" s="58" t="n">
        <x:f>AD665*'Commercial Inputs'!$B$25*$B$720</x:f>
        <x:v>18938.705160580343</x:v>
      </x:c>
      <x:c r="AE677" s="58" t="n">
        <x:f>AE665*'Commercial Inputs'!$B$25*$B$720</x:f>
        <x:v>20091.995418411883</x:v>
      </x:c>
      <x:c r="AF677" s="58" t="n">
        <x:f>AF665*'Commercial Inputs'!$B$25*$B$720</x:f>
        <x:v>21352.660424308055</x:v>
      </x:c>
      <x:c r="AG677" s="58" t="n">
        <x:f>AG665*'Commercial Inputs'!$B$25*$B$720</x:f>
        <x:v>22628.79267428281</x:v>
      </x:c>
      <x:c r="AH677" s="58" t="n">
        <x:f>AH665*'Commercial Inputs'!$B$25*$B$720</x:f>
        <x:v>23935.828256654862</x:v>
      </x:c>
      <x:c r="AI677" s="58" t="n">
        <x:f>AI665*'Commercial Inputs'!$B$25*$B$720</x:f>
        <x:v>25280.780631554306</x:v>
      </x:c>
      <x:c r="AJ677" s="58" t="n">
        <x:f>AJ665*'Commercial Inputs'!$B$25*$B$720</x:f>
        <x:v>26666.12781295982</x:v>
      </x:c>
      <x:c r="AK677" s="58" t="n">
        <x:f>AK665*'Commercial Inputs'!$B$25*$B$720</x:f>
        <x:v>28094.261958933745</x:v>
      </x:c>
    </x:row>
    <x:row r="678" ht="18" customHeight="1">
      <x:c r="A678" s="4" t="str">
        <x:v>Variable support/tools (INR)</x:v>
      </x:c>
      <x:c r="B678" s="58" t="n">
        <x:f>B664*'Commercial Inputs'!$B$28</x:f>
        <x:v>111.55</x:v>
      </x:c>
      <x:c r="C678" s="58" t="n">
        <x:f>C664*'Commercial Inputs'!$B$28</x:f>
        <x:v>220.173025</x:v>
      </x:c>
      <x:c r="D678" s="58" t="n">
        <x:f>D664*'Commercial Inputs'!$B$28</x:f>
        <x:v>333.2385469375</x:v>
      </x:c>
      <x:c r="E678" s="58" t="n">
        <x:f>E664*'Commercial Inputs'!$B$28</x:f>
        <x:v>492.95843979185</x:v>
      </x:c>
      <x:c r="F678" s="58" t="n">
        <x:f>F664*'Commercial Inputs'!$B$28</x:f>
        <x:v>657.7458544602432</x:v>
      </x:c>
      <x:c r="G678" s="58" t="n">
        <x:f>G664*'Commercial Inputs'!$B$28</x:f>
        <x:v>831.489287304454</x:v>
      </x:c>
      <x:c r="H678" s="58" t="n">
        <x:f>H664*'Commercial Inputs'!$B$28</x:f>
        <x:v>1100.688804945002</x:v>
      </x:c>
      <x:c r="I678" s="58" t="n">
        <x:f>I664*'Commercial Inputs'!$B$28</x:f>
        <x:v>1374.2219604381373</x:v>
      </x:c>
      <x:c r="J678" s="58" t="n">
        <x:f>J664*'Commercial Inputs'!$B$28</x:f>
        <x:v>1659.4242073671276</x:v>
      </x:c>
      <x:c r="K678" s="58" t="n">
        <x:f>K664*'Commercial Inputs'!$B$28</x:f>
        <x:v>1960.39029964817</x:v>
      </x:c>
      <x:c r="L678" s="58" t="n">
        <x:f>L664*'Commercial Inputs'!$B$28</x:f>
        <x:v>2279.584384838018</x:v>
      </x:c>
      <x:c r="M678" s="58" t="n">
        <x:f>M664*'Commercial Inputs'!$B$28</x:f>
        <x:v>2619.6824962330743</x:v>
      </x:c>
      <x:c r="N678" s="58" t="n">
        <x:f>N664*'Commercial Inputs'!$B$28</x:f>
        <x:v>3046.443683522227</x:v>
      </x:c>
      <x:c r="O678" s="58" t="n">
        <x:f>O664*'Commercial Inputs'!$B$28</x:f>
        <x:v>3470.696169079543</x:v>
      </x:c>
      <x:c r="P678" s="58" t="n">
        <x:f>P664*'Commercial Inputs'!$B$28</x:f>
        <x:v>3902.2909781914836</x:v>
      </x:c>
      <x:c r="Q678" s="58" t="n">
        <x:f>Q664*'Commercial Inputs'!$B$28</x:f>
        <x:v>4324.8965413713195</x:v>
      </x:c>
      <x:c r="R678" s="58" t="n">
        <x:f>R664*'Commercial Inputs'!$B$28</x:f>
        <x:v>4760.569106475606</x:v>
      </x:c>
      <x:c r="S678" s="58" t="n">
        <x:f>S664*'Commercial Inputs'!$B$28</x:f>
        <x:v>5210.7127519683745</x:v>
      </x:c>
      <x:c r="T678" s="58" t="n">
        <x:f>T664*'Commercial Inputs'!$B$28</x:f>
        <x:v>5778.989115565471</x:v>
      </x:c>
      <x:c r="U678" s="58" t="n">
        <x:f>U664*'Commercial Inputs'!$B$28</x:f>
        <x:v>6349.166068107452</x:v>
      </x:c>
      <x:c r="V678" s="58" t="n">
        <x:f>V664*'Commercial Inputs'!$B$28</x:f>
        <x:v>6932.174342707902</x:v>
      </x:c>
      <x:c r="W678" s="58" t="n">
        <x:f>W664*'Commercial Inputs'!$B$28</x:f>
        <x:v>7532.974700945057</x:v>
      </x:c>
      <x:c r="X678" s="58" t="n">
        <x:f>X664*'Commercial Inputs'!$B$28</x:f>
        <x:v>8153.327177826368</x:v>
      </x:c>
      <x:c r="Y678" s="58" t="n">
        <x:f>Y664*'Commercial Inputs'!$B$28</x:f>
        <x:v>8794.960844340349</x:v>
      </x:c>
      <x:c r="Z678" s="58" t="n">
        <x:f>Z664*'Commercial Inputs'!$B$28</x:f>
        <x:v>9464.052110105811</x:v>
      </x:c>
      <x:c r="AA678" s="58" t="n">
        <x:f>AA664*'Commercial Inputs'!$B$28</x:f>
        <x:v>10140.418304914925</x:v>
      </x:c>
      <x:c r="AB678" s="58" t="n">
        <x:f>AB664*'Commercial Inputs'!$B$28</x:f>
        <x:v>10831.650512360173</x:v>
      </x:c>
      <x:c r="AC678" s="58" t="n">
        <x:f>AC664*'Commercial Inputs'!$B$28</x:f>
        <x:v>11537.317565252448</x:v>
      </x:c>
      <x:c r="AD678" s="58" t="n">
        <x:f>AD664*'Commercial Inputs'!$B$28</x:f>
        <x:v>12262.823854299626</x:v>
      </x:c>
      <x:c r="AE678" s="58" t="n">
        <x:f>AE664*'Commercial Inputs'!$B$28</x:f>
        <x:v>13009.580043001737</x:v>
      </x:c>
      <x:c r="AF678" s="58" t="n">
        <x:f>AF664*'Commercial Inputs'!$B$28</x:f>
        <x:v>13825.861450600916</x:v>
      </x:c>
      <x:c r="AG678" s="58" t="n">
        <x:f>AG664*'Commercial Inputs'!$B$28</x:f>
        <x:v>14652.157908756026</x:v>
      </x:c>
      <x:c r="AH678" s="58" t="n">
        <x:f>AH664*'Commercial Inputs'!$B$28</x:f>
        <x:v>15498.464294648318</x:v>
      </x:c>
      <x:c r="AI678" s="58" t="n">
        <x:f>AI664*'Commercial Inputs'!$B$28</x:f>
        <x:v>16369.32182825324</x:v>
      </x:c>
      <x:c r="AJ678" s="58" t="n">
        <x:f>AJ664*'Commercial Inputs'!$B$28</x:f>
        <x:v>17266.335025226508</x:v>
      </x:c>
      <x:c r="AK678" s="58" t="n">
        <x:f>AK664*'Commercial Inputs'!$B$28</x:f>
        <x:v>18191.052809462406</x:v>
      </x:c>
    </x:row>
    <x:row r="679" ht="18" customHeight="1">
      <x:c r="A679" s="4" t="str">
        <x:v>Total direct costs (INR)</x:v>
      </x:c>
      <x:c r="B679" s="58" t="n">
        <x:f>SUM(B674:B678)</x:f>
        <x:v>10133.457606949152</x:v>
      </x:c>
      <x:c r="C679" s="58" t="n">
        <x:f>SUM(C674:C678)</x:f>
        <x:v>11581.912044477034</x:v>
      </x:c>
      <x:c r="D679" s="58" t="n">
        <x:f>SUM(D674:D678)</x:f>
        <x:v>13101.803245069173</x:v>
      </x:c>
      <x:c r="E679" s="58" t="n">
        <x:f>SUM(E674:E678)</x:f>
        <x:v>18259.26007508161</x:v>
      </x:c>
      <x:c r="F679" s="58" t="n">
        <x:f>SUM(F674:F678)</x:f>
        <x:v>20276.69895587609</x:v>
      </x:c>
      <x:c r="G679" s="58" t="n">
        <x:f>SUM(G674:G678)</x:f>
        <x:v>22425.070393712947</x:v>
      </x:c>
      <x:c r="H679" s="58" t="n">
        <x:f>SUM(H674:H678)</x:f>
        <x:v>32371.146761228207</x:v>
      </x:c>
      <x:c r="I679" s="58" t="n">
        <x:f>SUM(I674:I678)</x:f>
        <x:v>35412.588886329664</x:v>
      </x:c>
      <x:c r="J679" s="58" t="n">
        <x:f>SUM(J674:J678)</x:f>
        <x:v>38617.87520307008</x:v>
      </x:c>
      <x:c r="K679" s="58" t="n">
        <x:f>SUM(K674:K678)</x:f>
        <x:v>42065.97558105881</x:v>
      </x:c>
      <x:c r="L679" s="58" t="n">
        <x:f>SUM(L674:L678)</x:f>
        <x:v>45798.62885732339</x:v>
      </x:c>
      <x:c r="M679" s="58" t="n">
        <x:f>SUM(M674:M678)</x:f>
        <x:v>49860.73772102185</x:v>
      </x:c>
      <x:c r="N679" s="58" t="n">
        <x:f>SUM(N674:N678)</x:f>
        <x:v>67818.29128675711</x:v>
      </x:c>
      <x:c r="O679" s="58" t="n">
        <x:f>SUM(O674:O678)</x:f>
        <x:v>72294.93513824201</x:v>
      </x:c>
      <x:c r="P679" s="58" t="n">
        <x:f>SUM(P674:P678)</x:f>
        <x:v>76874.74560596829</x:v>
      </x:c>
      <x:c r="Q679" s="58" t="n">
        <x:f>SUM(Q674:Q678)</x:f>
        <x:v>82502.4415217905</x:v>
      </x:c>
      <x:c r="R679" s="58" t="n">
        <x:f>SUM(R674:R678)</x:f>
        <x:v>87431.10737253512</x:v>
      </x:c>
      <x:c r="S679" s="58" t="n">
        <x:f>SUM(S674:S678)</x:f>
        <x:v>92622.04191219999</x:v>
      </x:c>
      <x:c r="T679" s="58" t="n">
        <x:f>SUM(T674:T678)</x:f>
        <x:v>113273.42290154079</x:v>
      </x:c>
      <x:c r="U679" s="58" t="n">
        <x:f>SUM(U674:U678)</x:f>
        <x:v>119810.34057885213</x:v>
      </x:c>
      <x:c r="V679" s="58" t="n">
        <x:f>SUM(V674:V678)</x:f>
        <x:v>126583.22432708963</x:v>
      </x:c>
      <x:c r="W679" s="58" t="n">
        <x:f>SUM(W674:W678)</x:f>
        <x:v>133706.9925533015</x:v>
      </x:c>
      <x:c r="X679" s="58" t="n">
        <x:f>SUM(X674:X678)</x:f>
        <x:v>141227.70282285032</x:v>
      </x:c>
      <x:c r="Y679" s="58" t="n">
        <x:f>SUM(Y674:Y678)</x:f>
        <x:v>149192.58565647408</x:v>
      </x:c>
      <x:c r="Z679" s="58" t="n">
        <x:f>SUM(Z674:Z678)</x:f>
        <x:v>169031.03766686172</x:v>
      </x:c>
      <x:c r="AA679" s="58" t="n">
        <x:f>SUM(AA674:AA678)</x:f>
        <x:v>176756.3035429902</x:v>
      </x:c>
      <x:c r="AB679" s="58" t="n">
        <x:f>SUM(AB674:AB678)</x:f>
        <x:v>184724.7405503043</x:v>
      </x:c>
      <x:c r="AC679" s="58" t="n">
        <x:f>SUM(AC674:AC678)</x:f>
        <x:v>193496.54793037786</x:v>
      </x:c>
      <x:c r="AD679" s="58" t="n">
        <x:f>SUM(AD674:AD678)</x:f>
        <x:v>202130.66196041764</x:v>
      </x:c>
      <x:c r="AE679" s="58" t="n">
        <x:f>SUM(AE674:AE678)</x:f>
        <x:v>211157.70283807407</x:v>
      </x:c>
      <x:c r="AF679" s="58" t="n">
        <x:f>SUM(AF674:AF678)</x:f>
        <x:v>236985.98036170864</x:v>
      </x:c>
      <x:c r="AG679" s="58" t="n">
        <x:f>SUM(AG674:AG678)</x:f>
        <x:v>247384.89676377107</x:v>
      </x:c>
      <x:c r="AH679" s="58" t="n">
        <x:f>SUM(AH674:AH678)</x:f>
        <x:v>258167.99625144026</x:v>
      </x:c>
      <x:c r="AI679" s="58" t="n">
        <x:f>SUM(AI674:AI678)</x:f>
        <x:v>269444.1635720839</x:v>
      </x:c>
      <x:c r="AJ679" s="58" t="n">
        <x:f>SUM(AJ674:AJ678)</x:f>
        <x:v>281259.3117808566</x:v>
      </x:c>
      <x:c r="AK679" s="58" t="n">
        <x:f>SUM(AK674:AK678)</x:f>
        <x:v>293660.00789852825</x:v>
      </x:c>
    </x:row>
    <x:row r="680" ht="18" customHeight="1">
      <x:c r="A680" s="74" t="str">
        <x:v>CONTRIBUTION BEFORE ACQUISITION / FIXED</x:v>
      </x:c>
      <x:c r="B680" s="75" t="n">
        <x:f>B668-B679</x:f>
        <x:v>-3902.6172923305085</x:v>
      </x:c>
      <x:c r="C680" s="75" t="n">
        <x:f>C668-C679</x:f>
        <x:v>416.5009951365282</x:v>
      </x:c>
      <x:c r="D680" s="75" t="n">
        <x:f>D668-D679</x:f>
        <x:v>4775.1269573683585</x:v>
      </x:c>
      <x:c r="E680" s="75" t="n">
        <x:f>E668-E679</x:f>
        <x:v>8022.525150077268</x:v>
      </x:c>
      <x:c r="F680" s="75" t="n">
        <x:f>F668-F679</x:f>
        <x:v>14507.903512270837</x:v>
      </x:c>
      <x:c r="G680" s="75" t="n">
        <x:f>G668-G679</x:f>
        <x:v>21239.659730605094</x:v>
      </x:c>
      <x:c r="H680" s="75" t="n">
        <x:f>H668-H679</x:f>
        <x:v>25402.836331930353</x:v>
      </x:c>
      <x:c r="I680" s="75" t="n">
        <x:f>I668-I679</x:f>
        <x:v>36381.024649190666</x:v>
      </x:c>
      <x:c r="J680" s="75" t="n">
        <x:f>J668-J679</x:f>
        <x:v>47650.94798526419</x:v>
      </x:c>
      <x:c r="K680" s="75" t="n">
        <x:f>K668-K679</x:f>
        <x:v>59408.102360564255</x:v>
      </x:c>
      <x:c r="L680" s="75" t="n">
        <x:f>L668-L679</x:f>
        <x:v>71745.05396370533</x:v>
      </x:c>
      <x:c r="M680" s="75" t="n">
        <x:f>M668-M679</x:f>
        <x:v>84760.48491081959</x:v>
      </x:c>
      <x:c r="N680" s="75" t="n">
        <x:f>N668-N679</x:f>
        <x:v>89061.5390912638</x:v>
      </x:c>
      <x:c r="O680" s="75" t="n">
        <x:f>O668-O679</x:f>
        <x:v>106235.74951630125</x:v>
      </x:c>
      <x:c r="P680" s="75" t="n">
        <x:f>P668-P679</x:f>
        <x:v>123476.73917264293</x:v>
      </x:c>
      <x:c r="Q680" s="75" t="n">
        <x:f>Q668-Q679</x:f>
        <x:v>139187.81826662621</x:v>
      </x:c>
      <x:c r="R680" s="75" t="n">
        <x:f>R668-R679</x:f>
        <x:v>156179.15836294368</x:v>
      </x:c>
      <x:c r="S680" s="75" t="n">
        <x:f>S668-S679</x:f>
        <x:v>173574.1661386098</x:v>
      </x:c>
      <x:c r="T680" s="75" t="n">
        <x:f>T668-T679</x:f>
        <x:v>182352.79604499918</x:v>
      </x:c>
      <x:c r="U680" s="75" t="n">
        <x:f>U668-U679</x:f>
        <x:v>204822.83335213564</x:v>
      </x:c>
      <x:c r="V680" s="75" t="n">
        <x:f>V668-V679</x:f>
        <x:v>227491.82501451072</x:v>
      </x:c>
      <x:c r="W680" s="75" t="n">
        <x:f>W668-W679</x:f>
        <x:v>250614.65199644526</x:v>
      </x:c>
      <x:c r="X680" s="75" t="n">
        <x:f>X668-X679</x:f>
        <x:v>274252.8618027577</x:v>
      </x:c>
      <x:c r="Y680" s="75" t="n">
        <x:f>Y668-Y679</x:f>
        <x:v>298463.3175112342</x:v>
      </x:c>
      <x:c r="Z680" s="75" t="n">
        <x:f>Z668-Z679</x:f>
        <x:v>312821.8478159627</x:v>
      </x:c>
      <x:c r="AA680" s="75" t="n">
        <x:f>AA668-AA679</x:f>
        <x:v>339273.86150926177</x:v>
      </x:c>
      <x:c r="AB680" s="75" t="n">
        <x:f>AB668-AB679</x:f>
        <x:v>366055.2446962837</x:v>
      </x:c>
      <x:c r="AC680" s="75" t="n">
        <x:f>AC668-AC679</x:f>
        <x:v>392678.3301623878</x:v>
      </x:c>
      <x:c r="AD680" s="75" t="n">
        <x:f>AD668-AD679</x:f>
        <x:v>420361.10443527414</x:v>
      </x:c>
      <x:c r="AE680" s="75" t="n">
        <x:f>AE668-AE679</x:f>
        <x:v>448658.8513970516</x:v>
      </x:c>
      <x:c r="AF680" s="75" t="n">
        <x:f>AF668-AF679</x:f>
        <x:v>464608.66395046073</x:v>
      </x:c>
      <x:c r="AG680" s="75" t="n">
        <x:f>AG668-AG679</x:f>
        <x:v>496019.0839199823</x:v>
      </x:c>
      <x:c r="AH680" s="75" t="n">
        <x:f>AH668-AH679</x:f>
        <x:v>527861.001665423</x:v>
      </x:c>
      <x:c r="AI680" s="75" t="n">
        <x:f>AI668-AI679</x:f>
        <x:v>560364.6863369839</x:v>
      </x:c>
      <x:c r="AJ680" s="75" t="n">
        <x:f>AJ668-AJ679</x:f>
        <x:v>593583.5228986271</x:v>
      </x:c>
      <x:c r="AK680" s="75" t="n">
        <x:f>AK668-AK679</x:f>
        <x:v>627565.5362126163</x:v>
      </x:c>
    </x:row>
    <x:row r="681" ht="18" customHeight="1">
      <x:c r="A681" s="4" t="str">
        <x:v>Contribution margin (%)</x:v>
      </x:c>
      <x:c r="B681" s="62" t="n">
        <x:f>IFERROR(B680/B668,0)</x:f>
        <x:v>-0.626338839590269</x:v>
      </x:c>
      <x:c r="C681" s="62" t="n">
        <x:f>IFERROR(C680/C668,0)</x:f>
        <x:v>0.03471300694195327</x:v>
      </x:c>
      <x:c r="D681" s="62" t="n">
        <x:f>IFERROR(D680/D668,0)</x:f>
        <x:v>0.2671111260879268</x:v>
      </x:c>
      <x:c r="E681" s="62" t="n">
        <x:f>IFERROR(E680/E668,0)</x:f>
        <x:v>0.305250388485692</x:v>
      </x:c>
      <x:c r="F681" s="62" t="n">
        <x:f>IFERROR(F680/F668,0)</x:f>
        <x:v>0.41707831864849004</x:v>
      </x:c>
      <x:c r="G681" s="62" t="n">
        <x:f>IFERROR(G680/G668,0)</x:f>
        <x:v>0.48642599347650994</x:v>
      </x:c>
      <x:c r="H681" s="62" t="n">
        <x:f>IFERROR(H680/H668,0)</x:f>
        <x:v>0.43969335281884847</x:v>
      </x:c>
      <x:c r="I681" s="62" t="n">
        <x:f>IFERROR(I680/I668,0)</x:f>
        <x:v>0.5067445815523818</x:v>
      </x:c>
      <x:c r="J681" s="62" t="n">
        <x:f>IFERROR(J680/J668,0)</x:f>
        <x:v>0.5523542135405853</x:v>
      </x:c>
      <x:c r="K681" s="62" t="n">
        <x:f>IFERROR(K680/K668,0)</x:f>
        <x:v>0.5854510192715532</x:v>
      </x:c>
      <x:c r="L681" s="62" t="n">
        <x:f>IFERROR(L680/L668,0)</x:f>
        <x:v>0.6103692877561434</x:v>
      </x:c>
      <x:c r="M681" s="62" t="n">
        <x:f>IFERROR(M680/M668,0)</x:f>
        <x:v>0.6296220109560313</x:v>
      </x:c>
      <x:c r="N681" s="62" t="n">
        <x:f>IFERROR(N680/N668,0)</x:f>
        <x:v>0.5677054779869359</x:v>
      </x:c>
      <x:c r="O681" s="62" t="n">
        <x:f>IFERROR(O680/O668,0)</x:f>
        <x:v>0.5950559687925207</x:v>
      </x:c>
      <x:c r="P681" s="62" t="n">
        <x:f>IFERROR(P680/P668,0)</x:f>
        <x:v>0.6163005944731829</x:v>
      </x:c>
      <x:c r="Q681" s="62" t="n">
        <x:f>IFERROR(Q680/Q668,0)</x:f>
        <x:v>0.6278481445214074</x:v>
      </x:c>
      <x:c r="R681" s="62" t="n">
        <x:f>IFERROR(R680/R668,0)</x:f>
        <x:v>0.6411025327336939</x:v>
      </x:c>
      <x:c r="S681" s="62" t="n">
        <x:f>IFERROR(S680/S668,0)</x:f>
        <x:v>0.6520534887013834</x:v>
      </x:c>
      <x:c r="T681" s="62" t="n">
        <x:f>IFERROR(T680/T668,0)</x:f>
        <x:v>0.6168356673329277</x:v>
      </x:c>
      <x:c r="U681" s="62" t="n">
        <x:f>IFERROR(U680/U668,0)</x:f>
        <x:v>0.63093623757527</x:v>
      </x:c>
      <x:c r="V681" s="62" t="n">
        <x:f>IFERROR(V680/V668,0)</x:f>
        <x:v>0.6424960624520986</x:v>
      </x:c>
      <x:c r="W681" s="62" t="n">
        <x:f>IFERROR(W680/W668,0)</x:f>
        <x:v>0.6520961167567173</x:v>
      </x:c>
      <x:c r="X681" s="62" t="n">
        <x:f>IFERROR(X680/X668,0)</x:f>
        <x:v>0.6600858984821314</x:v>
      </x:c>
      <x:c r="Y681" s="62" t="n">
        <x:f>IFERROR(Y680/Y668,0)</x:f>
        <x:v>0.6667248558529986</x:v>
      </x:c>
      <x:c r="Z681" s="62" t="n">
        <x:f>IFERROR(Z680/Z668,0)</x:f>
        <x:v>0.649206131665083</x:v>
      </x:c>
      <x:c r="AA681" s="62" t="n">
        <x:f>IFERROR(AA680/AA668,0)</x:f>
        <x:v>0.6574690482966392</x:v>
      </x:c>
      <x:c r="AB681" s="62" t="n">
        <x:f>IFERROR(AB680/AB668,0)</x:f>
        <x:v>0.6646124668680512</x:v>
      </x:c>
      <x:c r="AC681" s="62" t="n">
        <x:f>IFERROR(AC680/AC668,0)</x:f>
        <x:v>0.6698996235390424</x:v>
      </x:c>
      <x:c r="AD681" s="62" t="n">
        <x:f>IFERROR(AD680/AD668,0)</x:f>
        <x:v>0.6752878144384457</x:v>
      </x:c>
      <x:c r="AE681" s="62" t="n">
        <x:f>IFERROR(AE680/AE668,0)</x:f>
        <x:v>0.6799751362970078</x:v>
      </x:c>
      <x:c r="AF681" s="62" t="n">
        <x:f>IFERROR(AF680/AF668,0)</x:f>
        <x:v>0.6622180880613115</x:v>
      </x:c>
      <x:c r="AG681" s="62" t="n">
        <x:f>IFERROR(AG680/AG668,0)</x:f>
        <x:v>0.6672268333346342</x:v>
      </x:c>
      <x:c r="AH681" s="62" t="n">
        <x:f>IFERROR(AH680/AH668,0)</x:f>
        <x:v>0.6715541068642022</x:v>
      </x:c>
      <x:c r="AI681" s="62" t="n">
        <x:f>IFERROR(AI680/AI668,0)</x:f>
        <x:v>0.6752936973357054</x:v>
      </x:c>
      <x:c r="AJ681" s="62" t="n">
        <x:f>IFERROR(AJ680/AJ668,0)</x:f>
        <x:v>0.6785030400530152</x:v>
      </x:c>
      <x:c r="AK681" s="62" t="n">
        <x:f>IFERROR(AK680/AK668,0)</x:f>
        <x:v>0.68122897831511</x:v>
      </x:c>
    </x:row>
    <x:row r="682" ht="18" customHeight="1">
      <x:c r="A682" s="4" t="str">
        <x:v>Core operating overhead (INR)</x:v>
      </x:c>
      <x:c r="B682" s="60" t="n">
        <x:f>'Scenario Inputs'!$C$24</x:f>
        <x:v>10000</x:v>
      </x:c>
      <x:c r="C682" s="60" t="n">
        <x:f>'Scenario Inputs'!$C$24</x:f>
        <x:v>10000</x:v>
      </x:c>
      <x:c r="D682" s="60" t="n">
        <x:f>'Scenario Inputs'!$C$24</x:f>
        <x:v>10000</x:v>
      </x:c>
      <x:c r="E682" s="60" t="n">
        <x:f>'Scenario Inputs'!$C$24</x:f>
        <x:v>10000</x:v>
      </x:c>
      <x:c r="F682" s="60" t="n">
        <x:f>'Scenario Inputs'!$C$24</x:f>
        <x:v>10000</x:v>
      </x:c>
      <x:c r="G682" s="60" t="n">
        <x:f>'Scenario Inputs'!$C$24</x:f>
        <x:v>10000</x:v>
      </x:c>
      <x:c r="H682" s="60" t="n">
        <x:f>'Scenario Inputs'!$C$24</x:f>
        <x:v>10000</x:v>
      </x:c>
      <x:c r="I682" s="60" t="n">
        <x:f>'Scenario Inputs'!$C$24</x:f>
        <x:v>10000</x:v>
      </x:c>
      <x:c r="J682" s="60" t="n">
        <x:f>'Scenario Inputs'!$C$24</x:f>
        <x:v>10000</x:v>
      </x:c>
      <x:c r="K682" s="60" t="n">
        <x:f>'Scenario Inputs'!$C$24</x:f>
        <x:v>10000</x:v>
      </x:c>
      <x:c r="L682" s="60" t="n">
        <x:f>'Scenario Inputs'!$C$24</x:f>
        <x:v>10000</x:v>
      </x:c>
      <x:c r="M682" s="60" t="n">
        <x:f>'Scenario Inputs'!$C$24</x:f>
        <x:v>10000</x:v>
      </x:c>
      <x:c r="N682" s="60" t="n">
        <x:f>'Scenario Inputs'!$C$25</x:f>
        <x:v>15000</x:v>
      </x:c>
      <x:c r="O682" s="60" t="n">
        <x:f>'Scenario Inputs'!$C$25</x:f>
        <x:v>15000</x:v>
      </x:c>
      <x:c r="P682" s="60" t="n">
        <x:f>'Scenario Inputs'!$C$25</x:f>
        <x:v>15000</x:v>
      </x:c>
      <x:c r="Q682" s="60" t="n">
        <x:f>'Scenario Inputs'!$C$25</x:f>
        <x:v>15000</x:v>
      </x:c>
      <x:c r="R682" s="60" t="n">
        <x:f>'Scenario Inputs'!$C$25</x:f>
        <x:v>15000</x:v>
      </x:c>
      <x:c r="S682" s="60" t="n">
        <x:f>'Scenario Inputs'!$C$25</x:f>
        <x:v>15000</x:v>
      </x:c>
      <x:c r="T682" s="60" t="n">
        <x:f>'Scenario Inputs'!$C$25</x:f>
        <x:v>15000</x:v>
      </x:c>
      <x:c r="U682" s="60" t="n">
        <x:f>'Scenario Inputs'!$C$25</x:f>
        <x:v>15000</x:v>
      </x:c>
      <x:c r="V682" s="60" t="n">
        <x:f>'Scenario Inputs'!$C$25</x:f>
        <x:v>15000</x:v>
      </x:c>
      <x:c r="W682" s="60" t="n">
        <x:f>'Scenario Inputs'!$C$25</x:f>
        <x:v>15000</x:v>
      </x:c>
      <x:c r="X682" s="60" t="n">
        <x:f>'Scenario Inputs'!$C$25</x:f>
        <x:v>15000</x:v>
      </x:c>
      <x:c r="Y682" s="60" t="n">
        <x:f>'Scenario Inputs'!$C$25</x:f>
        <x:v>15000</x:v>
      </x:c>
      <x:c r="Z682" s="60" t="n">
        <x:f>'Scenario Inputs'!$C$26</x:f>
        <x:v>25000</x:v>
      </x:c>
      <x:c r="AA682" s="60" t="n">
        <x:f>'Scenario Inputs'!$C$26</x:f>
        <x:v>25000</x:v>
      </x:c>
      <x:c r="AB682" s="60" t="n">
        <x:f>'Scenario Inputs'!$C$26</x:f>
        <x:v>25000</x:v>
      </x:c>
      <x:c r="AC682" s="60" t="n">
        <x:f>'Scenario Inputs'!$C$26</x:f>
        <x:v>25000</x:v>
      </x:c>
      <x:c r="AD682" s="60" t="n">
        <x:f>'Scenario Inputs'!$C$26</x:f>
        <x:v>25000</x:v>
      </x:c>
      <x:c r="AE682" s="60" t="n">
        <x:f>'Scenario Inputs'!$C$26</x:f>
        <x:v>25000</x:v>
      </x:c>
      <x:c r="AF682" s="60" t="n">
        <x:f>'Scenario Inputs'!$C$26</x:f>
        <x:v>25000</x:v>
      </x:c>
      <x:c r="AG682" s="60" t="n">
        <x:f>'Scenario Inputs'!$C$26</x:f>
        <x:v>25000</x:v>
      </x:c>
      <x:c r="AH682" s="60" t="n">
        <x:f>'Scenario Inputs'!$C$26</x:f>
        <x:v>25000</x:v>
      </x:c>
      <x:c r="AI682" s="60" t="n">
        <x:f>'Scenario Inputs'!$C$26</x:f>
        <x:v>25000</x:v>
      </x:c>
      <x:c r="AJ682" s="60" t="n">
        <x:f>'Scenario Inputs'!$C$26</x:f>
        <x:v>25000</x:v>
      </x:c>
      <x:c r="AK682" s="60" t="n">
        <x:f>'Scenario Inputs'!$C$26</x:f>
        <x:v>25000</x:v>
      </x:c>
    </x:row>
    <x:row r="683" ht="18" customHeight="1">
      <x:c r="A683" s="4" t="str">
        <x:v>Scaled technical QA reserve (INR)</x:v>
      </x:c>
      <x:c r="B683" s="58" t="n">
        <x:f>IF(B664&gt;='Commercial Inputs'!$B$38,'Commercial Inputs'!$B$42,IF(B664&gt;='Commercial Inputs'!$B$37,'Commercial Inputs'!$B$41,IF(B664&gt;='Commercial Inputs'!$B$36,'Commercial Inputs'!$B$40,IF(B664&gt;='Commercial Inputs'!$B$35,'Commercial Inputs'!$B$39,0))))</x:f>
        <x:v>0</x:v>
      </x:c>
      <x:c r="C683" s="58" t="n">
        <x:f>IF(C664&gt;='Commercial Inputs'!$B$38,'Commercial Inputs'!$B$42,IF(C664&gt;='Commercial Inputs'!$B$37,'Commercial Inputs'!$B$41,IF(C664&gt;='Commercial Inputs'!$B$36,'Commercial Inputs'!$B$40,IF(C664&gt;='Commercial Inputs'!$B$35,'Commercial Inputs'!$B$39,0))))</x:f>
        <x:v>0</x:v>
      </x:c>
      <x:c r="D683" s="58" t="n">
        <x:f>IF(D664&gt;='Commercial Inputs'!$B$38,'Commercial Inputs'!$B$42,IF(D664&gt;='Commercial Inputs'!$B$37,'Commercial Inputs'!$B$41,IF(D664&gt;='Commercial Inputs'!$B$36,'Commercial Inputs'!$B$40,IF(D664&gt;='Commercial Inputs'!$B$35,'Commercial Inputs'!$B$39,0))))</x:f>
        <x:v>0</x:v>
      </x:c>
      <x:c r="E683" s="58" t="n">
        <x:f>IF(E664&gt;='Commercial Inputs'!$B$38,'Commercial Inputs'!$B$42,IF(E664&gt;='Commercial Inputs'!$B$37,'Commercial Inputs'!$B$41,IF(E664&gt;='Commercial Inputs'!$B$36,'Commercial Inputs'!$B$40,IF(E664&gt;='Commercial Inputs'!$B$35,'Commercial Inputs'!$B$39,0))))</x:f>
        <x:v>0</x:v>
      </x:c>
      <x:c r="F683" s="58" t="n">
        <x:f>IF(F664&gt;='Commercial Inputs'!$B$38,'Commercial Inputs'!$B$42,IF(F664&gt;='Commercial Inputs'!$B$37,'Commercial Inputs'!$B$41,IF(F664&gt;='Commercial Inputs'!$B$36,'Commercial Inputs'!$B$40,IF(F664&gt;='Commercial Inputs'!$B$35,'Commercial Inputs'!$B$39,0))))</x:f>
        <x:v>0</x:v>
      </x:c>
      <x:c r="G683" s="58" t="n">
        <x:f>IF(G664&gt;='Commercial Inputs'!$B$38,'Commercial Inputs'!$B$42,IF(G664&gt;='Commercial Inputs'!$B$37,'Commercial Inputs'!$B$41,IF(G664&gt;='Commercial Inputs'!$B$36,'Commercial Inputs'!$B$40,IF(G664&gt;='Commercial Inputs'!$B$35,'Commercial Inputs'!$B$39,0))))</x:f>
        <x:v>0</x:v>
      </x:c>
      <x:c r="H683" s="58" t="n">
        <x:f>IF(H664&gt;='Commercial Inputs'!$B$38,'Commercial Inputs'!$B$42,IF(H664&gt;='Commercial Inputs'!$B$37,'Commercial Inputs'!$B$41,IF(H664&gt;='Commercial Inputs'!$B$36,'Commercial Inputs'!$B$40,IF(H664&gt;='Commercial Inputs'!$B$35,'Commercial Inputs'!$B$39,0))))</x:f>
        <x:v>0</x:v>
      </x:c>
      <x:c r="I683" s="58" t="n">
        <x:f>IF(I664&gt;='Commercial Inputs'!$B$38,'Commercial Inputs'!$B$42,IF(I664&gt;='Commercial Inputs'!$B$37,'Commercial Inputs'!$B$41,IF(I664&gt;='Commercial Inputs'!$B$36,'Commercial Inputs'!$B$40,IF(I664&gt;='Commercial Inputs'!$B$35,'Commercial Inputs'!$B$39,0))))</x:f>
        <x:v>0</x:v>
      </x:c>
      <x:c r="J683" s="58" t="n">
        <x:f>IF(J664&gt;='Commercial Inputs'!$B$38,'Commercial Inputs'!$B$42,IF(J664&gt;='Commercial Inputs'!$B$37,'Commercial Inputs'!$B$41,IF(J664&gt;='Commercial Inputs'!$B$36,'Commercial Inputs'!$B$40,IF(J664&gt;='Commercial Inputs'!$B$35,'Commercial Inputs'!$B$39,0))))</x:f>
        <x:v>0</x:v>
      </x:c>
      <x:c r="K683" s="58" t="n">
        <x:f>IF(K664&gt;='Commercial Inputs'!$B$38,'Commercial Inputs'!$B$42,IF(K664&gt;='Commercial Inputs'!$B$37,'Commercial Inputs'!$B$41,IF(K664&gt;='Commercial Inputs'!$B$36,'Commercial Inputs'!$B$40,IF(K664&gt;='Commercial Inputs'!$B$35,'Commercial Inputs'!$B$39,0))))</x:f>
        <x:v>0</x:v>
      </x:c>
      <x:c r="L683" s="58" t="n">
        <x:f>IF(L664&gt;='Commercial Inputs'!$B$38,'Commercial Inputs'!$B$42,IF(L664&gt;='Commercial Inputs'!$B$37,'Commercial Inputs'!$B$41,IF(L664&gt;='Commercial Inputs'!$B$36,'Commercial Inputs'!$B$40,IF(L664&gt;='Commercial Inputs'!$B$35,'Commercial Inputs'!$B$39,0))))</x:f>
        <x:v>0</x:v>
      </x:c>
      <x:c r="M683" s="58" t="n">
        <x:f>IF(M664&gt;='Commercial Inputs'!$B$38,'Commercial Inputs'!$B$42,IF(M664&gt;='Commercial Inputs'!$B$37,'Commercial Inputs'!$B$41,IF(M664&gt;='Commercial Inputs'!$B$36,'Commercial Inputs'!$B$40,IF(M664&gt;='Commercial Inputs'!$B$35,'Commercial Inputs'!$B$39,0))))</x:f>
        <x:v>10000</x:v>
      </x:c>
      <x:c r="N683" s="58" t="n">
        <x:f>IF(N664&gt;='Commercial Inputs'!$B$38,'Commercial Inputs'!$B$42,IF(N664&gt;='Commercial Inputs'!$B$37,'Commercial Inputs'!$B$41,IF(N664&gt;='Commercial Inputs'!$B$36,'Commercial Inputs'!$B$40,IF(N664&gt;='Commercial Inputs'!$B$35,'Commercial Inputs'!$B$39,0))))</x:f>
        <x:v>10000</x:v>
      </x:c>
      <x:c r="O683" s="58" t="n">
        <x:f>IF(O664&gt;='Commercial Inputs'!$B$38,'Commercial Inputs'!$B$42,IF(O664&gt;='Commercial Inputs'!$B$37,'Commercial Inputs'!$B$41,IF(O664&gt;='Commercial Inputs'!$B$36,'Commercial Inputs'!$B$40,IF(O664&gt;='Commercial Inputs'!$B$35,'Commercial Inputs'!$B$39,0))))</x:f>
        <x:v>10000</x:v>
      </x:c>
      <x:c r="P683" s="58" t="n">
        <x:f>IF(P664&gt;='Commercial Inputs'!$B$38,'Commercial Inputs'!$B$42,IF(P664&gt;='Commercial Inputs'!$B$37,'Commercial Inputs'!$B$41,IF(P664&gt;='Commercial Inputs'!$B$36,'Commercial Inputs'!$B$40,IF(P664&gt;='Commercial Inputs'!$B$35,'Commercial Inputs'!$B$39,0))))</x:f>
        <x:v>10000</x:v>
      </x:c>
      <x:c r="Q683" s="58" t="n">
        <x:f>IF(Q664&gt;='Commercial Inputs'!$B$38,'Commercial Inputs'!$B$42,IF(Q664&gt;='Commercial Inputs'!$B$37,'Commercial Inputs'!$B$41,IF(Q664&gt;='Commercial Inputs'!$B$36,'Commercial Inputs'!$B$40,IF(Q664&gt;='Commercial Inputs'!$B$35,'Commercial Inputs'!$B$39,0))))</x:f>
        <x:v>10000</x:v>
      </x:c>
      <x:c r="R683" s="58" t="n">
        <x:f>IF(R664&gt;='Commercial Inputs'!$B$38,'Commercial Inputs'!$B$42,IF(R664&gt;='Commercial Inputs'!$B$37,'Commercial Inputs'!$B$41,IF(R664&gt;='Commercial Inputs'!$B$36,'Commercial Inputs'!$B$40,IF(R664&gt;='Commercial Inputs'!$B$35,'Commercial Inputs'!$B$39,0))))</x:f>
        <x:v>10000</x:v>
      </x:c>
      <x:c r="S683" s="58" t="n">
        <x:f>IF(S664&gt;='Commercial Inputs'!$B$38,'Commercial Inputs'!$B$42,IF(S664&gt;='Commercial Inputs'!$B$37,'Commercial Inputs'!$B$41,IF(S664&gt;='Commercial Inputs'!$B$36,'Commercial Inputs'!$B$40,IF(S664&gt;='Commercial Inputs'!$B$35,'Commercial Inputs'!$B$39,0))))</x:f>
        <x:v>10000</x:v>
      </x:c>
      <x:c r="T683" s="58" t="n">
        <x:f>IF(T664&gt;='Commercial Inputs'!$B$38,'Commercial Inputs'!$B$42,IF(T664&gt;='Commercial Inputs'!$B$37,'Commercial Inputs'!$B$41,IF(T664&gt;='Commercial Inputs'!$B$36,'Commercial Inputs'!$B$40,IF(T664&gt;='Commercial Inputs'!$B$35,'Commercial Inputs'!$B$39,0))))</x:f>
        <x:v>10000</x:v>
      </x:c>
      <x:c r="U683" s="58" t="n">
        <x:f>IF(U664&gt;='Commercial Inputs'!$B$38,'Commercial Inputs'!$B$42,IF(U664&gt;='Commercial Inputs'!$B$37,'Commercial Inputs'!$B$41,IF(U664&gt;='Commercial Inputs'!$B$36,'Commercial Inputs'!$B$40,IF(U664&gt;='Commercial Inputs'!$B$35,'Commercial Inputs'!$B$39,0))))</x:f>
        <x:v>10000</x:v>
      </x:c>
      <x:c r="V683" s="58" t="n">
        <x:f>IF(V664&gt;='Commercial Inputs'!$B$38,'Commercial Inputs'!$B$42,IF(V664&gt;='Commercial Inputs'!$B$37,'Commercial Inputs'!$B$41,IF(V664&gt;='Commercial Inputs'!$B$36,'Commercial Inputs'!$B$40,IF(V664&gt;='Commercial Inputs'!$B$35,'Commercial Inputs'!$B$39,0))))</x:f>
        <x:v>10000</x:v>
      </x:c>
      <x:c r="W683" s="58" t="n">
        <x:f>IF(W664&gt;='Commercial Inputs'!$B$38,'Commercial Inputs'!$B$42,IF(W664&gt;='Commercial Inputs'!$B$37,'Commercial Inputs'!$B$41,IF(W664&gt;='Commercial Inputs'!$B$36,'Commercial Inputs'!$B$40,IF(W664&gt;='Commercial Inputs'!$B$35,'Commercial Inputs'!$B$39,0))))</x:f>
        <x:v>25000</x:v>
      </x:c>
      <x:c r="X683" s="58" t="n">
        <x:f>IF(X664&gt;='Commercial Inputs'!$B$38,'Commercial Inputs'!$B$42,IF(X664&gt;='Commercial Inputs'!$B$37,'Commercial Inputs'!$B$41,IF(X664&gt;='Commercial Inputs'!$B$36,'Commercial Inputs'!$B$40,IF(X664&gt;='Commercial Inputs'!$B$35,'Commercial Inputs'!$B$39,0))))</x:f>
        <x:v>25000</x:v>
      </x:c>
      <x:c r="Y683" s="58" t="n">
        <x:f>IF(Y664&gt;='Commercial Inputs'!$B$38,'Commercial Inputs'!$B$42,IF(Y664&gt;='Commercial Inputs'!$B$37,'Commercial Inputs'!$B$41,IF(Y664&gt;='Commercial Inputs'!$B$36,'Commercial Inputs'!$B$40,IF(Y664&gt;='Commercial Inputs'!$B$35,'Commercial Inputs'!$B$39,0))))</x:f>
        <x:v>25000</x:v>
      </x:c>
      <x:c r="Z683" s="58" t="n">
        <x:f>IF(Z664&gt;='Commercial Inputs'!$B$38,'Commercial Inputs'!$B$42,IF(Z664&gt;='Commercial Inputs'!$B$37,'Commercial Inputs'!$B$41,IF(Z664&gt;='Commercial Inputs'!$B$36,'Commercial Inputs'!$B$40,IF(Z664&gt;='Commercial Inputs'!$B$35,'Commercial Inputs'!$B$39,0))))</x:f>
        <x:v>25000</x:v>
      </x:c>
      <x:c r="AA683" s="58" t="n">
        <x:f>IF(AA664&gt;='Commercial Inputs'!$B$38,'Commercial Inputs'!$B$42,IF(AA664&gt;='Commercial Inputs'!$B$37,'Commercial Inputs'!$B$41,IF(AA664&gt;='Commercial Inputs'!$B$36,'Commercial Inputs'!$B$40,IF(AA664&gt;='Commercial Inputs'!$B$35,'Commercial Inputs'!$B$39,0))))</x:f>
        <x:v>25000</x:v>
      </x:c>
      <x:c r="AB683" s="58" t="n">
        <x:f>IF(AB664&gt;='Commercial Inputs'!$B$38,'Commercial Inputs'!$B$42,IF(AB664&gt;='Commercial Inputs'!$B$37,'Commercial Inputs'!$B$41,IF(AB664&gt;='Commercial Inputs'!$B$36,'Commercial Inputs'!$B$40,IF(AB664&gt;='Commercial Inputs'!$B$35,'Commercial Inputs'!$B$39,0))))</x:f>
        <x:v>25000</x:v>
      </x:c>
      <x:c r="AC683" s="58" t="n">
        <x:f>IF(AC664&gt;='Commercial Inputs'!$B$38,'Commercial Inputs'!$B$42,IF(AC664&gt;='Commercial Inputs'!$B$37,'Commercial Inputs'!$B$41,IF(AC664&gt;='Commercial Inputs'!$B$36,'Commercial Inputs'!$B$40,IF(AC664&gt;='Commercial Inputs'!$B$35,'Commercial Inputs'!$B$39,0))))</x:f>
        <x:v>25000</x:v>
      </x:c>
      <x:c r="AD683" s="58" t="n">
        <x:f>IF(AD664&gt;='Commercial Inputs'!$B$38,'Commercial Inputs'!$B$42,IF(AD664&gt;='Commercial Inputs'!$B$37,'Commercial Inputs'!$B$41,IF(AD664&gt;='Commercial Inputs'!$B$36,'Commercial Inputs'!$B$40,IF(AD664&gt;='Commercial Inputs'!$B$35,'Commercial Inputs'!$B$39,0))))</x:f>
        <x:v>25000</x:v>
      </x:c>
      <x:c r="AE683" s="58" t="n">
        <x:f>IF(AE664&gt;='Commercial Inputs'!$B$38,'Commercial Inputs'!$B$42,IF(AE664&gt;='Commercial Inputs'!$B$37,'Commercial Inputs'!$B$41,IF(AE664&gt;='Commercial Inputs'!$B$36,'Commercial Inputs'!$B$40,IF(AE664&gt;='Commercial Inputs'!$B$35,'Commercial Inputs'!$B$39,0))))</x:f>
        <x:v>25000</x:v>
      </x:c>
      <x:c r="AF683" s="58" t="n">
        <x:f>IF(AF664&gt;='Commercial Inputs'!$B$38,'Commercial Inputs'!$B$42,IF(AF664&gt;='Commercial Inputs'!$B$37,'Commercial Inputs'!$B$41,IF(AF664&gt;='Commercial Inputs'!$B$36,'Commercial Inputs'!$B$40,IF(AF664&gt;='Commercial Inputs'!$B$35,'Commercial Inputs'!$B$39,0))))</x:f>
        <x:v>25000</x:v>
      </x:c>
      <x:c r="AG683" s="58" t="n">
        <x:f>IF(AG664&gt;='Commercial Inputs'!$B$38,'Commercial Inputs'!$B$42,IF(AG664&gt;='Commercial Inputs'!$B$37,'Commercial Inputs'!$B$41,IF(AG664&gt;='Commercial Inputs'!$B$36,'Commercial Inputs'!$B$40,IF(AG664&gt;='Commercial Inputs'!$B$35,'Commercial Inputs'!$B$39,0))))</x:f>
        <x:v>25000</x:v>
      </x:c>
      <x:c r="AH683" s="58" t="n">
        <x:f>IF(AH664&gt;='Commercial Inputs'!$B$38,'Commercial Inputs'!$B$42,IF(AH664&gt;='Commercial Inputs'!$B$37,'Commercial Inputs'!$B$41,IF(AH664&gt;='Commercial Inputs'!$B$36,'Commercial Inputs'!$B$40,IF(AH664&gt;='Commercial Inputs'!$B$35,'Commercial Inputs'!$B$39,0))))</x:f>
        <x:v>25000</x:v>
      </x:c>
      <x:c r="AI683" s="58" t="n">
        <x:f>IF(AI664&gt;='Commercial Inputs'!$B$38,'Commercial Inputs'!$B$42,IF(AI664&gt;='Commercial Inputs'!$B$37,'Commercial Inputs'!$B$41,IF(AI664&gt;='Commercial Inputs'!$B$36,'Commercial Inputs'!$B$40,IF(AI664&gt;='Commercial Inputs'!$B$35,'Commercial Inputs'!$B$39,0))))</x:f>
        <x:v>25000</x:v>
      </x:c>
      <x:c r="AJ683" s="58" t="n">
        <x:f>IF(AJ664&gt;='Commercial Inputs'!$B$38,'Commercial Inputs'!$B$42,IF(AJ664&gt;='Commercial Inputs'!$B$37,'Commercial Inputs'!$B$41,IF(AJ664&gt;='Commercial Inputs'!$B$36,'Commercial Inputs'!$B$40,IF(AJ664&gt;='Commercial Inputs'!$B$35,'Commercial Inputs'!$B$39,0))))</x:f>
        <x:v>25000</x:v>
      </x:c>
      <x:c r="AK683" s="58" t="n">
        <x:f>IF(AK664&gt;='Commercial Inputs'!$B$38,'Commercial Inputs'!$B$42,IF(AK664&gt;='Commercial Inputs'!$B$37,'Commercial Inputs'!$B$41,IF(AK664&gt;='Commercial Inputs'!$B$36,'Commercial Inputs'!$B$40,IF(AK664&gt;='Commercial Inputs'!$B$35,'Commercial Inputs'!$B$39,0))))</x:f>
        <x:v>25000</x:v>
      </x:c>
    </x:row>
    <x:row r="684" ht="18" customHeight="1">
      <x:c r="A684" s="4" t="str">
        <x:v>Founder cash pay (INR)</x:v>
      </x:c>
      <x:c r="B684" s="60" t="n">
        <x:f>'Commercial Inputs'!$B$32</x:f>
        <x:v>0</x:v>
      </x:c>
      <x:c r="C684" s="60" t="n">
        <x:f>'Commercial Inputs'!$B$32</x:f>
        <x:v>0</x:v>
      </x:c>
      <x:c r="D684" s="60" t="n">
        <x:f>'Commercial Inputs'!$B$32</x:f>
        <x:v>0</x:v>
      </x:c>
      <x:c r="E684" s="60" t="n">
        <x:f>'Commercial Inputs'!$B$32</x:f>
        <x:v>0</x:v>
      </x:c>
      <x:c r="F684" s="60" t="n">
        <x:f>'Commercial Inputs'!$B$32</x:f>
        <x:v>0</x:v>
      </x:c>
      <x:c r="G684" s="60" t="n">
        <x:f>'Commercial Inputs'!$B$32</x:f>
        <x:v>0</x:v>
      </x:c>
      <x:c r="H684" s="60" t="n">
        <x:f>'Commercial Inputs'!$B$32</x:f>
        <x:v>0</x:v>
      </x:c>
      <x:c r="I684" s="60" t="n">
        <x:f>'Commercial Inputs'!$B$32</x:f>
        <x:v>0</x:v>
      </x:c>
      <x:c r="J684" s="60" t="n">
        <x:f>'Commercial Inputs'!$B$32</x:f>
        <x:v>0</x:v>
      </x:c>
      <x:c r="K684" s="60" t="n">
        <x:f>'Commercial Inputs'!$B$32</x:f>
        <x:v>0</x:v>
      </x:c>
      <x:c r="L684" s="60" t="n">
        <x:f>'Commercial Inputs'!$B$32</x:f>
        <x:v>0</x:v>
      </x:c>
      <x:c r="M684" s="60" t="n">
        <x:f>'Commercial Inputs'!$B$32</x:f>
        <x:v>0</x:v>
      </x:c>
      <x:c r="N684" s="60" t="n">
        <x:f>'Commercial Inputs'!$B$32</x:f>
        <x:v>0</x:v>
      </x:c>
      <x:c r="O684" s="60" t="n">
        <x:f>'Commercial Inputs'!$B$32</x:f>
        <x:v>0</x:v>
      </x:c>
      <x:c r="P684" s="60" t="n">
        <x:f>'Commercial Inputs'!$B$32</x:f>
        <x:v>0</x:v>
      </x:c>
      <x:c r="Q684" s="60" t="n">
        <x:f>'Commercial Inputs'!$B$32</x:f>
        <x:v>0</x:v>
      </x:c>
      <x:c r="R684" s="60" t="n">
        <x:f>'Commercial Inputs'!$B$32</x:f>
        <x:v>0</x:v>
      </x:c>
      <x:c r="S684" s="60" t="n">
        <x:f>'Commercial Inputs'!$B$32</x:f>
        <x:v>0</x:v>
      </x:c>
      <x:c r="T684" s="60" t="n">
        <x:f>'Commercial Inputs'!$B$32</x:f>
        <x:v>0</x:v>
      </x:c>
      <x:c r="U684" s="60" t="n">
        <x:f>'Commercial Inputs'!$B$32</x:f>
        <x:v>0</x:v>
      </x:c>
      <x:c r="V684" s="60" t="n">
        <x:f>'Commercial Inputs'!$B$32</x:f>
        <x:v>0</x:v>
      </x:c>
      <x:c r="W684" s="60" t="n">
        <x:f>'Commercial Inputs'!$B$32</x:f>
        <x:v>0</x:v>
      </x:c>
      <x:c r="X684" s="60" t="n">
        <x:f>'Commercial Inputs'!$B$32</x:f>
        <x:v>0</x:v>
      </x:c>
      <x:c r="Y684" s="60" t="n">
        <x:f>'Commercial Inputs'!$B$32</x:f>
        <x:v>0</x:v>
      </x:c>
      <x:c r="Z684" s="60" t="n">
        <x:f>'Commercial Inputs'!$B$32</x:f>
        <x:v>0</x:v>
      </x:c>
      <x:c r="AA684" s="60" t="n">
        <x:f>'Commercial Inputs'!$B$32</x:f>
        <x:v>0</x:v>
      </x:c>
      <x:c r="AB684" s="60" t="n">
        <x:f>'Commercial Inputs'!$B$32</x:f>
        <x:v>0</x:v>
      </x:c>
      <x:c r="AC684" s="60" t="n">
        <x:f>'Commercial Inputs'!$B$32</x:f>
        <x:v>0</x:v>
      </x:c>
      <x:c r="AD684" s="60" t="n">
        <x:f>'Commercial Inputs'!$B$32</x:f>
        <x:v>0</x:v>
      </x:c>
      <x:c r="AE684" s="60" t="n">
        <x:f>'Commercial Inputs'!$B$32</x:f>
        <x:v>0</x:v>
      </x:c>
      <x:c r="AF684" s="60" t="n">
        <x:f>'Commercial Inputs'!$B$32</x:f>
        <x:v>0</x:v>
      </x:c>
      <x:c r="AG684" s="60" t="n">
        <x:f>'Commercial Inputs'!$B$32</x:f>
        <x:v>0</x:v>
      </x:c>
      <x:c r="AH684" s="60" t="n">
        <x:f>'Commercial Inputs'!$B$32</x:f>
        <x:v>0</x:v>
      </x:c>
      <x:c r="AI684" s="60" t="n">
        <x:f>'Commercial Inputs'!$B$32</x:f>
        <x:v>0</x:v>
      </x:c>
      <x:c r="AJ684" s="60" t="n">
        <x:f>'Commercial Inputs'!$B$32</x:f>
        <x:v>0</x:v>
      </x:c>
      <x:c r="AK684" s="60" t="n">
        <x:f>'Commercial Inputs'!$B$32</x:f>
        <x:v>0</x:v>
      </x:c>
    </x:row>
    <x:row r="685" ht="18" customHeight="1">
      <x:c r="A685" s="4" t="str">
        <x:v>One-time launch expense (INR)</x:v>
      </x:c>
      <x:c r="B685" s="60" t="n">
        <x:f>'Commercial Inputs'!$B$30</x:f>
        <x:v>20000</x:v>
      </x:c>
      <x:c r="C685" s="60" t="n">
        <x:f>0</x:f>
        <x:v>0</x:v>
      </x:c>
      <x:c r="D685" s="60" t="n">
        <x:f>0</x:f>
        <x:v>0</x:v>
      </x:c>
      <x:c r="E685" s="60" t="n">
        <x:f>0</x:f>
        <x:v>0</x:v>
      </x:c>
      <x:c r="F685" s="60" t="n">
        <x:f>0</x:f>
        <x:v>0</x:v>
      </x:c>
      <x:c r="G685" s="60" t="n">
        <x:f>0</x:f>
        <x:v>0</x:v>
      </x:c>
      <x:c r="H685" s="60" t="n">
        <x:f>0</x:f>
        <x:v>0</x:v>
      </x:c>
      <x:c r="I685" s="60" t="n">
        <x:f>0</x:f>
        <x:v>0</x:v>
      </x:c>
      <x:c r="J685" s="60" t="n">
        <x:f>0</x:f>
        <x:v>0</x:v>
      </x:c>
      <x:c r="K685" s="60" t="n">
        <x:f>0</x:f>
        <x:v>0</x:v>
      </x:c>
      <x:c r="L685" s="60" t="n">
        <x:f>0</x:f>
        <x:v>0</x:v>
      </x:c>
      <x:c r="M685" s="60" t="n">
        <x:f>0</x:f>
        <x:v>0</x:v>
      </x:c>
      <x:c r="N685" s="60" t="n">
        <x:f>0</x:f>
        <x:v>0</x:v>
      </x:c>
      <x:c r="O685" s="60" t="n">
        <x:f>0</x:f>
        <x:v>0</x:v>
      </x:c>
      <x:c r="P685" s="60" t="n">
        <x:f>0</x:f>
        <x:v>0</x:v>
      </x:c>
      <x:c r="Q685" s="60" t="n">
        <x:f>0</x:f>
        <x:v>0</x:v>
      </x:c>
      <x:c r="R685" s="60" t="n">
        <x:f>0</x:f>
        <x:v>0</x:v>
      </x:c>
      <x:c r="S685" s="60" t="n">
        <x:f>0</x:f>
        <x:v>0</x:v>
      </x:c>
      <x:c r="T685" s="60" t="n">
        <x:f>0</x:f>
        <x:v>0</x:v>
      </x:c>
      <x:c r="U685" s="60" t="n">
        <x:f>0</x:f>
        <x:v>0</x:v>
      </x:c>
      <x:c r="V685" s="60" t="n">
        <x:f>0</x:f>
        <x:v>0</x:v>
      </x:c>
      <x:c r="W685" s="60" t="n">
        <x:f>0</x:f>
        <x:v>0</x:v>
      </x:c>
      <x:c r="X685" s="60" t="n">
        <x:f>0</x:f>
        <x:v>0</x:v>
      </x:c>
      <x:c r="Y685" s="60" t="n">
        <x:f>0</x:f>
        <x:v>0</x:v>
      </x:c>
      <x:c r="Z685" s="60" t="n">
        <x:f>0</x:f>
        <x:v>0</x:v>
      </x:c>
      <x:c r="AA685" s="60" t="n">
        <x:f>0</x:f>
        <x:v>0</x:v>
      </x:c>
      <x:c r="AB685" s="60" t="n">
        <x:f>0</x:f>
        <x:v>0</x:v>
      </x:c>
      <x:c r="AC685" s="60" t="n">
        <x:f>0</x:f>
        <x:v>0</x:v>
      </x:c>
      <x:c r="AD685" s="60" t="n">
        <x:f>0</x:f>
        <x:v>0</x:v>
      </x:c>
      <x:c r="AE685" s="60" t="n">
        <x:f>0</x:f>
        <x:v>0</x:v>
      </x:c>
      <x:c r="AF685" s="60" t="n">
        <x:f>0</x:f>
        <x:v>0</x:v>
      </x:c>
      <x:c r="AG685" s="60" t="n">
        <x:f>0</x:f>
        <x:v>0</x:v>
      </x:c>
      <x:c r="AH685" s="60" t="n">
        <x:f>0</x:f>
        <x:v>0</x:v>
      </x:c>
      <x:c r="AI685" s="60" t="n">
        <x:f>0</x:f>
        <x:v>0</x:v>
      </x:c>
      <x:c r="AJ685" s="60" t="n">
        <x:f>0</x:f>
        <x:v>0</x:v>
      </x:c>
      <x:c r="AK685" s="60" t="n">
        <x:f>0</x:f>
        <x:v>0</x:v>
      </x:c>
    </x:row>
    <x:row r="686" ht="18" customHeight="1">
      <x:c r="A686" s="74" t="str">
        <x:v>OPERATING PROFIT BEFORE INCOME TAX</x:v>
      </x:c>
      <x:c r="B686" s="75" t="n">
        <x:f>B680-B646-SUM(B682:B685)</x:f>
        <x:v>-46402.61729233051</x:v>
      </x:c>
      <x:c r="C686" s="75" t="n">
        <x:f>C680-C646-SUM(C682:C685)</x:f>
        <x:v>-22083.49900486347</x:v>
      </x:c>
      <x:c r="D686" s="75" t="n">
        <x:f>D680-D646-SUM(D682:D685)</x:f>
        <x:v>-17724.87304263164</x:v>
      </x:c>
      <x:c r="E686" s="75" t="n">
        <x:f>E680-E646-SUM(E682:E685)</x:f>
        <x:v>-21977.47484992273</x:v>
      </x:c>
      <x:c r="F686" s="75" t="n">
        <x:f>F680-F646-SUM(F682:F685)</x:f>
        <x:v>-15492.096487729163</x:v>
      </x:c>
      <x:c r="G686" s="75" t="n">
        <x:f>G680-G646-SUM(G682:G685)</x:f>
        <x:v>-8760.340269394906</x:v>
      </x:c>
      <x:c r="H686" s="75" t="n">
        <x:f>H680-H646-SUM(H682:H685)</x:f>
        <x:v>-20847.163668069647</x:v>
      </x:c>
      <x:c r="I686" s="75" t="n">
        <x:f>I680-I646-SUM(I682:I685)</x:f>
        <x:v>-9868.975350809334</x:v>
      </x:c>
      <x:c r="J686" s="75" t="n">
        <x:f>J680-J646-SUM(J682:J685)</x:f>
        <x:v>1400.947985264189</x:v>
      </x:c>
      <x:c r="K686" s="75" t="n">
        <x:f>K680-K646-SUM(K682:K685)</x:f>
        <x:v>13158.102360564255</x:v>
      </x:c>
      <x:c r="L686" s="75" t="n">
        <x:f>L680-L646-SUM(L682:L685)</x:f>
        <x:v>25495.05396370533</x:v>
      </x:c>
      <x:c r="M686" s="75" t="n">
        <x:f>M680-M646-SUM(M682:M685)</x:f>
        <x:v>28510.484910819592</x:v>
      </x:c>
      <x:c r="N686" s="75" t="n">
        <x:f>N680-N646-SUM(N682:N685)</x:f>
        <x:v>-8438.460908736204</x:v>
      </x:c>
      <x:c r="O686" s="75" t="n">
        <x:f>O680-O646-SUM(O682:O685)</x:f>
        <x:v>8735.74951630125</x:v>
      </x:c>
      <x:c r="P686" s="75" t="n">
        <x:f>P680-P646-SUM(P682:P685)</x:f>
        <x:v>25976.739172642934</x:v>
      </x:c>
      <x:c r="Q686" s="75" t="n">
        <x:f>Q680-Q646-SUM(Q682:Q685)</x:f>
        <x:v>41687.818266626215</x:v>
      </x:c>
      <x:c r="R686" s="75" t="n">
        <x:f>R680-R646-SUM(R682:R685)</x:f>
        <x:v>58679.15836294368</x:v>
      </x:c>
      <x:c r="S686" s="75" t="n">
        <x:f>S680-S646-SUM(S682:S685)</x:f>
        <x:v>76074.16613860981</x:v>
      </x:c>
      <x:c r="T686" s="75" t="n">
        <x:f>T680-T646-SUM(T682:T685)</x:f>
        <x:v>53602.79604499918</x:v>
      </x:c>
      <x:c r="U686" s="75" t="n">
        <x:f>U680-U646-SUM(U682:U685)</x:f>
        <x:v>76072.83335213564</x:v>
      </x:c>
      <x:c r="V686" s="75" t="n">
        <x:f>V680-V646-SUM(V682:V685)</x:f>
        <x:v>98741.82501451072</x:v>
      </x:c>
      <x:c r="W686" s="75" t="n">
        <x:f>W680-W646-SUM(W682:W685)</x:f>
        <x:v>106864.65199644526</x:v>
      </x:c>
      <x:c r="X686" s="75" t="n">
        <x:f>X680-X646-SUM(X682:X685)</x:f>
        <x:v>130502.86180275772</x:v>
      </x:c>
      <x:c r="Y686" s="75" t="n">
        <x:f>Y680-Y646-SUM(Y682:Y685)</x:f>
        <x:v>154713.3175112342</x:v>
      </x:c>
      <x:c r="Z686" s="75" t="n">
        <x:f>Z680-Z646-SUM(Z682:Z685)</x:f>
        <x:v>122821.84781596268</x:v>
      </x:c>
      <x:c r="AA686" s="75" t="n">
        <x:f>AA680-AA646-SUM(AA682:AA685)</x:f>
        <x:v>149273.86150926177</x:v>
      </x:c>
      <x:c r="AB686" s="75" t="n">
        <x:f>AB680-AB646-SUM(AB682:AB685)</x:f>
        <x:v>176055.2446962837</x:v>
      </x:c>
      <x:c r="AC686" s="75" t="n">
        <x:f>AC680-AC646-SUM(AC682:AC685)</x:f>
        <x:v>202678.3301623878</x:v>
      </x:c>
      <x:c r="AD686" s="75" t="n">
        <x:f>AD680-AD646-SUM(AD682:AD685)</x:f>
        <x:v>230361.10443527414</x:v>
      </x:c>
      <x:c r="AE686" s="75" t="n">
        <x:f>AE680-AE646-SUM(AE682:AE685)</x:f>
        <x:v>258658.8513970516</x:v>
      </x:c>
      <x:c r="AF686" s="75" t="n">
        <x:f>AF680-AF646-SUM(AF682:AF685)</x:f>
        <x:v>243358.66395046073</x:v>
      </x:c>
      <x:c r="AG686" s="75" t="n">
        <x:f>AG680-AG646-SUM(AG682:AG685)</x:f>
        <x:v>274769.0839199823</x:v>
      </x:c>
      <x:c r="AH686" s="75" t="n">
        <x:f>AH680-AH646-SUM(AH682:AH685)</x:f>
        <x:v>306611.00166542304</x:v>
      </x:c>
      <x:c r="AI686" s="75" t="n">
        <x:f>AI680-AI646-SUM(AI682:AI685)</x:f>
        <x:v>339114.6863369839</x:v>
      </x:c>
      <x:c r="AJ686" s="75" t="n">
        <x:f>AJ680-AJ646-SUM(AJ682:AJ685)</x:f>
        <x:v>372333.5228986271</x:v>
      </x:c>
      <x:c r="AK686" s="75" t="n">
        <x:f>AK680-AK646-SUM(AK682:AK685)</x:f>
        <x:v>406315.53621261625</x:v>
      </x:c>
    </x:row>
    <x:row r="687" ht="18" customHeight="1">
      <x:c r="A687" s="4" t="str">
        <x:v>Operating margin (%)</x:v>
      </x:c>
      <x:c r="B687" s="62" t="n">
        <x:f>IFERROR(B686/B668,0)</x:f>
        <x:v>-7.447248677431491</x:v>
      </x:c>
      <x:c r="C687" s="62" t="n">
        <x:f>IFERROR(C686/C668,0)</x:f>
        <x:v>-1.8405349884149949</x:v>
      </x:c>
      <x:c r="D687" s="62" t="n">
        <x:f>IFERROR(D686/D668,0)</x:f>
        <x:v>-0.9914942242273139</x:v>
      </x:c>
      <x:c r="E687" s="62" t="n">
        <x:f>IFERROR(E686/E668,0)</x:f>
        <x:v>-0.8362245814597199</x:v>
      </x:c>
      <x:c r="F687" s="62" t="n">
        <x:f>IFERROR(F686/F668,0)</x:f>
        <x:v>-0.44537224485792637</x:v>
      </x:c>
      <x:c r="G687" s="62" t="n">
        <x:f>IFERROR(G686/G668,0)</x:f>
        <x:v>-0.20062737693450305</x:v>
      </x:c>
      <x:c r="H687" s="62" t="n">
        <x:f>IFERROR(H686/H668,0)</x:f>
        <x:v>-0.3608399932276491</x:v>
      </x:c>
      <x:c r="I687" s="62" t="n">
        <x:f>IFERROR(I686/I668,0)</x:f>
        <x:v>-0.1374631372458582</x:v>
      </x:c>
      <x:c r="J687" s="62" t="n">
        <x:f>IFERROR(J686/J668,0)</x:f>
        <x:v>0.01623933112204123</x:v>
      </x:c>
      <x:c r="K687" s="62" t="n">
        <x:f>IFERROR(K686/K668,0)</x:f>
        <x:v>0.12966959274203968</x:v>
      </x:c>
      <x:c r="L687" s="62" t="n">
        <x:f>IFERROR(L686/L668,0)</x:f>
        <x:v>0.21689854658139254</x:v>
      </x:c>
      <x:c r="M687" s="62" t="n">
        <x:f>IFERROR(M686/M668,0)</x:f>
        <x:v>0.211782988992674</x:v>
      </x:c>
      <x:c r="N687" s="62" t="n">
        <x:f>IFERROR(N686/N668,0)</x:f>
        <x:v>-0.05378932963149382</x:v>
      </x:c>
      <x:c r="O687" s="62" t="n">
        <x:f>IFERROR(O686/O668,0)</x:f>
        <x:v>0.048931361761172416</x:v>
      </x:c>
      <x:c r="P687" s="62" t="n">
        <x:f>IFERROR(P686/P668,0)</x:f>
        <x:v>0.12965583559985733</x:v>
      </x:c>
      <x:c r="Q687" s="62" t="n">
        <x:f>IFERROR(Q686/Q668,0)</x:f>
        <x:v>0.1880453309334089</x:v>
      </x:c>
      <x:c r="R687" s="62" t="n">
        <x:f>IFERROR(R686/R668,0)</x:f>
        <x:v>0.2408730936924461</x:v>
      </x:c>
      <x:c r="S687" s="62" t="n">
        <x:f>IFERROR(S686/S668,0)</x:f>
        <x:v>0.2857823058249172</x:v>
      </x:c>
      <x:c r="T687" s="62" t="n">
        <x:f>IFERROR(T686/T668,0)</x:f>
        <x:v>0.1813194926891533</x:v>
      </x:c>
      <x:c r="U687" s="62" t="n">
        <x:f>IFERROR(U686/U668,0)</x:f>
        <x:v>0.23433474906759716</x:v>
      </x:c>
      <x:c r="V687" s="62" t="n">
        <x:f>IFERROR(V686/V668,0)</x:f>
        <x:v>0.2788725870352072</x:v>
      </x:c>
      <x:c r="W687" s="62" t="n">
        <x:f>IFERROR(W686/W668,0)</x:f>
        <x:v>0.27806045668243035</x:v>
      </x:c>
      <x:c r="X687" s="62" t="n">
        <x:f>IFERROR(X686/X668,0)</x:f>
        <x:v>0.3141010023425635</x:v>
      </x:c>
      <x:c r="Y687" s="62" t="n">
        <x:f>IFERROR(Y686/Y668,0)</x:f>
        <x:v>0.3456076786130818</x:v>
      </x:c>
      <x:c r="Z687" s="62" t="n">
        <x:f>IFERROR(Z686/Z668,0)</x:f>
        <x:v>0.25489490987045393</x:v>
      </x:c>
      <x:c r="AA687" s="62" t="n">
        <x:f>IFERROR(AA686/AA668,0)</x:f>
        <x:v>0.289273518524148</x:v>
      </x:c>
      <x:c r="AB687" s="62" t="n">
        <x:f>IFERROR(AB686/AB668,0)</x:f>
        <x:v>0.3196471357205592</x:v>
      </x:c>
      <x:c r="AC687" s="62" t="n">
        <x:f>IFERROR(AC686/AC668,0)</x:f>
        <x:v>0.34576427229676115</x:v>
      </x:c>
      <x:c r="AD687" s="62" t="n">
        <x:f>IFERROR(AD686/AD668,0)</x:f>
        <x:v>0.37006289379391294</x:v>
      </x:c>
      <x:c r="AE687" s="62" t="n">
        <x:f>IFERROR(AE686/AE668,0)</x:f>
        <x:v>0.3920163108015603</x:v>
      </x:c>
      <x:c r="AF687" s="62" t="n">
        <x:f>IFERROR(AF686/AF668,0)</x:f>
        <x:v>0.346865053665062</x:v>
      </x:c>
      <x:c r="AG687" s="62" t="n">
        <x:f>IFERROR(AG686/AG668,0)</x:f>
        <x:v>0.36960937936767657</x:v>
      </x:c>
      <x:c r="AH687" s="62" t="n">
        <x:f>IFERROR(AH686/AH668,0)</x:f>
        <x:v>0.3900759418265796</x:v>
      </x:c>
      <x:c r="AI687" s="62" t="n">
        <x:f>IFERROR(AI686/AI668,0)</x:f>
        <x:v>0.40866602757266907</x:v>
      </x:c>
      <x:c r="AJ687" s="62" t="n">
        <x:f>IFERROR(AJ686/AJ668,0)</x:f>
        <x:v>0.4256004714664423</x:v>
      </x:c>
      <x:c r="AK687" s="62" t="n">
        <x:f>IFERROR(AK686/AK668,0)</x:f>
        <x:v>0.4410597804304858</x:v>
      </x:c>
    </x:row>
    <x:row r="688" ht="18" customHeight="1">
      <x:c r="A688" s="4" t="str">
        <x:v>After imputed founder time (INR)</x:v>
      </x:c>
      <x:c r="B688" s="58" t="n">
        <x:f>B686-'Commercial Inputs'!$B$33</x:f>
        <x:v>-146402.6172923305</x:v>
      </x:c>
      <x:c r="C688" s="58" t="n">
        <x:f>C686-'Commercial Inputs'!$B$33</x:f>
        <x:v>-122083.49900486346</x:v>
      </x:c>
      <x:c r="D688" s="58" t="n">
        <x:f>D686-'Commercial Inputs'!$B$33</x:f>
        <x:v>-117724.87304263163</x:v>
      </x:c>
      <x:c r="E688" s="58" t="n">
        <x:f>E686-'Commercial Inputs'!$B$33</x:f>
        <x:v>-121977.47484992273</x:v>
      </x:c>
      <x:c r="F688" s="58" t="n">
        <x:f>F686-'Commercial Inputs'!$B$33</x:f>
        <x:v>-115492.09648772917</x:v>
      </x:c>
      <x:c r="G688" s="58" t="n">
        <x:f>G686-'Commercial Inputs'!$B$33</x:f>
        <x:v>-108760.3402693949</x:v>
      </x:c>
      <x:c r="H688" s="58" t="n">
        <x:f>H686-'Commercial Inputs'!$B$33</x:f>
        <x:v>-120847.16366806964</x:v>
      </x:c>
      <x:c r="I688" s="58" t="n">
        <x:f>I686-'Commercial Inputs'!$B$33</x:f>
        <x:v>-109868.97535080934</x:v>
      </x:c>
      <x:c r="J688" s="58" t="n">
        <x:f>J686-'Commercial Inputs'!$B$33</x:f>
        <x:v>-98599.05201473582</x:v>
      </x:c>
      <x:c r="K688" s="58" t="n">
        <x:f>K686-'Commercial Inputs'!$B$33</x:f>
        <x:v>-86841.89763943575</x:v>
      </x:c>
      <x:c r="L688" s="58" t="n">
        <x:f>L686-'Commercial Inputs'!$B$33</x:f>
        <x:v>-74504.94603629467</x:v>
      </x:c>
      <x:c r="M688" s="58" t="n">
        <x:f>M686-'Commercial Inputs'!$B$33</x:f>
        <x:v>-71489.51508918041</x:v>
      </x:c>
      <x:c r="N688" s="58" t="n">
        <x:f>N686-'Commercial Inputs'!$B$33</x:f>
        <x:v>-108438.4609087362</x:v>
      </x:c>
      <x:c r="O688" s="58" t="n">
        <x:f>O686-'Commercial Inputs'!$B$33</x:f>
        <x:v>-91264.25048369875</x:v>
      </x:c>
      <x:c r="P688" s="58" t="n">
        <x:f>P686-'Commercial Inputs'!$B$33</x:f>
        <x:v>-74023.26082735707</x:v>
      </x:c>
      <x:c r="Q688" s="58" t="n">
        <x:f>Q686-'Commercial Inputs'!$B$33</x:f>
        <x:v>-58312.181733373785</x:v>
      </x:c>
      <x:c r="R688" s="58" t="n">
        <x:f>R686-'Commercial Inputs'!$B$33</x:f>
        <x:v>-41320.84163705632</x:v>
      </x:c>
      <x:c r="S688" s="58" t="n">
        <x:f>S686-'Commercial Inputs'!$B$33</x:f>
        <x:v>-23925.833861390187</x:v>
      </x:c>
      <x:c r="T688" s="58" t="n">
        <x:f>T686-'Commercial Inputs'!$B$33</x:f>
        <x:v>-46397.20395500082</x:v>
      </x:c>
      <x:c r="U688" s="58" t="n">
        <x:f>U686-'Commercial Inputs'!$B$33</x:f>
        <x:v>-23927.16664786436</x:v>
      </x:c>
      <x:c r="V688" s="58" t="n">
        <x:f>V686-'Commercial Inputs'!$B$33</x:f>
        <x:v>-1258.1749854892842</x:v>
      </x:c>
      <x:c r="W688" s="58" t="n">
        <x:f>W686-'Commercial Inputs'!$B$33</x:f>
        <x:v>6864.65199644526</x:v>
      </x:c>
      <x:c r="X688" s="58" t="n">
        <x:f>X686-'Commercial Inputs'!$B$33</x:f>
        <x:v>30502.861802757718</x:v>
      </x:c>
      <x:c r="Y688" s="58" t="n">
        <x:f>Y686-'Commercial Inputs'!$B$33</x:f>
        <x:v>54713.3175112342</x:v>
      </x:c>
      <x:c r="Z688" s="58" t="n">
        <x:f>Z686-'Commercial Inputs'!$B$33</x:f>
        <x:v>22821.847815962683</x:v>
      </x:c>
      <x:c r="AA688" s="58" t="n">
        <x:f>AA686-'Commercial Inputs'!$B$33</x:f>
        <x:v>49273.86150926177</x:v>
      </x:c>
      <x:c r="AB688" s="58" t="n">
        <x:f>AB686-'Commercial Inputs'!$B$33</x:f>
        <x:v>76055.24469628371</x:v>
      </x:c>
      <x:c r="AC688" s="58" t="n">
        <x:f>AC686-'Commercial Inputs'!$B$33</x:f>
        <x:v>102678.3301623878</x:v>
      </x:c>
      <x:c r="AD688" s="58" t="n">
        <x:f>AD686-'Commercial Inputs'!$B$33</x:f>
        <x:v>130361.10443527414</x:v>
      </x:c>
      <x:c r="AE688" s="58" t="n">
        <x:f>AE686-'Commercial Inputs'!$B$33</x:f>
        <x:v>158658.8513970516</x:v>
      </x:c>
      <x:c r="AF688" s="58" t="n">
        <x:f>AF686-'Commercial Inputs'!$B$33</x:f>
        <x:v>143358.66395046073</x:v>
      </x:c>
      <x:c r="AG688" s="58" t="n">
        <x:f>AG686-'Commercial Inputs'!$B$33</x:f>
        <x:v>174769.0839199823</x:v>
      </x:c>
      <x:c r="AH688" s="58" t="n">
        <x:f>AH686-'Commercial Inputs'!$B$33</x:f>
        <x:v>206611.00166542304</x:v>
      </x:c>
      <x:c r="AI688" s="58" t="n">
        <x:f>AI686-'Commercial Inputs'!$B$33</x:f>
        <x:v>239114.68633698393</x:v>
      </x:c>
      <x:c r="AJ688" s="58" t="n">
        <x:f>AJ686-'Commercial Inputs'!$B$33</x:f>
        <x:v>272333.5228986271</x:v>
      </x:c>
      <x:c r="AK688" s="58" t="n">
        <x:f>AK686-'Commercial Inputs'!$B$33</x:f>
        <x:v>306315.53621261625</x:v>
      </x:c>
    </x:row>
    <x:row r="689" ht="18" customHeight="1">
      <x:c r="A689" s="4" t="str">
        <x:v>Net proceeds awaiting payout (INR)</x:v>
      </x:c>
      <x:c r="B689" s="58" t="n">
        <x:f>B673-B674</x:f>
        <x:v>40595.908219322046</x:v>
      </x:c>
      <x:c r="C689" s="58" t="n">
        <x:f>C673-C674</x:f>
        <x:v>44816.04646665712</x:v>
      </x:c>
      <x:c r="D689" s="58" t="n">
        <x:f>D673-D674</x:f>
        <x:v>49214.82878340614</x:v>
      </x:c>
      <x:c r="E689" s="58" t="n">
        <x:f>E673-E674</x:f>
        <x:v>68119.0150072548</x:v>
      </x:c>
      <x:c r="F689" s="58" t="n">
        <x:f>F673-F674</x:f>
        <x:v>73717.89078980396</x:v>
      </x:c>
      <x:c r="G689" s="58" t="n">
        <x:f>G673-G674</x:f>
        <x:v>79742.2064014389</x:v>
      </x:c>
      <x:c r="H689" s="58" t="n">
        <x:f>H673-H674</x:f>
        <x:v>116924.34888192188</x:v>
      </x:c>
      <x:c r="I689" s="58" t="n">
        <x:f>I673-I674</x:f>
        <x:v>124953.31287709725</x:v>
      </x:c>
      <x:c r="J689" s="58" t="n">
        <x:f>J673-J674</x:f>
        <x:v>133521.28439557526</x:v>
      </x:c>
      <x:c r="K689" s="58" t="n">
        <x:f>K673-K674</x:f>
        <x:v>142866.10607310146</x:v>
      </x:c>
      <x:c r="L689" s="58" t="n">
        <x:f>L673-L674</x:f>
        <x:v>153117.79118911352</x:v>
      </x:c>
      <x:c r="M689" s="58" t="n">
        <x:f>M673-M674</x:f>
        <x:v>164416.56837606625</x:v>
      </x:c>
      <x:c r="N689" s="58" t="n">
        <x:f>N673-N674</x:f>
        <x:v>232660.34543173056</x:v>
      </x:c>
      <x:c r="O689" s="58" t="n">
        <x:f>O673-O674</x:f>
        <x:v>244130.30971159798</x:v>
      </x:c>
      <x:c r="P689" s="58" t="n">
        <x:f>P673-P674</x:f>
        <x:v>255982.6048767867</x:v>
      </x:c>
      <x:c r="Q689" s="58" t="n">
        <x:f>Q673-Q674</x:f>
        <x:v>272431.64872215805</x:v>
      </x:c>
      <x:c r="R689" s="58" t="n">
        <x:f>R673-R674</x:f>
        <x:v>285727.1534222183</x:v>
      </x:c>
      <x:c r="S689" s="58" t="n">
        <x:f>S673-S674</x:f>
        <x:v>299903.79320778314</x:v>
      </x:c>
      <x:c r="T689" s="58" t="n">
        <x:f>T673-T674</x:f>
        <x:v>377067.8720939304</x:v>
      </x:c>
      <x:c r="U689" s="58" t="n">
        <x:f>U673-U674</x:f>
        <x:v>394716.9400307327</x:v>
      </x:c>
      <x:c r="V689" s="58" t="n">
        <x:f>V673-V674</x:f>
        <x:v>413218.87754103105</x:v>
      </x:c>
      <x:c r="W689" s="58" t="n">
        <x:f>W673-W674</x:f>
        <x:v>432929.5055397331</x:v>
      </x:c>
      <x:c r="X689" s="58" t="n">
        <x:f>X673-X674</x:f>
        <x:v>454006.0792930192</x:v>
      </x:c>
      <x:c r="Y689" s="58" t="n">
        <x:f>Y673-Y674</x:f>
        <x:v>476612.0666150944</x:v>
      </x:c>
      <x:c r="Z689" s="58" t="n">
        <x:f>Z673-Z674</x:f>
        <x:v>548706.262150597</x:v>
      </x:c>
      <x:c r="AA689" s="58" t="n">
        <x:f>AA673-AA674</x:f>
        <x:v>569604.5074206368</x:v>
      </x:c>
      <x:c r="AB689" s="58" t="n">
        <x:f>AB673-AB674</x:f>
        <x:v>591337.914794215</x:v>
      </x:c>
      <x:c r="AC689" s="58" t="n">
        <x:f>AC673-AC674</x:f>
        <x:v>616247.7287299243</x:v>
      </x:c>
      <x:c r="AD689" s="58" t="n">
        <x:f>AD673-AD674</x:f>
        <x:v>640259.9597076995</x:v>
      </x:c>
      <x:c r="AE689" s="58" t="n">
        <x:f>AE673-AE674</x:f>
        <x:v>665588.0419031482</x:v>
      </x:c>
      <x:c r="AF689" s="58" t="n">
        <x:f>AF673-AF674</x:f>
        <x:v>760393.3937238291</x:v>
      </x:c>
      <x:c r="AG689" s="58" t="n">
        <x:f>AG673-AG674</x:f>
        <x:v>789967.2800527399</x:v>
      </x:c>
      <x:c r="AH689" s="58" t="n">
        <x:f>AH673-AH674</x:f>
        <x:v>820889.2039290644</x:v>
      </x:c>
      <x:c r="AI689" s="58" t="n">
        <x:f>AI673-AI674</x:f>
        <x:v>853500.2429129706</x:v>
      </x:c>
      <x:c r="AJ689" s="58" t="n">
        <x:f>AJ673-AJ674</x:f>
        <x:v>887959.9106315845</x:v>
      </x:c>
      <x:c r="AK689" s="58" t="n">
        <x:f>AK673-AK674</x:f>
        <x:v>924432.1490932975</x:v>
      </x:c>
    </x:row>
    <x:row r="690" ht="18" customHeight="1">
      <x:c r="A690" s="4" t="str">
        <x:v>Payouts received this month (INR)</x:v>
      </x:c>
      <x:c r="B690" s="58" t="n">
        <x:f>B689*(1-'Commercial Inputs'!$B$31)+0*'Commercial Inputs'!$B$31</x:f>
        <x:v>20297.954109661023</x:v>
      </x:c>
      <x:c r="C690" s="58" t="n">
        <x:f>C689*(1-'Commercial Inputs'!$B$31)+B689*'Commercial Inputs'!$B$31</x:f>
        <x:v>42705.97734298959</x:v>
      </x:c>
      <x:c r="D690" s="58" t="n">
        <x:f>D689*(1-'Commercial Inputs'!$B$31)+C689*'Commercial Inputs'!$B$31</x:f>
        <x:v>47015.43762503163</x:v>
      </x:c>
      <x:c r="E690" s="58" t="n">
        <x:f>E689*(1-'Commercial Inputs'!$B$31)+D689*'Commercial Inputs'!$B$31</x:f>
        <x:v>58666.921895330466</x:v>
      </x:c>
      <x:c r="F690" s="58" t="n">
        <x:f>F689*(1-'Commercial Inputs'!$B$31)+E689*'Commercial Inputs'!$B$31</x:f>
        <x:v>70918.45289852939</x:v>
      </x:c>
      <x:c r="G690" s="58" t="n">
        <x:f>G689*(1-'Commercial Inputs'!$B$31)+F689*'Commercial Inputs'!$B$31</x:f>
        <x:v>76730.04859562143</x:v>
      </x:c>
      <x:c r="H690" s="58" t="n">
        <x:f>H689*(1-'Commercial Inputs'!$B$31)+G689*'Commercial Inputs'!$B$31</x:f>
        <x:v>98333.27764168038</x:v>
      </x:c>
      <x:c r="I690" s="58" t="n">
        <x:f>I689*(1-'Commercial Inputs'!$B$31)+H689*'Commercial Inputs'!$B$31</x:f>
        <x:v>120938.83087950957</x:v>
      </x:c>
      <x:c r="J690" s="58" t="n">
        <x:f>J689*(1-'Commercial Inputs'!$B$31)+I689*'Commercial Inputs'!$B$31</x:f>
        <x:v>129237.29863633626</x:v>
      </x:c>
      <x:c r="K690" s="58" t="n">
        <x:f>K689*(1-'Commercial Inputs'!$B$31)+J689*'Commercial Inputs'!$B$31</x:f>
        <x:v>138193.69523433835</x:v>
      </x:c>
      <x:c r="L690" s="58" t="n">
        <x:f>L689*(1-'Commercial Inputs'!$B$31)+K689*'Commercial Inputs'!$B$31</x:f>
        <x:v>147991.9486311075</x:v>
      </x:c>
      <x:c r="M690" s="58" t="n">
        <x:f>M689*(1-'Commercial Inputs'!$B$31)+L689*'Commercial Inputs'!$B$31</x:f>
        <x:v>158767.1797825899</x:v>
      </x:c>
      <x:c r="N690" s="58" t="n">
        <x:f>N689*(1-'Commercial Inputs'!$B$31)+M689*'Commercial Inputs'!$B$31</x:f>
        <x:v>198538.4569038984</x:v>
      </x:c>
      <x:c r="O690" s="58" t="n">
        <x:f>O689*(1-'Commercial Inputs'!$B$31)+N689*'Commercial Inputs'!$B$31</x:f>
        <x:v>238395.32757166427</x:v>
      </x:c>
      <x:c r="P690" s="58" t="n">
        <x:f>P689*(1-'Commercial Inputs'!$B$31)+O689*'Commercial Inputs'!$B$31</x:f>
        <x:v>250056.45729419234</x:v>
      </x:c>
      <x:c r="Q690" s="58" t="n">
        <x:f>Q689*(1-'Commercial Inputs'!$B$31)+P689*'Commercial Inputs'!$B$31</x:f>
        <x:v>264207.1267994724</x:v>
      </x:c>
      <x:c r="R690" s="58" t="n">
        <x:f>R689*(1-'Commercial Inputs'!$B$31)+Q689*'Commercial Inputs'!$B$31</x:f>
        <x:v>279079.40107218816</x:v>
      </x:c>
      <x:c r="S690" s="58" t="n">
        <x:f>S689*(1-'Commercial Inputs'!$B$31)+R689*'Commercial Inputs'!$B$31</x:f>
        <x:v>292815.4733150007</x:v>
      </x:c>
      <x:c r="T690" s="58" t="n">
        <x:f>T689*(1-'Commercial Inputs'!$B$31)+S689*'Commercial Inputs'!$B$31</x:f>
        <x:v>338485.83265085676</x:v>
      </x:c>
      <x:c r="U690" s="58" t="n">
        <x:f>U689*(1-'Commercial Inputs'!$B$31)+T689*'Commercial Inputs'!$B$31</x:f>
        <x:v>385892.4060623315</x:v>
      </x:c>
      <x:c r="V690" s="58" t="n">
        <x:f>V689*(1-'Commercial Inputs'!$B$31)+U689*'Commercial Inputs'!$B$31</x:f>
        <x:v>403967.9087858819</x:v>
      </x:c>
      <x:c r="W690" s="58" t="n">
        <x:f>W689*(1-'Commercial Inputs'!$B$31)+V689*'Commercial Inputs'!$B$31</x:f>
        <x:v>423074.1915403821</x:v>
      </x:c>
      <x:c r="X690" s="58" t="n">
        <x:f>X689*(1-'Commercial Inputs'!$B$31)+W689*'Commercial Inputs'!$B$31</x:f>
        <x:v>443467.7924163762</x:v>
      </x:c>
      <x:c r="Y690" s="58" t="n">
        <x:f>Y689*(1-'Commercial Inputs'!$B$31)+X689*'Commercial Inputs'!$B$31</x:f>
        <x:v>465309.0729540568</x:v>
      </x:c>
      <x:c r="Z690" s="58" t="n">
        <x:f>Z689*(1-'Commercial Inputs'!$B$31)+Y689*'Commercial Inputs'!$B$31</x:f>
        <x:v>512659.1643828456</x:v>
      </x:c>
      <x:c r="AA690" s="58" t="n">
        <x:f>AA689*(1-'Commercial Inputs'!$B$31)+Z689*'Commercial Inputs'!$B$31</x:f>
        <x:v>559155.3847856169</x:v>
      </x:c>
      <x:c r="AB690" s="58" t="n">
        <x:f>AB689*(1-'Commercial Inputs'!$B$31)+AA689*'Commercial Inputs'!$B$31</x:f>
        <x:v>580471.2111074259</x:v>
      </x:c>
      <x:c r="AC690" s="58" t="n">
        <x:f>AC689*(1-'Commercial Inputs'!$B$31)+AB689*'Commercial Inputs'!$B$31</x:f>
        <x:v>603792.8217620696</x:v>
      </x:c>
      <x:c r="AD690" s="58" t="n">
        <x:f>AD689*(1-'Commercial Inputs'!$B$31)+AC689*'Commercial Inputs'!$B$31</x:f>
        <x:v>628253.844218812</x:v>
      </x:c>
      <x:c r="AE690" s="58" t="n">
        <x:f>AE689*(1-'Commercial Inputs'!$B$31)+AD689*'Commercial Inputs'!$B$31</x:f>
        <x:v>652924.0008054238</x:v>
      </x:c>
      <x:c r="AF690" s="58" t="n">
        <x:f>AF689*(1-'Commercial Inputs'!$B$31)+AE689*'Commercial Inputs'!$B$31</x:f>
        <x:v>712990.7178134886</x:v>
      </x:c>
      <x:c r="AG690" s="58" t="n">
        <x:f>AG689*(1-'Commercial Inputs'!$B$31)+AF689*'Commercial Inputs'!$B$31</x:f>
        <x:v>775180.3368882844</x:v>
      </x:c>
      <x:c r="AH690" s="58" t="n">
        <x:f>AH689*(1-'Commercial Inputs'!$B$31)+AG689*'Commercial Inputs'!$B$31</x:f>
        <x:v>805428.2419909022</x:v>
      </x:c>
      <x:c r="AI690" s="58" t="n">
        <x:f>AI689*(1-'Commercial Inputs'!$B$31)+AH689*'Commercial Inputs'!$B$31</x:f>
        <x:v>837194.7234210175</x:v>
      </x:c>
      <x:c r="AJ690" s="58" t="n">
        <x:f>AJ689*(1-'Commercial Inputs'!$B$31)+AI689*'Commercial Inputs'!$B$31</x:f>
        <x:v>870730.0767722775</x:v>
      </x:c>
      <x:c r="AK690" s="58" t="n">
        <x:f>AK689*(1-'Commercial Inputs'!$B$31)+AJ689*'Commercial Inputs'!$B$31</x:f>
        <x:v>906196.029862441</x:v>
      </x:c>
    </x:row>
    <x:row r="691" ht="18" customHeight="1">
      <x:c r="A691" s="4" t="str">
        <x:v>Cash outgo other than withheld fees (INR)</x:v>
      </x:c>
      <x:c r="B691" s="58" t="n">
        <x:f>SUM(B675:B678)+B646+SUM(B682:B685)</x:f>
        <x:v>43482.92865</x:v>
      </x:c>
      <x:c r="C691" s="58" t="n">
        <x:f>SUM(C675:C678)+C646+SUM(C682:C685)</x:f>
        <x:v>23934.343510885003</x:v>
      </x:c>
      <x:c r="D691" s="58" t="n">
        <x:f>SUM(D675:D678)+D646+SUM(D682:D685)</x:f>
        <x:v>24425.823684236086</x:v>
      </x:c>
      <x:c r="E691" s="58" t="n">
        <x:f>SUM(E675:E678)+E646+SUM(E682:E685)</x:f>
        <x:v>32787.116144198575</x:v>
      </x:c>
      <x:c r="F691" s="58" t="n">
        <x:f>SUM(F675:F678)+F646+SUM(F682:F685)</x:f>
        <x:v>33492.69025839504</x:v>
      </x:c>
      <x:c r="G691" s="58" t="n">
        <x:f>SUM(G675:G678)+G646+SUM(G682:G685)</x:f>
        <x:v>34238.13860818728</x:v>
      </x:c>
      <x:c r="H691" s="58" t="n">
        <x:f>SUM(H675:H678)+H646+SUM(H682:H685)</x:f>
        <x:v>52009.740325745486</x:v>
      </x:c>
      <x:c r="I691" s="58" t="n">
        <x:f>SUM(I675:I678)+I646+SUM(I682:I685)</x:f>
        <x:v>53164.22331043181</x:v>
      </x:c>
      <x:c r="J691" s="58" t="n">
        <x:f>SUM(J675:J678)+J646+SUM(J682:J685)</x:f>
        <x:v>54370.43005014893</x:v>
      </x:c>
      <x:c r="K691" s="58" t="n">
        <x:f>SUM(K675:K678)+K646+SUM(K682:K685)</x:f>
        <x:v>55647.24131029399</x:v>
      </x:c>
      <x:c r="L691" s="58" t="n">
        <x:f>SUM(L675:L678)+L646+SUM(L682:L685)</x:f>
        <x:v>57005.82242976303</x:v>
      </x:c>
      <x:c r="M691" s="58" t="n">
        <x:f>SUM(M675:M678)+M646+SUM(M682:M685)</x:f>
        <x:v>68458.28436272014</x:v>
      </x:c>
      <x:c r="N691" s="58" t="n">
        <x:f>SUM(N675:N678)+N646+SUM(N682:N685)</x:f>
        <x:v>112242.71254956687</x:v>
      </x:c>
      <x:c r="O691" s="58" t="n">
        <x:f>SUM(O675:O678)+O646+SUM(O682:O685)</x:f>
        <x:v>114020.32171921167</x:v>
      </x:c>
      <x:c r="P691" s="58" t="n">
        <x:f>SUM(P675:P678)+P646+SUM(P682:P685)</x:f>
        <x:v>115830.95247263007</x:v>
      </x:c>
      <x:c r="Q691" s="58" t="n">
        <x:f>SUM(Q675:Q678)+Q646+SUM(Q682:Q685)</x:f>
        <x:v>117667.56440589373</x:v>
      </x:c>
      <x:c r="R691" s="58" t="n">
        <x:f>SUM(R675:R678)+R646+SUM(R682:R685)</x:f>
        <x:v>119512.7296978734</x:v>
      </x:c>
      <x:c r="S691" s="58" t="n">
        <x:f>SUM(S675:S678)+S646+SUM(S682:S685)</x:f>
        <x:v>121424.91587269165</x:v>
      </x:c>
      <x:c r="T691" s="58" t="n">
        <x:f>SUM(T675:T678)+T646+SUM(T682:T685)</x:f>
        <x:v>155869.2628505801</x:v>
      </x:c>
      <x:c r="U691" s="58" t="n">
        <x:f>SUM(U675:U678)+U646+SUM(U682:U685)</x:f>
        <x:v>158287.6071791956</x:v>
      </x:c>
      <x:c r="V691" s="58" t="n">
        <x:f>SUM(V675:V678)+V646+SUM(V682:V685)</x:f>
        <x:v>160766.19753729156</x:v>
      </x:c>
      <x:c r="W691" s="58" t="n">
        <x:f>SUM(W675:W678)+W646+SUM(W682:W685)</x:f>
        <x:v>178328.82732798473</x:v>
      </x:c>
      <x:c r="X691" s="58" t="n">
        <x:f>SUM(X675:X678)+X646+SUM(X682:X685)</x:f>
        <x:v>180984.32767988511</x:v>
      </x:c>
      <x:c r="Y691" s="58" t="n">
        <x:f>SUM(Y675:Y678)+Y646+SUM(Y682:Y685)</x:f>
        <x:v>183741.49120117753</x:v>
      </x:c>
      <x:c r="Z691" s="58" t="n">
        <x:f>SUM(Z675:Z678)+Z646+SUM(Z682:Z685)</x:f>
        <x:v>233505.4092861264</x:v>
      </x:c>
      <x:c r="AA691" s="58" t="n">
        <x:f>SUM(AA675:AA678)+AA646+SUM(AA682:AA685)</x:f>
        <x:v>236373.46503084817</x:v>
      </x:c>
      <x:c r="AB691" s="58" t="n">
        <x:f>SUM(AB675:AB678)+AB646+SUM(AB682:AB685)</x:f>
        <x:v>239309.36209150057</x:v>
      </x:c>
      <x:c r="AC691" s="58" t="n">
        <x:f>SUM(AC675:AC678)+AC646+SUM(AC682:AC685)</x:f>
        <x:v>242342.31900369408</x:v>
      </x:c>
      <x:c r="AD691" s="58" t="n">
        <x:f>SUM(AD675:AD678)+AD646+SUM(AD682:AD685)</x:f>
        <x:v>245439.46819868768</x:v>
      </x:c>
      <x:c r="AE691" s="58" t="n">
        <x:f>SUM(AE675:AE678)+AE646+SUM(AE682:AE685)</x:f>
        <x:v>248635.34587699588</x:v>
      </x:c>
      <x:c r="AF691" s="58" t="n">
        <x:f>SUM(AF675:AF678)+AF646+SUM(AF682:AF685)</x:f>
        <x:v>284262.44665905804</x:v>
      </x:c>
      <x:c r="AG691" s="58" t="n">
        <x:f>SUM(AG675:AG678)+AG646+SUM(AG682:AG685)</x:f>
        <x:v>287819.493654786</x:v>
      </x:c>
      <x:c r="AH691" s="58" t="n">
        <x:f>SUM(AH675:AH678)+AH646+SUM(AH682:AH685)</x:f>
        <x:v>291470.8368421139</x:v>
      </x:c>
      <x:c r="AI691" s="58" t="n">
        <x:f>SUM(AI675:AI678)+AI646+SUM(AI682:AI685)</x:f>
        <x:v>295238.4597700782</x:v>
      </x:c>
      <x:c r="AJ691" s="58" t="n">
        <x:f>SUM(AJ675:AJ678)+AJ646+SUM(AJ682:AJ685)</x:f>
        <x:v>299130.6266694437</x:v>
      </x:c>
      <x:c r="AK691" s="58" t="n">
        <x:f>SUM(AK675:AK678)+AK646+SUM(AK682:AK685)</x:f>
        <x:v>303155.44539858017</x:v>
      </x:c>
    </x:row>
    <x:row r="692" ht="18" customHeight="1">
      <x:c r="A692" s="74" t="str">
        <x:v>NET CASH MOVEMENT (INR)</x:v>
      </x:c>
      <x:c r="B692" s="75" t="n">
        <x:f>B690-B691</x:f>
        <x:v>-23184.97454033898</x:v>
      </x:c>
      <x:c r="C692" s="75" t="n">
        <x:f>C690-C691</x:f>
        <x:v>18771.633832104584</x:v>
      </x:c>
      <x:c r="D692" s="75" t="n">
        <x:f>D690-D691</x:f>
        <x:v>22589.61394079554</x:v>
      </x:c>
      <x:c r="E692" s="75" t="n">
        <x:f>E690-E691</x:f>
        <x:v>25879.80575113189</x:v>
      </x:c>
      <x:c r="F692" s="75" t="n">
        <x:f>F690-F691</x:f>
        <x:v>37425.762640134344</x:v>
      </x:c>
      <x:c r="G692" s="75" t="n">
        <x:f>G690-G691</x:f>
        <x:v>42491.90998743415</x:v>
      </x:c>
      <x:c r="H692" s="75" t="n">
        <x:f>H690-H691</x:f>
        <x:v>46323.5373159349</x:v>
      </x:c>
      <x:c r="I692" s="75" t="n">
        <x:f>I690-I691</x:f>
        <x:v>67774.60756907775</x:v>
      </x:c>
      <x:c r="J692" s="75" t="n">
        <x:f>J690-J691</x:f>
        <x:v>74866.86858618734</x:v>
      </x:c>
      <x:c r="K692" s="75" t="n">
        <x:f>K690-K691</x:f>
        <x:v>82546.45392404436</x:v>
      </x:c>
      <x:c r="L692" s="75" t="n">
        <x:f>L690-L691</x:f>
        <x:v>90986.12620134445</x:v>
      </x:c>
      <x:c r="M692" s="75" t="n">
        <x:f>M690-M691</x:f>
        <x:v>90308.89541986976</x:v>
      </x:c>
      <x:c r="N692" s="75" t="n">
        <x:f>N690-N691</x:f>
        <x:v>86295.74435433152</x:v>
      </x:c>
      <x:c r="O692" s="75" t="n">
        <x:f>O690-O691</x:f>
        <x:v>124375.0058524526</x:v>
      </x:c>
      <x:c r="P692" s="75" t="n">
        <x:f>P690-P691</x:f>
        <x:v>134225.50482156227</x:v>
      </x:c>
      <x:c r="Q692" s="75" t="n">
        <x:f>Q690-Q691</x:f>
        <x:v>146539.56239357864</x:v>
      </x:c>
      <x:c r="R692" s="75" t="n">
        <x:f>R690-R691</x:f>
        <x:v>159566.67137431476</x:v>
      </x:c>
      <x:c r="S692" s="75" t="n">
        <x:f>S690-S691</x:f>
        <x:v>171390.55744230904</x:v>
      </x:c>
      <x:c r="T692" s="75" t="n">
        <x:f>T690-T691</x:f>
        <x:v>182616.56980027666</x:v>
      </x:c>
      <x:c r="U692" s="75" t="n">
        <x:f>U690-U691</x:f>
        <x:v>227604.79888313593</x:v>
      </x:c>
      <x:c r="V692" s="75" t="n">
        <x:f>V690-V691</x:f>
        <x:v>243201.71124859032</x:v>
      </x:c>
      <x:c r="W692" s="75" t="n">
        <x:f>W690-W691</x:f>
        <x:v>244745.36421239737</x:v>
      </x:c>
      <x:c r="X692" s="75" t="n">
        <x:f>X690-X691</x:f>
        <x:v>262483.4647364911</x:v>
      </x:c>
      <x:c r="Y692" s="75" t="n">
        <x:f>Y690-Y691</x:f>
        <x:v>281567.58175287925</x:v>
      </x:c>
      <x:c r="Z692" s="75" t="n">
        <x:f>Z690-Z691</x:f>
        <x:v>279153.75509671925</x:v>
      </x:c>
      <x:c r="AA692" s="75" t="n">
        <x:f>AA690-AA691</x:f>
        <x:v>322781.9197547687</x:v>
      </x:c>
      <x:c r="AB692" s="75" t="n">
        <x:f>AB690-AB691</x:f>
        <x:v>341161.8490159253</x:v>
      </x:c>
      <x:c r="AC692" s="75" t="n">
        <x:f>AC690-AC691</x:f>
        <x:v>361450.5027583755</x:v>
      </x:c>
      <x:c r="AD692" s="75" t="n">
        <x:f>AD690-AD691</x:f>
        <x:v>382814.3760201243</x:v>
      </x:c>
      <x:c r="AE692" s="75" t="n">
        <x:f>AE690-AE691</x:f>
        <x:v>404288.65492842795</x:v>
      </x:c>
      <x:c r="AF692" s="75" t="n">
        <x:f>AF690-AF691</x:f>
        <x:v>428728.2711544305</x:v>
      </x:c>
      <x:c r="AG692" s="75" t="n">
        <x:f>AG690-AG691</x:f>
        <x:v>487360.8432334984</x:v>
      </x:c>
      <x:c r="AH692" s="75" t="n">
        <x:f>AH690-AH691</x:f>
        <x:v>513957.40514878836</x:v>
      </x:c>
      <x:c r="AI692" s="75" t="n">
        <x:f>AI690-AI691</x:f>
        <x:v>541956.2636509393</x:v>
      </x:c>
      <x:c r="AJ692" s="75" t="n">
        <x:f>AJ690-AJ691</x:f>
        <x:v>571599.4501028338</x:v>
      </x:c>
      <x:c r="AK692" s="75" t="n">
        <x:f>AK690-AK691</x:f>
        <x:v>603040.5844638608</x:v>
      </x:c>
    </x:row>
    <x:row r="693" ht="18" customHeight="1">
      <x:c r="A693" s="4" t="str">
        <x:v>Cumulative cash movement (INR)</x:v>
      </x:c>
      <x:c r="B693" s="58" t="n">
        <x:f>0+B692</x:f>
        <x:v>-23184.97454033898</x:v>
      </x:c>
      <x:c r="C693" s="58" t="n">
        <x:f>B693+C692</x:f>
        <x:v>-4413.340708234395</x:v>
      </x:c>
      <x:c r="D693" s="58" t="n">
        <x:f>C693+D692</x:f>
        <x:v>18176.273232561147</x:v>
      </x:c>
      <x:c r="E693" s="58" t="n">
        <x:f>D693+E692</x:f>
        <x:v>44056.078983693034</x:v>
      </x:c>
      <x:c r="F693" s="58" t="n">
        <x:f>E693+F692</x:f>
        <x:v>81481.84162382738</x:v>
      </x:c>
      <x:c r="G693" s="58" t="n">
        <x:f>F693+G692</x:f>
        <x:v>123973.75161126153</x:v>
      </x:c>
      <x:c r="H693" s="58" t="n">
        <x:f>G693+H692</x:f>
        <x:v>170297.2889271964</x:v>
      </x:c>
      <x:c r="I693" s="58" t="n">
        <x:f>H693+I692</x:f>
        <x:v>238071.89649627416</x:v>
      </x:c>
      <x:c r="J693" s="58" t="n">
        <x:f>I693+J692</x:f>
        <x:v>312938.7650824615</x:v>
      </x:c>
      <x:c r="K693" s="58" t="n">
        <x:f>J693+K692</x:f>
        <x:v>395485.2190065059</x:v>
      </x:c>
      <x:c r="L693" s="58" t="n">
        <x:f>K693+L692</x:f>
        <x:v>486471.34520785033</x:v>
      </x:c>
      <x:c r="M693" s="58" t="n">
        <x:f>L693+M692</x:f>
        <x:v>576780.2406277201</x:v>
      </x:c>
      <x:c r="N693" s="58" t="n">
        <x:f>M693+N692</x:f>
        <x:v>663075.9849820517</x:v>
      </x:c>
      <x:c r="O693" s="58" t="n">
        <x:f>N693+O692</x:f>
        <x:v>787450.9908345042</x:v>
      </x:c>
      <x:c r="P693" s="58" t="n">
        <x:f>O693+P692</x:f>
        <x:v>921676.4956560666</x:v>
      </x:c>
      <x:c r="Q693" s="58" t="n">
        <x:f>P693+Q692</x:f>
        <x:v>1068216.0580496453</x:v>
      </x:c>
      <x:c r="R693" s="58" t="n">
        <x:f>Q693+R692</x:f>
        <x:v>1227782.72942396</x:v>
      </x:c>
      <x:c r="S693" s="58" t="n">
        <x:f>R693+S692</x:f>
        <x:v>1399173.286866269</x:v>
      </x:c>
      <x:c r="T693" s="58" t="n">
        <x:f>S693+T692</x:f>
        <x:v>1581789.8566665458</x:v>
      </x:c>
      <x:c r="U693" s="58" t="n">
        <x:f>T693+U692</x:f>
        <x:v>1809394.6555496817</x:v>
      </x:c>
      <x:c r="V693" s="58" t="n">
        <x:f>U693+V692</x:f>
        <x:v>2052596.3667982721</x:v>
      </x:c>
      <x:c r="W693" s="58" t="n">
        <x:f>V693+W692</x:f>
        <x:v>2297341.7310106694</x:v>
      </x:c>
      <x:c r="X693" s="58" t="n">
        <x:f>W693+X692</x:f>
        <x:v>2559825.1957471604</x:v>
      </x:c>
      <x:c r="Y693" s="58" t="n">
        <x:f>X693+Y692</x:f>
        <x:v>2841392.7775000394</x:v>
      </x:c>
      <x:c r="Z693" s="58" t="n">
        <x:f>Y693+Z692</x:f>
        <x:v>3120546.5325967586</x:v>
      </x:c>
      <x:c r="AA693" s="58" t="n">
        <x:f>Z693+AA692</x:f>
        <x:v>3443328.4523515273</x:v>
      </x:c>
      <x:c r="AB693" s="58" t="n">
        <x:f>AA693+AB692</x:f>
        <x:v>3784490.3013674524</x:v>
      </x:c>
      <x:c r="AC693" s="58" t="n">
        <x:f>AB693+AC692</x:f>
        <x:v>4145940.8041258277</x:v>
      </x:c>
      <x:c r="AD693" s="58" t="n">
        <x:f>AC693+AD692</x:f>
        <x:v>4528755.180145952</x:v>
      </x:c>
      <x:c r="AE693" s="58" t="n">
        <x:f>AD693+AE692</x:f>
        <x:v>4933043.83507438</x:v>
      </x:c>
      <x:c r="AF693" s="58" t="n">
        <x:f>AE693+AF692</x:f>
        <x:v>5361772.106228811</x:v>
      </x:c>
      <x:c r="AG693" s="58" t="n">
        <x:f>AF693+AG692</x:f>
        <x:v>5849132.9494623095</x:v>
      </x:c>
      <x:c r="AH693" s="58" t="n">
        <x:f>AG693+AH692</x:f>
        <x:v>6363090.354611098</x:v>
      </x:c>
      <x:c r="AI693" s="58" t="n">
        <x:f>AH693+AI692</x:f>
        <x:v>6905046.618262038</x:v>
      </x:c>
      <x:c r="AJ693" s="58" t="n">
        <x:f>AI693+AJ692</x:f>
        <x:v>7476646.068364872</x:v>
      </x:c>
      <x:c r="AK693" s="58" t="n">
        <x:f>AJ693+AK692</x:f>
        <x:v>8079686.6528287325</x:v>
      </x:c>
    </x:row>
    <x:row r="694" ht="18" customHeight="1">
      <x:c r="A694" s="74" t="str">
        <x:v>CLOSING CASH, BEFORE TAX / OWNER DRAWS</x:v>
      </x:c>
      <x:c r="B694" s="75" t="n">
        <x:f>'Commercial Inputs'!$B$29+B693</x:f>
        <x:v>76815.02545966102</x:v>
      </x:c>
      <x:c r="C694" s="75" t="n">
        <x:f>'Commercial Inputs'!$B$29+C693</x:f>
        <x:v>95586.65929176561</x:v>
      </x:c>
      <x:c r="D694" s="75" t="n">
        <x:f>'Commercial Inputs'!$B$29+D693</x:f>
        <x:v>118176.27323256114</x:v>
      </x:c>
      <x:c r="E694" s="75" t="n">
        <x:f>'Commercial Inputs'!$B$29+E693</x:f>
        <x:v>144056.07898369303</x:v>
      </x:c>
      <x:c r="F694" s="75" t="n">
        <x:f>'Commercial Inputs'!$B$29+F693</x:f>
        <x:v>181481.84162382738</x:v>
      </x:c>
      <x:c r="G694" s="75" t="n">
        <x:f>'Commercial Inputs'!$B$29+G693</x:f>
        <x:v>223973.7516112615</x:v>
      </x:c>
      <x:c r="H694" s="75" t="n">
        <x:f>'Commercial Inputs'!$B$29+H693</x:f>
        <x:v>270297.2889271964</x:v>
      </x:c>
      <x:c r="I694" s="75" t="n">
        <x:f>'Commercial Inputs'!$B$29+I693</x:f>
        <x:v>338071.89649627416</x:v>
      </x:c>
      <x:c r="J694" s="75" t="n">
        <x:f>'Commercial Inputs'!$B$29+J693</x:f>
        <x:v>412938.7650824615</x:v>
      </x:c>
      <x:c r="K694" s="75" t="n">
        <x:f>'Commercial Inputs'!$B$29+K693</x:f>
        <x:v>495485.2190065059</x:v>
      </x:c>
      <x:c r="L694" s="75" t="n">
        <x:f>'Commercial Inputs'!$B$29+L693</x:f>
        <x:v>586471.3452078503</x:v>
      </x:c>
      <x:c r="M694" s="75" t="n">
        <x:f>'Commercial Inputs'!$B$29+M693</x:f>
        <x:v>676780.2406277201</x:v>
      </x:c>
      <x:c r="N694" s="75" t="n">
        <x:f>'Commercial Inputs'!$B$29+N693</x:f>
        <x:v>763075.9849820517</x:v>
      </x:c>
      <x:c r="O694" s="75" t="n">
        <x:f>'Commercial Inputs'!$B$29+O693</x:f>
        <x:v>887450.9908345042</x:v>
      </x:c>
      <x:c r="P694" s="75" t="n">
        <x:f>'Commercial Inputs'!$B$29+P693</x:f>
        <x:v>1021676.4956560666</x:v>
      </x:c>
      <x:c r="Q694" s="75" t="n">
        <x:f>'Commercial Inputs'!$B$29+Q693</x:f>
        <x:v>1168216.0580496453</x:v>
      </x:c>
      <x:c r="R694" s="75" t="n">
        <x:f>'Commercial Inputs'!$B$29+R693</x:f>
        <x:v>1327782.72942396</x:v>
      </x:c>
      <x:c r="S694" s="75" t="n">
        <x:f>'Commercial Inputs'!$B$29+S693</x:f>
        <x:v>1499173.286866269</x:v>
      </x:c>
      <x:c r="T694" s="75" t="n">
        <x:f>'Commercial Inputs'!$B$29+T693</x:f>
        <x:v>1681789.8566665458</x:v>
      </x:c>
      <x:c r="U694" s="75" t="n">
        <x:f>'Commercial Inputs'!$B$29+U693</x:f>
        <x:v>1909394.6555496817</x:v>
      </x:c>
      <x:c r="V694" s="75" t="n">
        <x:f>'Commercial Inputs'!$B$29+V693</x:f>
        <x:v>2152596.3667982724</x:v>
      </x:c>
      <x:c r="W694" s="75" t="n">
        <x:f>'Commercial Inputs'!$B$29+W693</x:f>
        <x:v>2397341.7310106694</x:v>
      </x:c>
      <x:c r="X694" s="75" t="n">
        <x:f>'Commercial Inputs'!$B$29+X693</x:f>
        <x:v>2659825.1957471604</x:v>
      </x:c>
      <x:c r="Y694" s="75" t="n">
        <x:f>'Commercial Inputs'!$B$29+Y693</x:f>
        <x:v>2941392.7775000394</x:v>
      </x:c>
      <x:c r="Z694" s="75" t="n">
        <x:f>'Commercial Inputs'!$B$29+Z693</x:f>
        <x:v>3220546.5325967586</x:v>
      </x:c>
      <x:c r="AA694" s="75" t="n">
        <x:f>'Commercial Inputs'!$B$29+AA693</x:f>
        <x:v>3543328.4523515273</x:v>
      </x:c>
      <x:c r="AB694" s="75" t="n">
        <x:f>'Commercial Inputs'!$B$29+AB693</x:f>
        <x:v>3884490.3013674524</x:v>
      </x:c>
      <x:c r="AC694" s="75" t="n">
        <x:f>'Commercial Inputs'!$B$29+AC693</x:f>
        <x:v>4245940.804125828</x:v>
      </x:c>
      <x:c r="AD694" s="75" t="n">
        <x:f>'Commercial Inputs'!$B$29+AD693</x:f>
        <x:v>4628755.180145952</x:v>
      </x:c>
      <x:c r="AE694" s="75" t="n">
        <x:f>'Commercial Inputs'!$B$29+AE693</x:f>
        <x:v>5033043.83507438</x:v>
      </x:c>
      <x:c r="AF694" s="75" t="n">
        <x:f>'Commercial Inputs'!$B$29+AF693</x:f>
        <x:v>5461772.106228811</x:v>
      </x:c>
      <x:c r="AG694" s="75" t="n">
        <x:f>'Commercial Inputs'!$B$29+AG693</x:f>
        <x:v>5949132.9494623095</x:v>
      </x:c>
      <x:c r="AH694" s="75" t="n">
        <x:f>'Commercial Inputs'!$B$29+AH693</x:f>
        <x:v>6463090.354611098</x:v>
      </x:c>
      <x:c r="AI694" s="75" t="n">
        <x:f>'Commercial Inputs'!$B$29+AI693</x:f>
        <x:v>7005046.618262038</x:v>
      </x:c>
      <x:c r="AJ694" s="75" t="n">
        <x:f>'Commercial Inputs'!$B$29+AJ693</x:f>
        <x:v>7576646.068364872</x:v>
      </x:c>
      <x:c r="AK694" s="75" t="n">
        <x:f>'Commercial Inputs'!$B$29+AK693</x:f>
        <x:v>8179686.6528287325</x:v>
      </x:c>
    </x:row>
    <x:row r="695" ht="18" customHeight="1">
      <x:c r="A695" s="74" t="str">
        <x:v>Unearned annual subscription revenue (INR)</x:v>
      </x:c>
      <x:c r="B695" s="75" t="n">
        <x:f>0+B673-B668</x:f>
        <x:v>43515.59686165255</x:v>
      </x:c>
      <x:c r="C695" s="75" t="n">
        <x:f>B695+C673-C668</x:f>
        <x:v>86480.79882228815</x:v>
      </x:c>
      <x:c r="D695" s="75" t="n">
        <x:f>C695+D673-D668</x:f>
        <x:v>128994.67696408983</x:v>
      </x:c>
      <x:c r="E695" s="75" t="n">
        <x:f>D695+E673-E668</x:f>
        <x:v>186304.0506770688</x:v>
      </x:c>
      <x:c r="F695" s="75" t="n">
        <x:f>E695+F673-F668</x:f>
        <x:v>242021.34769620688</x:v>
      </x:c>
      <x:c r="G695" s="75" t="n">
        <x:f>F695+G673-G668</x:f>
        <x:v>296285.7557588534</x:v>
      </x:c>
      <x:c r="H695" s="75" t="n">
        <x:f>G695+H673-H668</x:f>
        <x:v>382047.52798309946</x:v>
      </x:c>
      <x:c r="I695" s="75" t="n">
        <x:f>H695+I673-I668</x:f>
        <x:v>463705.59290057427</x:v>
      </x:c>
      <x:c r="J695" s="75" t="n">
        <x:f>I695+J673-J668</x:f>
        <x:v>541455.4992607364</x:v>
      </x:c>
      <x:c r="K695" s="75" t="n">
        <x:f>J695+K673-K668</x:f>
        <x:v>615516.2616629796</x:v>
      </x:c>
      <x:c r="L695" s="75" t="n">
        <x:f>K695+L673-L668</x:f>
        <x:v>686133.1764586248</x:v>
      </x:c>
      <x:c r="M695" s="75" t="n">
        <x:f>L695+M673-M668</x:f>
        <x:v>753580.9755611513</x:v>
      </x:c>
      <x:c r="N695" s="75" t="n">
        <x:f>M695+N673-N668</x:f>
        <x:v>882437.0693520512</x:v>
      </x:c>
      <x:c r="O695" s="75" t="n">
        <x:f>N695+O673-O668</x:f>
        <x:v>1003811.3078281361</x:v>
      </x:c>
      <x:c r="P695" s="75" t="n">
        <x:f>O695+P673-P668</x:f>
        <x:v>1117986.22105965</x:v>
      </x:c>
      <x:c r="Q695" s="75" t="n">
        <x:f>P695+Q673-Q668</x:f>
        <x:v>1231062.487109288</x:v>
      </x:c>
      <x:c r="R695" s="75" t="n">
        <x:f>Q695+R673-R668</x:f>
        <x:v>1338597.7524706894</x:v>
      </x:c>
      <x:c r="S695" s="75" t="n">
        <x:f>R695+S673-S668</x:f>
        <x:v>1441002.463667171</x:v>
      </x:c>
      <x:c r="T695" s="75" t="n">
        <x:f>S695+T673-T668</x:f>
        <x:v>1608598.2768655221</x:v>
      </x:c>
      <x:c r="U695" s="75" t="n">
        <x:f>T695+U673-U668</x:f>
        <x:v>1768954.7763649237</x:v>
      </x:c>
      <x:c r="V695" s="75" t="n">
        <x:f>U695+V673-V668</x:f>
        <x:v>1922665.6313541522</x:v>
      </x:c>
      <x:c r="W695" s="75" t="n">
        <x:f>V695+W673-W668</x:f>
        <x:v>2070401.6575694552</x:v>
      </x:c>
      <x:c r="X695" s="75" t="n">
        <x:f>W695+X673-X668</x:f>
        <x:v>2212920.547379832</x:v>
      </x:c>
      <x:c r="Y695" s="75" t="n">
        <x:f>X695+Y673-Y668</x:f>
        <x:v>2351077.8052825145</x:v>
      </x:c>
      <x:c r="Z695" s="75" t="n">
        <x:f>Y695+Z673-Z668</x:f>
        <x:v>2543456.8103310224</x:v>
      </x:c>
      <x:c r="AA695" s="75" t="n">
        <x:f>Z695+AA673-AA668</x:f>
        <x:v>2727413.9912115494</x:v>
      </x:c>
      <x:c r="AB695" s="75" t="n">
        <x:f>AA695+AB673-AB668</x:f>
        <x:v>2903387.29921798</x:v>
      </x:c>
      <x:c r="AC695" s="75" t="n">
        <x:f>AB695+AC673-AC668</x:f>
        <x:v>3074614.378781822</x:v>
      </x:c>
      <x:c r="AD695" s="75" t="n">
        <x:f>AC695+AD673-AD668</x:f>
        <x:v>3239073.7658555596</x:v>
      </x:c>
      <x:c r="AE695" s="75" t="n">
        <x:f>AD695+AE673-AE668</x:f>
        <x:v>3397367.6104846606</x:v>
      </x:c>
      <x:c r="AF695" s="75" t="n">
        <x:f>AE695+AF673-AF668</x:f>
        <x:v>3630139.893598971</x:v>
      </x:c>
      <x:c r="AG695" s="75" t="n">
        <x:f>AF695+AG673-AG668</x:f>
        <x:v>3857518.596076943</x:v>
      </x:c>
      <x:c r="AH695" s="75" t="n">
        <x:f>AG695+AH673-AH668</x:f>
        <x:v>4080325.96149847</x:v>
      </x:c>
      <x:c r="AI695" s="75" t="n">
        <x:f>AH695+AI673-AI668</x:f>
        <x:v>4299473.058304378</x:v>
      </x:c>
      <x:c r="AJ695" s="75" t="n">
        <x:f>AI695+AJ673-AJ668</x:f>
        <x:v>4515968.819367892</x:v>
      </x:c>
      <x:c r="AK695" s="75" t="n">
        <x:f>AJ695+AK673-AK668</x:f>
        <x:v>4730929.986849993</x:v>
      </x:c>
    </x:row>
    <x:row r="696" ht="18" customHeight="1">
      <x:c r="A696" s="4" t="str">
        <x:v>Payout receivable (INR)</x:v>
      </x:c>
      <x:c r="B696" s="58" t="n">
        <x:f>'Commercial Inputs'!$B$31*B689</x:f>
        <x:v>20297.954109661023</x:v>
      </x:c>
      <x:c r="C696" s="58" t="n">
        <x:f>'Commercial Inputs'!$B$31*C689</x:f>
        <x:v>22408.02323332856</x:v>
      </x:c>
      <x:c r="D696" s="58" t="n">
        <x:f>'Commercial Inputs'!$B$31*D689</x:f>
        <x:v>24607.41439170307</x:v>
      </x:c>
      <x:c r="E696" s="58" t="n">
        <x:f>'Commercial Inputs'!$B$31*E689</x:f>
        <x:v>34059.5075036274</x:v>
      </x:c>
      <x:c r="F696" s="58" t="n">
        <x:f>'Commercial Inputs'!$B$31*F689</x:f>
        <x:v>36858.94539490198</x:v>
      </x:c>
      <x:c r="G696" s="58" t="n">
        <x:f>'Commercial Inputs'!$B$31*G689</x:f>
        <x:v>39871.10320071945</x:v>
      </x:c>
      <x:c r="H696" s="58" t="n">
        <x:f>'Commercial Inputs'!$B$31*H689</x:f>
        <x:v>58462.17444096094</x:v>
      </x:c>
      <x:c r="I696" s="58" t="n">
        <x:f>'Commercial Inputs'!$B$31*I689</x:f>
        <x:v>62476.65643854863</x:v>
      </x:c>
      <x:c r="J696" s="58" t="n">
        <x:f>'Commercial Inputs'!$B$31*J689</x:f>
        <x:v>66760.64219778763</x:v>
      </x:c>
      <x:c r="K696" s="58" t="n">
        <x:f>'Commercial Inputs'!$B$31*K689</x:f>
        <x:v>71433.05303655073</x:v>
      </x:c>
      <x:c r="L696" s="58" t="n">
        <x:f>'Commercial Inputs'!$B$31*L689</x:f>
        <x:v>76558.89559455676</x:v>
      </x:c>
      <x:c r="M696" s="58" t="n">
        <x:f>'Commercial Inputs'!$B$31*M689</x:f>
        <x:v>82208.28418803313</x:v>
      </x:c>
      <x:c r="N696" s="58" t="n">
        <x:f>'Commercial Inputs'!$B$31*N689</x:f>
        <x:v>116330.17271586528</x:v>
      </x:c>
      <x:c r="O696" s="58" t="n">
        <x:f>'Commercial Inputs'!$B$31*O689</x:f>
        <x:v>122065.15485579899</x:v>
      </x:c>
      <x:c r="P696" s="58" t="n">
        <x:f>'Commercial Inputs'!$B$31*P689</x:f>
        <x:v>127991.30243839335</x:v>
      </x:c>
      <x:c r="Q696" s="58" t="n">
        <x:f>'Commercial Inputs'!$B$31*Q689</x:f>
        <x:v>136215.82436107902</x:v>
      </x:c>
      <x:c r="R696" s="58" t="n">
        <x:f>'Commercial Inputs'!$B$31*R689</x:f>
        <x:v>142863.57671110914</x:v>
      </x:c>
      <x:c r="S696" s="58" t="n">
        <x:f>'Commercial Inputs'!$B$31*S689</x:f>
        <x:v>149951.89660389157</x:v>
      </x:c>
      <x:c r="T696" s="58" t="n">
        <x:f>'Commercial Inputs'!$B$31*T689</x:f>
        <x:v>188533.9360469652</x:v>
      </x:c>
      <x:c r="U696" s="58" t="n">
        <x:f>'Commercial Inputs'!$B$31*U689</x:f>
        <x:v>197358.47001536636</x:v>
      </x:c>
      <x:c r="V696" s="58" t="n">
        <x:f>'Commercial Inputs'!$B$31*V689</x:f>
        <x:v>206609.43877051552</x:v>
      </x:c>
      <x:c r="W696" s="58" t="n">
        <x:f>'Commercial Inputs'!$B$31*W689</x:f>
        <x:v>216464.75276986655</x:v>
      </x:c>
      <x:c r="X696" s="58" t="n">
        <x:f>'Commercial Inputs'!$B$31*X689</x:f>
        <x:v>227003.0396465096</x:v>
      </x:c>
      <x:c r="Y696" s="58" t="n">
        <x:f>'Commercial Inputs'!$B$31*Y689</x:f>
        <x:v>238306.0333075472</x:v>
      </x:c>
      <x:c r="Z696" s="58" t="n">
        <x:f>'Commercial Inputs'!$B$31*Z689</x:f>
        <x:v>274353.1310752985</x:v>
      </x:c>
      <x:c r="AA696" s="58" t="n">
        <x:f>'Commercial Inputs'!$B$31*AA689</x:f>
        <x:v>284802.2537103184</x:v>
      </x:c>
      <x:c r="AB696" s="58" t="n">
        <x:f>'Commercial Inputs'!$B$31*AB689</x:f>
        <x:v>295668.9573971075</x:v>
      </x:c>
      <x:c r="AC696" s="58" t="n">
        <x:f>'Commercial Inputs'!$B$31*AC689</x:f>
        <x:v>308123.86436496215</x:v>
      </x:c>
      <x:c r="AD696" s="58" t="n">
        <x:f>'Commercial Inputs'!$B$31*AD689</x:f>
        <x:v>320129.97985384974</x:v>
      </x:c>
      <x:c r="AE696" s="58" t="n">
        <x:f>'Commercial Inputs'!$B$31*AE689</x:f>
        <x:v>332794.0209515741</x:v>
      </x:c>
      <x:c r="AF696" s="58" t="n">
        <x:f>'Commercial Inputs'!$B$31*AF689</x:f>
        <x:v>380196.69686191453</x:v>
      </x:c>
      <x:c r="AG696" s="58" t="n">
        <x:f>'Commercial Inputs'!$B$31*AG689</x:f>
        <x:v>394983.64002636995</x:v>
      </x:c>
      <x:c r="AH696" s="58" t="n">
        <x:f>'Commercial Inputs'!$B$31*AH689</x:f>
        <x:v>410444.6019645322</x:v>
      </x:c>
      <x:c r="AI696" s="58" t="n">
        <x:f>'Commercial Inputs'!$B$31*AI689</x:f>
        <x:v>426750.1214564853</x:v>
      </x:c>
      <x:c r="AJ696" s="58" t="n">
        <x:f>'Commercial Inputs'!$B$31*AJ689</x:f>
        <x:v>443979.95531579223</x:v>
      </x:c>
      <x:c r="AK696" s="58" t="n">
        <x:f>'Commercial Inputs'!$B$31*AK689</x:f>
        <x:v>462216.0745466488</x:v>
      </x:c>
    </x:row>
    <x:row r="697" ht="18" customHeight="1">
      <x:c r="A697" s="4" t="str">
        <x:v>Cash-profit bridge check: must be zero</x:v>
      </x:c>
      <x:c r="B697" s="58" t="n">
        <x:f>ROUND(B692-(B686+(B695-0)-(B696-0)),6)</x:f>
        <x:v>0</x:v>
      </x:c>
      <x:c r="C697" s="58" t="n">
        <x:f>ROUND(C692-(C686+(C695-B695)-(C696-B696)),6)</x:f>
        <x:v>0</x:v>
      </x:c>
      <x:c r="D697" s="58" t="n">
        <x:f>ROUND(D692-(D686+(D695-C695)-(D696-C696)),6)</x:f>
        <x:v>0</x:v>
      </x:c>
      <x:c r="E697" s="58" t="n">
        <x:f>ROUND(E692-(E686+(E695-D695)-(E696-D696)),6)</x:f>
        <x:v>0</x:v>
      </x:c>
      <x:c r="F697" s="58" t="n">
        <x:f>ROUND(F692-(F686+(F695-E695)-(F696-E696)),6)</x:f>
        <x:v>0</x:v>
      </x:c>
      <x:c r="G697" s="58" t="n">
        <x:f>ROUND(G692-(G686+(G695-F695)-(G696-F696)),6)</x:f>
        <x:v>0</x:v>
      </x:c>
      <x:c r="H697" s="58" t="n">
        <x:f>ROUND(H692-(H686+(H695-G695)-(H696-G696)),6)</x:f>
        <x:v>0</x:v>
      </x:c>
      <x:c r="I697" s="58" t="n">
        <x:f>ROUND(I692-(I686+(I695-H695)-(I696-H696)),6)</x:f>
        <x:v>0</x:v>
      </x:c>
      <x:c r="J697" s="58" t="n">
        <x:f>ROUND(J692-(J686+(J695-I695)-(J696-I696)),6)</x:f>
        <x:v>0</x:v>
      </x:c>
      <x:c r="K697" s="58" t="n">
        <x:f>ROUND(K692-(K686+(K695-J695)-(K696-J696)),6)</x:f>
        <x:v>0</x:v>
      </x:c>
      <x:c r="L697" s="58" t="n">
        <x:f>ROUND(L692-(L686+(L695-K695)-(L696-K696)),6)</x:f>
        <x:v>0</x:v>
      </x:c>
      <x:c r="M697" s="58" t="n">
        <x:f>ROUND(M692-(M686+(M695-L695)-(M696-L696)),6)</x:f>
        <x:v>0</x:v>
      </x:c>
      <x:c r="N697" s="58" t="n">
        <x:f>ROUND(N692-(N686+(N695-M695)-(N696-M696)),6)</x:f>
        <x:v>0</x:v>
      </x:c>
      <x:c r="O697" s="58" t="n">
        <x:f>ROUND(O692-(O686+(O695-N695)-(O696-N696)),6)</x:f>
        <x:v>0</x:v>
      </x:c>
      <x:c r="P697" s="58" t="n">
        <x:f>ROUND(P692-(P686+(P695-O695)-(P696-O696)),6)</x:f>
        <x:v>0</x:v>
      </x:c>
      <x:c r="Q697" s="58" t="n">
        <x:f>ROUND(Q692-(Q686+(Q695-P695)-(Q696-P696)),6)</x:f>
        <x:v>0</x:v>
      </x:c>
      <x:c r="R697" s="58" t="n">
        <x:f>ROUND(R692-(R686+(R695-Q695)-(R696-Q696)),6)</x:f>
        <x:v>0</x:v>
      </x:c>
      <x:c r="S697" s="58" t="n">
        <x:f>ROUND(S692-(S686+(S695-R695)-(S696-R696)),6)</x:f>
        <x:v>0</x:v>
      </x:c>
      <x:c r="T697" s="58" t="n">
        <x:f>ROUND(T692-(T686+(T695-S695)-(T696-S696)),6)</x:f>
        <x:v>0</x:v>
      </x:c>
      <x:c r="U697" s="58" t="n">
        <x:f>ROUND(U692-(U686+(U695-T695)-(U696-T696)),6)</x:f>
        <x:v>0</x:v>
      </x:c>
      <x:c r="V697" s="58" t="n">
        <x:f>ROUND(V692-(V686+(V695-U695)-(V696-U696)),6)</x:f>
        <x:v>0</x:v>
      </x:c>
      <x:c r="W697" s="58" t="n">
        <x:f>ROUND(W692-(W686+(W695-V695)-(W696-V696)),6)</x:f>
        <x:v>0</x:v>
      </x:c>
      <x:c r="X697" s="58" t="n">
        <x:f>ROUND(X692-(X686+(X695-W695)-(X696-W696)),6)</x:f>
        <x:v>0</x:v>
      </x:c>
      <x:c r="Y697" s="58" t="n">
        <x:f>ROUND(Y692-(Y686+(Y695-X695)-(Y696-X696)),6)</x:f>
        <x:v>0</x:v>
      </x:c>
      <x:c r="Z697" s="58" t="n">
        <x:f>ROUND(Z692-(Z686+(Z695-Y695)-(Z696-Y696)),6)</x:f>
        <x:v>0</x:v>
      </x:c>
      <x:c r="AA697" s="58" t="n">
        <x:f>ROUND(AA692-(AA686+(AA695-Z695)-(AA696-Z696)),6)</x:f>
        <x:v>0</x:v>
      </x:c>
      <x:c r="AB697" s="58" t="n">
        <x:f>ROUND(AB692-(AB686+(AB695-AA695)-(AB696-AA696)),6)</x:f>
        <x:v>0</x:v>
      </x:c>
      <x:c r="AC697" s="58" t="n">
        <x:f>ROUND(AC692-(AC686+(AC695-AB695)-(AC696-AB696)),6)</x:f>
        <x:v>0</x:v>
      </x:c>
      <x:c r="AD697" s="58" t="n">
        <x:f>ROUND(AD692-(AD686+(AD695-AC695)-(AD696-AC696)),6)</x:f>
        <x:v>0</x:v>
      </x:c>
      <x:c r="AE697" s="58" t="n">
        <x:f>ROUND(AE692-(AE686+(AE695-AD695)-(AE696-AD696)),6)</x:f>
        <x:v>0</x:v>
      </x:c>
      <x:c r="AF697" s="58" t="n">
        <x:f>ROUND(AF692-(AF686+(AF695-AE695)-(AF696-AE696)),6)</x:f>
        <x:v>0</x:v>
      </x:c>
      <x:c r="AG697" s="58" t="n">
        <x:f>ROUND(AG692-(AG686+(AG695-AF695)-(AG696-AF696)),6)</x:f>
        <x:v>0</x:v>
      </x:c>
      <x:c r="AH697" s="58" t="n">
        <x:f>ROUND(AH692-(AH686+(AH695-AG695)-(AH696-AG696)),6)</x:f>
        <x:v>0</x:v>
      </x:c>
      <x:c r="AI697" s="58" t="n">
        <x:f>ROUND(AI692-(AI686+(AI695-AH695)-(AI696-AH696)),6)</x:f>
        <x:v>0</x:v>
      </x:c>
      <x:c r="AJ697" s="58" t="n">
        <x:f>ROUND(AJ692-(AJ686+(AJ695-AI695)-(AJ696-AI696)),6)</x:f>
        <x:v>0</x:v>
      </x:c>
      <x:c r="AK697" s="58" t="n">
        <x:f>ROUND(AK692-(AK686+(AK695-AJ695)-(AK696-AJ696)),6)</x:f>
        <x:v>0</x:v>
      </x:c>
    </x:row>
    <x:row r="698" ht="18" customHeight="1">
      <x:c r="A698" s="4" t="str">
        <x:v>Remaining paid-service cost reserve (INR)</x:v>
      </x:c>
      <x:c r="B698" s="58" t="n">
        <x:f>B695/$B$714*'Commercial Inputs'!$B$46*('Commercial Inputs'!$B$24*$B$720+'Commercial Inputs'!$B$28)</x:f>
        <x:v>2104.6975125000004</x:v>
      </x:c>
      <x:c r="C698" s="58" t="n">
        <x:f>C695/$B$714*'Commercial Inputs'!$B$46*('Commercial Inputs'!$B$24*$B$720+'Commercial Inputs'!$B$28)</x:f>
        <x:v>4182.774345000001</x:v>
      </x:c>
      <x:c r="D698" s="58" t="n">
        <x:f>D695/$B$714*'Commercial Inputs'!$B$46*('Commercial Inputs'!$B$24*$B$720+'Commercial Inputs'!$B$28)</x:f>
        <x:v>6239.0222199</x:v>
      </x:c>
      <x:c r="E698" s="58" t="n">
        <x:f>E695/$B$714*'Commercial Inputs'!$B$46*('Commercial Inputs'!$B$24*$B$720+'Commercial Inputs'!$B$28)</x:f>
        <x:v>9010.876566288001</x:v>
      </x:c>
      <x:c r="F698" s="58" t="n">
        <x:f>F695/$B$714*'Commercial Inputs'!$B$46*('Commercial Inputs'!$B$24*$B$720+'Commercial Inputs'!$B$28)</x:f>
        <x:v>11705.727720742561</x:v>
      </x:c>
      <x:c r="G698" s="58" t="n">
        <x:f>G695/$B$714*'Commercial Inputs'!$B$46*('Commercial Inputs'!$B$24*$B$720+'Commercial Inputs'!$B$28)</x:f>
        <x:v>14330.307708231667</x:v>
      </x:c>
      <x:c r="H698" s="58" t="n">
        <x:f>H695/$B$714*'Commercial Inputs'!$B$46*('Commercial Inputs'!$B$24*$B$720+'Commercial Inputs'!$B$28)</x:f>
        <x:v>18478.30524671947</x:v>
      </x:c>
      <x:c r="I698" s="58" t="n">
        <x:f>I695/$B$714*'Commercial Inputs'!$B$46*('Commercial Inputs'!$B$24*$B$720+'Commercial Inputs'!$B$28)</x:f>
        <x:v>22427.82078832581</x:v>
      </x:c>
      <x:c r="J698" s="58" t="n">
        <x:f>J695/$B$714*'Commercial Inputs'!$B$46*('Commercial Inputs'!$B$24*$B$720+'Commercial Inputs'!$B$28)</x:f>
        <x:v>26188.312343424906</x:v>
      </x:c>
      <x:c r="K698" s="58" t="n">
        <x:f>K695/$B$714*'Commercial Inputs'!$B$46*('Commercial Inputs'!$B$24*$B$720+'Commercial Inputs'!$B$28)</x:f>
        <x:v>29770.372883635897</x:v>
      </x:c>
      <x:c r="L698" s="58" t="n">
        <x:f>L695/$B$714*'Commercial Inputs'!$B$46*('Commercial Inputs'!$B$24*$B$720+'Commercial Inputs'!$B$28)</x:f>
        <x:v>33185.8665371722</x:v>
      </x:c>
      <x:c r="M698" s="58" t="n">
        <x:f>M695/$B$714*'Commercial Inputs'!$B$46*('Commercial Inputs'!$B$24*$B$720+'Commercial Inputs'!$B$28)</x:f>
        <x:v>36448.081127632875</x:v>
      </x:c>
      <x:c r="N698" s="58" t="n">
        <x:f>N695/$B$714*'Commercial Inputs'!$B$46*('Commercial Inputs'!$B$24*$B$720+'Commercial Inputs'!$B$28)</x:f>
        <x:v>42680.40056322281</x:v>
      </x:c>
      <x:c r="O698" s="58" t="n">
        <x:f>O695/$B$714*'Commercial Inputs'!$B$46*('Commercial Inputs'!$B$24*$B$720+'Commercial Inputs'!$B$28)</x:f>
        <x:v>48550.84877548931</x:v>
      </x:c>
      <x:c r="P698" s="58" t="n">
        <x:f>P695/$B$714*'Commercial Inputs'!$B$46*('Commercial Inputs'!$B$24*$B$720+'Commercial Inputs'!$B$28)</x:f>
        <x:v>54073.09075765168</x:v>
      </x:c>
      <x:c r="Q698" s="58" t="n">
        <x:f>Q695/$B$714*'Commercial Inputs'!$B$46*('Commercial Inputs'!$B$24*$B$720+'Commercial Inputs'!$B$28)</x:f>
        <x:v>59542.19501087146</x:v>
      </x:c>
      <x:c r="R698" s="58" t="n">
        <x:f>R695/$B$714*'Commercial Inputs'!$B$46*('Commercial Inputs'!$B$24*$B$720+'Commercial Inputs'!$B$28)</x:f>
        <x:v>64743.300403766065</x:v>
      </x:c>
      <x:c r="S698" s="58" t="n">
        <x:f>S695/$B$714*'Commercial Inputs'!$B$46*('Commercial Inputs'!$B$24*$B$720+'Commercial Inputs'!$B$28)</x:f>
        <x:v>69696.25880184906</x:v>
      </x:c>
      <x:c r="T698" s="58" t="n">
        <x:f>T695/$B$714*'Commercial Inputs'!$B$46*('Commercial Inputs'!$B$24*$B$720+'Commercial Inputs'!$B$28)</x:f>
        <x:v>77802.28322949122</x:v>
      </x:c>
      <x:c r="U698" s="58" t="n">
        <x:f>U695/$B$714*'Commercial Inputs'!$B$46*('Commercial Inputs'!$B$24*$B$720+'Commercial Inputs'!$B$28)</x:f>
        <x:v>85558.16732508583</x:v>
      </x:c>
      <x:c r="V698" s="58" t="n">
        <x:f>V695/$B$714*'Commercial Inputs'!$B$46*('Commercial Inputs'!$B$24*$B$720+'Commercial Inputs'!$B$28)</x:f>
        <x:v>92992.62479486651</x:v>
      </x:c>
      <x:c r="W698" s="58" t="n">
        <x:f>W695/$B$714*'Commercial Inputs'!$B$46*('Commercial Inputs'!$B$24*$B$720+'Commercial Inputs'!$B$28)</x:f>
        <x:v>100138.10065425876</x:v>
      </x:c>
      <x:c r="X698" s="58" t="n">
        <x:f>X695/$B$714*'Commercial Inputs'!$B$46*('Commercial Inputs'!$B$24*$B$720+'Commercial Inputs'!$B$28)</x:f>
        <x:v>107031.24183813842</x:v>
      </x:c>
      <x:c r="Y698" s="58" t="n">
        <x:f>Y695/$B$714*'Commercial Inputs'!$B$46*('Commercial Inputs'!$B$24*$B$720+'Commercial Inputs'!$B$28)</x:f>
        <x:v>113713.42611257364</x:v>
      </x:c>
      <x:c r="Z698" s="58" t="n">
        <x:f>Z695/$B$714*'Commercial Inputs'!$B$46*('Commercial Inputs'!$B$24*$B$720+'Commercial Inputs'!$B$28)</x:f>
        <x:v>123018.12701487543</x:v>
      </x:c>
      <x:c r="AA698" s="58" t="n">
        <x:f>AA695/$B$714*'Commercial Inputs'!$B$46*('Commercial Inputs'!$B$24*$B$720+'Commercial Inputs'!$B$28)</x:f>
        <x:v>131915.49368174397</x:v>
      </x:c>
      <x:c r="AB698" s="58" t="n">
        <x:f>AB695/$B$714*'Commercial Inputs'!$B$46*('Commercial Inputs'!$B$24*$B$720+'Commercial Inputs'!$B$28)</x:f>
        <x:v>140426.7082884294</x:v>
      </x:c>
      <x:c r="AC698" s="58" t="n">
        <x:f>AC695/$B$714*'Commercial Inputs'!$B$46*('Commercial Inputs'!$B$24*$B$720+'Commercial Inputs'!$B$28)</x:f>
        <x:v>148708.36439385763</x:v>
      </x:c>
      <x:c r="AD698" s="58" t="n">
        <x:f>AD695/$B$714*'Commercial Inputs'!$B$46*('Commercial Inputs'!$B$24*$B$720+'Commercial Inputs'!$B$28)</x:f>
        <x:v>156662.69083873736</x:v>
      </x:c>
      <x:c r="AE698" s="58" t="n">
        <x:f>AE695/$B$714*'Commercial Inputs'!$B$46*('Commercial Inputs'!$B$24*$B$720+'Commercial Inputs'!$B$28)</x:f>
        <x:v>164318.81151873484</x:v>
      </x:c>
      <x:c r="AF698" s="58" t="n">
        <x:f>AF695/$B$714*'Commercial Inputs'!$B$46*('Commercial Inputs'!$B$24*$B$720+'Commercial Inputs'!$B$28)</x:f>
        <x:v>175577.19427301956</x:v>
      </x:c>
      <x:c r="AG698" s="58" t="n">
        <x:f>AG695/$B$714*'Commercial Inputs'!$B$46*('Commercial Inputs'!$B$24*$B$720+'Commercial Inputs'!$B$28)</x:f>
        <x:v>186574.70836026382</x:v>
      </x:c>
      <x:c r="AH698" s="58" t="n">
        <x:f>AH695/$B$714*'Commercial Inputs'!$B$46*('Commercial Inputs'!$B$24*$B$720+'Commercial Inputs'!$B$28)</x:f>
        <x:v>197351.12283207386</x:v>
      </x:c>
      <x:c r="AI698" s="58" t="n">
        <x:f>AI695/$B$714*'Commercial Inputs'!$B$46*('Commercial Inputs'!$B$24*$B$720+'Commercial Inputs'!$B$28)</x:f>
        <x:v>207950.5028885026</x:v>
      </x:c>
      <x:c r="AJ698" s="58" t="n">
        <x:f>AJ695/$B$714*'Commercial Inputs'!$B$46*('Commercial Inputs'!$B$24*$B$720+'Commercial Inputs'!$B$28)</x:f>
        <x:v>218421.64709056483</x:v>
      </x:c>
      <x:c r="AK698" s="58" t="n">
        <x:f>AK695/$B$714*'Commercial Inputs'!$B$46*('Commercial Inputs'!$B$24*$B$720+'Commercial Inputs'!$B$28)</x:f>
        <x:v>228818.5683581752</x:v>
      </x:c>
    </x:row>
    <x:row r="699" ht="18" customHeight="1">
      <x:c r="A699" s="4" t="str">
        <x:v>Forward liquidity buffer (INR)</x:v>
      </x:c>
      <x:c r="B699" s="58" t="n">
        <x:f>'Commercial Inputs'!$B$34*(SUM(B682:B684)+B677+B646)</x:f>
        <x:v>68079.15</x:v>
      </x:c>
      <x:c r="C699" s="58" t="n">
        <x:f>'Commercial Inputs'!$B$34*(SUM(C682:C684)+C677+C646)</x:f>
        <x:v>68520.10565943</x:v>
      </x:c>
      <x:c r="D699" s="58" t="n">
        <x:f>'Commercial Inputs'!$B$34*(SUM(D682:D684)+D677+D646)</x:f>
        <x:v>69043.96083567082</x:v>
      </x:c>
      <x:c r="E699" s="58" t="n">
        <x:f>'Commercial Inputs'!$B$34*(SUM(E682:E684)+E677+E646)</x:f>
        <x:v>92283.97504324361</x:v>
      </x:c>
      <x:c r="F699" s="58" t="n">
        <x:f>'Commercial Inputs'!$B$34*(SUM(F682:F684)+F677+F646)</x:f>
        <x:v>93047.46809288519</x:v>
      </x:c>
      <x:c r="G699" s="58" t="n">
        <x:f>'Commercial Inputs'!$B$34*(SUM(G682:G684)+G677+G646)</x:f>
        <x:v>93852.456165939</x:v>
      </x:c>
      <x:c r="H699" s="58" t="n">
        <x:f>'Commercial Inputs'!$B$34*(SUM(H682:H684)+H677+H646)</x:f>
        <x:v>143849.71137107117</x:v>
      </x:c>
      <x:c r="I699" s="58" t="n">
        <x:f>'Commercial Inputs'!$B$34*(SUM(I682:I684)+I677+I646)</x:f>
        <x:v>145117.045187102</x:v>
      </x:c>
      <x:c r="J699" s="58" t="n">
        <x:f>'Commercial Inputs'!$B$34*(SUM(J682:J684)+J677+J646)</x:f>
        <x:v>146438.44423757336</x:v>
      </x:c>
      <x:c r="K699" s="58" t="n">
        <x:f>'Commercial Inputs'!$B$34*(SUM(K682:K684)+K677+K646)</x:f>
        <x:v>147832.8803363299</x:v>
      </x:c>
      <x:c r="L699" s="58" t="n">
        <x:f>'Commercial Inputs'!$B$34*(SUM(L682:L684)+L677+L646)</x:f>
        <x:v>149311.77037183152</x:v>
      </x:c>
      <x:c r="M699" s="58" t="n">
        <x:f>'Commercial Inputs'!$B$34*(SUM(M682:M684)+M677+M646)</x:f>
        <x:v>180887.5129415471</x:v>
      </x:c>
      <x:c r="N699" s="58" t="n">
        <x:f>'Commercial Inputs'!$B$34*(SUM(N682:N684)+N677+N646)</x:f>
        <x:v>306614.7828744952</x:v>
      </x:c>
      <x:c r="O699" s="58" t="n">
        <x:f>'Commercial Inputs'!$B$34*(SUM(O682:O684)+O677+O646)</x:f>
        <x:v>308580.42949057935</x:v>
      </x:c>
      <x:c r="P699" s="58" t="n">
        <x:f>'Commercial Inputs'!$B$34*(SUM(P682:P684)+P677+P646)</x:f>
        <x:v>310580.0945601568</x:v>
      </x:c>
      <x:c r="Q699" s="58" t="n">
        <x:f>'Commercial Inputs'!$B$34*(SUM(Q682:Q684)+Q677+Q646)</x:f>
        <x:v>312538.1106554816</x:v>
      </x:c>
      <x:c r="R699" s="58" t="n">
        <x:f>'Commercial Inputs'!$B$34*(SUM(R682:R684)+R677+R646)</x:f>
        <x:v>314556.6687841228</x:v>
      </x:c>
      <x:c r="S699" s="58" t="n">
        <x:f>'Commercial Inputs'!$B$34*(SUM(S682:S684)+S677+S646)</x:f>
        <x:v>316642.2743224199</x:v>
      </x:c>
      <x:c r="T699" s="58" t="n">
        <x:f>'Commercial Inputs'!$B$34*(SUM(T682:T684)+T677+T646)</x:f>
        <x:v>413025.2123702379</x:v>
      </x:c>
      <x:c r="U699" s="58" t="n">
        <x:f>'Commercial Inputs'!$B$34*(SUM(U682:U684)+U677+U646)</x:f>
        <x:v>415666.95622675546</x:v>
      </x:c>
      <x:c r="V699" s="58" t="n">
        <x:f>'Commercial Inputs'!$B$34*(SUM(V682:V684)+V677+V646)</x:f>
        <x:v>418368.1501646342</x:v>
      </x:c>
      <x:c r="W699" s="58" t="n">
        <x:f>'Commercial Inputs'!$B$34*(SUM(W682:W684)+W677+W646)</x:f>
        <x:v>466151.77838441863</x:v>
      </x:c>
      <x:c r="X699" s="58" t="n">
        <x:f>'Commercial Inputs'!$B$34*(SUM(X682:X684)+X677+X646)</x:f>
        <x:v>469025.9954803051</x:v>
      </x:c>
      <x:c r="Y699" s="58" t="n">
        <x:f>'Commercial Inputs'!$B$34*(SUM(Y682:Y684)+Y677+Y646)</x:f>
        <x:v>471998.8125839977</x:v>
      </x:c>
      <x:c r="Z699" s="58" t="n">
        <x:f>'Commercial Inputs'!$B$34*(SUM(Z682:Z684)+Z677+Z646)</x:f>
        <x:v>613848.8462365422</x:v>
      </x:c>
      <x:c r="AA699" s="58" t="n">
        <x:f>'Commercial Inputs'!$B$34*(SUM(AA682:AA684)+AA677+AA646)</x:f>
        <x:v>616982.5860903319</x:v>
      </x:c>
      <x:c r="AB699" s="58" t="n">
        <x:f>'Commercial Inputs'!$B$34*(SUM(AB682:AB684)+AB677+AB646)</x:f>
        <x:v>620185.2031538672</x:v>
      </x:c>
      <x:c r="AC699" s="58" t="n">
        <x:f>'Commercial Inputs'!$B$34*(SUM(AC682:AC684)+AC677+AC646)</x:f>
        <x:v>623454.6997433277</x:v>
      </x:c>
      <x:c r="AD699" s="58" t="n">
        <x:f>'Commercial Inputs'!$B$34*(SUM(AD682:AD684)+AD677+AD646)</x:f>
        <x:v>626816.115481741</x:v>
      </x:c>
      <x:c r="AE699" s="58" t="n">
        <x:f>'Commercial Inputs'!$B$34*(SUM(AE682:AE684)+AE677+AE646)</x:f>
        <x:v>630275.9862552356</x:v>
      </x:c>
      <x:c r="AF699" s="58" t="n">
        <x:f>'Commercial Inputs'!$B$34*(SUM(AF682:AF684)+AF677+AF646)</x:f>
        <x:v>727807.9812729241</x:v>
      </x:c>
      <x:c r="AG699" s="58" t="n">
        <x:f>'Commercial Inputs'!$B$34*(SUM(AG682:AG684)+AG677+AG646)</x:f>
        <x:v>731636.3780228484</x:v>
      </x:c>
      <x:c r="AH699" s="58" t="n">
        <x:f>'Commercial Inputs'!$B$34*(SUM(AH682:AH684)+AH677+AH646)</x:f>
        <x:v>735557.4847699646</x:v>
      </x:c>
      <x:c r="AI699" s="58" t="n">
        <x:f>'Commercial Inputs'!$B$34*(SUM(AI682:AI684)+AI677+AI646)</x:f>
        <x:v>739592.3418946629</x:v>
      </x:c>
      <x:c r="AJ699" s="58" t="n">
        <x:f>'Commercial Inputs'!$B$34*(SUM(AJ682:AJ684)+AJ677+AJ646)</x:f>
        <x:v>743748.3834388795</x:v>
      </x:c>
      <x:c r="AK699" s="58" t="n">
        <x:f>'Commercial Inputs'!$B$34*(SUM(AK682:AK684)+AK677+AK646)</x:f>
        <x:v>748032.7858768012</x:v>
      </x:c>
    </x:row>
    <x:row r="700" ht="18" customHeight="1">
      <x:c r="A700" s="4" t="str">
        <x:v>Cash after service / liquidity reserves</x:v>
      </x:c>
      <x:c r="B700" s="58" t="n">
        <x:f>B694-B698-B699</x:f>
        <x:v>6631.177947161021</x:v>
      </x:c>
      <x:c r="C700" s="58" t="n">
        <x:f>C694-C698-C699</x:f>
        <x:v>22883.77928733561</x:v>
      </x:c>
      <x:c r="D700" s="58" t="n">
        <x:f>D694-D698-D699</x:f>
        <x:v>42893.290176990326</x:v>
      </x:c>
      <x:c r="E700" s="58" t="n">
        <x:f>E694-E698-E699</x:f>
        <x:v>42761.22737416142</x:v>
      </x:c>
      <x:c r="F700" s="58" t="n">
        <x:f>F694-F698-F699</x:f>
        <x:v>76728.64581019964</x:v>
      </x:c>
      <x:c r="G700" s="58" t="n">
        <x:f>G694-G698-G699</x:f>
        <x:v>115790.98773709084</x:v>
      </x:c>
      <x:c r="H700" s="58" t="n">
        <x:f>H694-H698-H699</x:f>
        <x:v>107969.27230940576</x:v>
      </x:c>
      <x:c r="I700" s="58" t="n">
        <x:f>I694-I698-I699</x:f>
        <x:v>170527.03052084637</x:v>
      </x:c>
      <x:c r="J700" s="58" t="n">
        <x:f>J694-J698-J699</x:f>
        <x:v>240312.00850146328</x:v>
      </x:c>
      <x:c r="K700" s="58" t="n">
        <x:f>K694-K698-K699</x:f>
        <x:v>317881.96578654007</x:v>
      </x:c>
      <x:c r="L700" s="58" t="n">
        <x:f>L694-L698-L699</x:f>
        <x:v>403973.7082988466</x:v>
      </x:c>
      <x:c r="M700" s="58" t="n">
        <x:f>M694-M698-M699</x:f>
        <x:v>459444.6465585402</x:v>
      </x:c>
      <x:c r="N700" s="58" t="n">
        <x:f>N694-N698-N699</x:f>
        <x:v>413780.80154433363</x:v>
      </x:c>
      <x:c r="O700" s="58" t="n">
        <x:f>O694-O698-O699</x:f>
        <x:v>530319.7125684356</x:v>
      </x:c>
      <x:c r="P700" s="58" t="n">
        <x:f>P694-P698-P699</x:f>
        <x:v>657023.310338258</x:v>
      </x:c>
      <x:c r="Q700" s="58" t="n">
        <x:f>Q694-Q698-Q699</x:f>
        <x:v>796135.7523832923</x:v>
      </x:c>
      <x:c r="R700" s="58" t="n">
        <x:f>R694-R698-R699</x:f>
        <x:v>948482.7602360711</x:v>
      </x:c>
      <x:c r="S700" s="58" t="n">
        <x:f>S694-S698-S699</x:f>
        <x:v>1112834.753742</x:v>
      </x:c>
      <x:c r="T700" s="58" t="n">
        <x:f>T694-T698-T699</x:f>
        <x:v>1190962.3610668168</x:v>
      </x:c>
      <x:c r="U700" s="58" t="n">
        <x:f>U694-U698-U699</x:f>
        <x:v>1408169.5319978406</x:v>
      </x:c>
      <x:c r="V700" s="58" t="n">
        <x:f>V694-V698-V699</x:f>
        <x:v>1641235.5918387717</x:v>
      </x:c>
      <x:c r="W700" s="58" t="n">
        <x:f>W694-W698-W699</x:f>
        <x:v>1831051.8519719918</x:v>
      </x:c>
      <x:c r="X700" s="58" t="n">
        <x:f>X694-X698-X699</x:f>
        <x:v>2083767.9584287168</x:v>
      </x:c>
      <x:c r="Y700" s="58" t="n">
        <x:f>Y694-Y698-Y699</x:f>
        <x:v>2355680.538803468</x:v>
      </x:c>
      <x:c r="Z700" s="58" t="n">
        <x:f>Z694-Z698-Z699</x:f>
        <x:v>2483679.559345341</x:v>
      </x:c>
      <x:c r="AA700" s="58" t="n">
        <x:f>AA694-AA698-AA699</x:f>
        <x:v>2794430.3725794517</x:v>
      </x:c>
      <x:c r="AB700" s="58" t="n">
        <x:f>AB694-AB698-AB699</x:f>
        <x:v>3123878.389925156</x:v>
      </x:c>
      <x:c r="AC700" s="58" t="n">
        <x:f>AC694-AC698-AC699</x:f>
        <x:v>3473777.7399886423</x:v>
      </x:c>
      <x:c r="AD700" s="58" t="n">
        <x:f>AD694-AD698-AD699</x:f>
        <x:v>3845276.3738254737</x:v>
      </x:c>
      <x:c r="AE700" s="58" t="n">
        <x:f>AE694-AE698-AE699</x:f>
        <x:v>4238449.037300409</x:v>
      </x:c>
      <x:c r="AF700" s="58" t="n">
        <x:f>AF694-AF698-AF699</x:f>
        <x:v>4558386.930682868</x:v>
      </x:c>
      <x:c r="AG700" s="58" t="n">
        <x:f>AG694-AG698-AG699</x:f>
        <x:v>5030921.863079197</x:v>
      </x:c>
      <x:c r="AH700" s="58" t="n">
        <x:f>AH694-AH698-AH699</x:f>
        <x:v>5530181.747009059</x:v>
      </x:c>
      <x:c r="AI700" s="58" t="n">
        <x:f>AI694-AI698-AI699</x:f>
        <x:v>6057503.773478872</x:v>
      </x:c>
      <x:c r="AJ700" s="58" t="n">
        <x:f>AJ694-AJ698-AJ699</x:f>
        <x:v>6614476.037835428</x:v>
      </x:c>
      <x:c r="AK700" s="58" t="n">
        <x:f>AK694-AK698-AK699</x:f>
        <x:v>7202835.298593756</x:v>
      </x:c>
    </x:row>
    <x:row r="701" ht="18" customHeight="1">
      <x:c r="A701" s="4" t="str">
        <x:v>Cumulative earned operating profit (INR)</x:v>
      </x:c>
      <x:c r="B701" s="58" t="n">
        <x:f>0+B686</x:f>
        <x:v>-46402.61729233051</x:v>
      </x:c>
      <x:c r="C701" s="58" t="n">
        <x:f>B701+C686</x:f>
        <x:v>-68486.11629719398</x:v>
      </x:c>
      <x:c r="D701" s="58" t="n">
        <x:f>C701+D686</x:f>
        <x:v>-86210.98933982561</x:v>
      </x:c>
      <x:c r="E701" s="58" t="n">
        <x:f>D701+E686</x:f>
        <x:v>-108188.46418974834</x:v>
      </x:c>
      <x:c r="F701" s="58" t="n">
        <x:f>E701+F686</x:f>
        <x:v>-123680.56067747751</x:v>
      </x:c>
      <x:c r="G701" s="58" t="n">
        <x:f>F701+G686</x:f>
        <x:v>-132440.90094687243</x:v>
      </x:c>
      <x:c r="H701" s="58" t="n">
        <x:f>G701+H686</x:f>
        <x:v>-153288.06461494206</x:v>
      </x:c>
      <x:c r="I701" s="58" t="n">
        <x:f>H701+I686</x:f>
        <x:v>-163157.0399657514</x:v>
      </x:c>
      <x:c r="J701" s="58" t="n">
        <x:f>I701+J686</x:f>
        <x:v>-161756.09198048722</x:v>
      </x:c>
      <x:c r="K701" s="58" t="n">
        <x:f>J701+K686</x:f>
        <x:v>-148597.98961992297</x:v>
      </x:c>
      <x:c r="L701" s="58" t="n">
        <x:f>K701+L686</x:f>
        <x:v>-123102.93565621764</x:v>
      </x:c>
      <x:c r="M701" s="58" t="n">
        <x:f>L701+M686</x:f>
        <x:v>-94592.45074539805</x:v>
      </x:c>
      <x:c r="N701" s="58" t="n">
        <x:f>M701+N686</x:f>
        <x:v>-103030.91165413425</x:v>
      </x:c>
      <x:c r="O701" s="58" t="n">
        <x:f>N701+O686</x:f>
        <x:v>-94295.162137833</x:v>
      </x:c>
      <x:c r="P701" s="58" t="n">
        <x:f>O701+P686</x:f>
        <x:v>-68318.42296519007</x:v>
      </x:c>
      <x:c r="Q701" s="58" t="n">
        <x:f>P701+Q686</x:f>
        <x:v>-26630.604698563853</x:v>
      </x:c>
      <x:c r="R701" s="58" t="n">
        <x:f>Q701+R686</x:f>
        <x:v>32048.553664379826</x:v>
      </x:c>
      <x:c r="S701" s="58" t="n">
        <x:f>R701+S686</x:f>
        <x:v>108122.71980298964</x:v>
      </x:c>
      <x:c r="T701" s="58" t="n">
        <x:f>S701+T686</x:f>
        <x:v>161725.51584798883</x:v>
      </x:c>
      <x:c r="U701" s="58" t="n">
        <x:f>T701+U686</x:f>
        <x:v>237798.34920012447</x:v>
      </x:c>
      <x:c r="V701" s="58" t="n">
        <x:f>U701+V686</x:f>
        <x:v>336540.17421463516</x:v>
      </x:c>
      <x:c r="W701" s="58" t="n">
        <x:f>V701+W686</x:f>
        <x:v>443404.8262110804</x:v>
      </x:c>
      <x:c r="X701" s="58" t="n">
        <x:f>W701+X686</x:f>
        <x:v>573907.6880138381</x:v>
      </x:c>
      <x:c r="Y701" s="58" t="n">
        <x:f>X701+Y686</x:f>
        <x:v>728621.0055250723</x:v>
      </x:c>
      <x:c r="Z701" s="58" t="n">
        <x:f>Y701+Z686</x:f>
        <x:v>851442.8533410351</x:v>
      </x:c>
      <x:c r="AA701" s="58" t="n">
        <x:f>Z701+AA686</x:f>
        <x:v>1000716.7148502968</x:v>
      </x:c>
      <x:c r="AB701" s="58" t="n">
        <x:f>AA701+AB686</x:f>
        <x:v>1176771.9595465804</x:v>
      </x:c>
      <x:c r="AC701" s="58" t="n">
        <x:f>AB701+AC686</x:f>
        <x:v>1379450.2897089683</x:v>
      </x:c>
      <x:c r="AD701" s="58" t="n">
        <x:f>AC701+AD686</x:f>
        <x:v>1609811.3941442424</x:v>
      </x:c>
      <x:c r="AE701" s="58" t="n">
        <x:f>AD701+AE686</x:f>
        <x:v>1868470.245541294</x:v>
      </x:c>
      <x:c r="AF701" s="58" t="n">
        <x:f>AE701+AF686</x:f>
        <x:v>2111828.909491755</x:v>
      </x:c>
      <x:c r="AG701" s="58" t="n">
        <x:f>AF701+AG686</x:f>
        <x:v>2386597.9934117375</x:v>
      </x:c>
      <x:c r="AH701" s="58" t="n">
        <x:f>AG701+AH686</x:f>
        <x:v>2693208.9950771607</x:v>
      </x:c>
      <x:c r="AI701" s="58" t="n">
        <x:f>AH701+AI686</x:f>
        <x:v>3032323.6814141446</x:v>
      </x:c>
      <x:c r="AJ701" s="58" t="n">
        <x:f>AI701+AJ686</x:f>
        <x:v>3404657.2043127716</x:v>
      </x:c>
      <x:c r="AK701" s="58" t="n">
        <x:f>AJ701+AK686</x:f>
        <x:v>3810972.7405253877</x:v>
      </x:c>
    </x:row>
    <x:row r="702" ht="18" customHeight="1">
      <x:c r="A702" s="4" t="str">
        <x:v>Pre-tax retained-profit / liquidity cap</x:v>
      </x:c>
      <x:c r="B702" s="58" t="n">
        <x:f>MAX(0,MIN(B701,B700))</x:f>
        <x:v>0</x:v>
      </x:c>
      <x:c r="C702" s="58" t="n">
        <x:f>MAX(0,MIN(C701,C700))</x:f>
        <x:v>0</x:v>
      </x:c>
      <x:c r="D702" s="58" t="n">
        <x:f>MAX(0,MIN(D701,D700))</x:f>
        <x:v>0</x:v>
      </x:c>
      <x:c r="E702" s="58" t="n">
        <x:f>MAX(0,MIN(E701,E700))</x:f>
        <x:v>0</x:v>
      </x:c>
      <x:c r="F702" s="58" t="n">
        <x:f>MAX(0,MIN(F701,F700))</x:f>
        <x:v>0</x:v>
      </x:c>
      <x:c r="G702" s="58" t="n">
        <x:f>MAX(0,MIN(G701,G700))</x:f>
        <x:v>0</x:v>
      </x:c>
      <x:c r="H702" s="58" t="n">
        <x:f>MAX(0,MIN(H701,H700))</x:f>
        <x:v>0</x:v>
      </x:c>
      <x:c r="I702" s="58" t="n">
        <x:f>MAX(0,MIN(I701,I700))</x:f>
        <x:v>0</x:v>
      </x:c>
      <x:c r="J702" s="58" t="n">
        <x:f>MAX(0,MIN(J701,J700))</x:f>
        <x:v>0</x:v>
      </x:c>
      <x:c r="K702" s="58" t="n">
        <x:f>MAX(0,MIN(K701,K700))</x:f>
        <x:v>0</x:v>
      </x:c>
      <x:c r="L702" s="58" t="n">
        <x:f>MAX(0,MIN(L701,L700))</x:f>
        <x:v>0</x:v>
      </x:c>
      <x:c r="M702" s="58" t="n">
        <x:f>MAX(0,MIN(M701,M700))</x:f>
        <x:v>0</x:v>
      </x:c>
      <x:c r="N702" s="58" t="n">
        <x:f>MAX(0,MIN(N701,N700))</x:f>
        <x:v>0</x:v>
      </x:c>
      <x:c r="O702" s="58" t="n">
        <x:f>MAX(0,MIN(O701,O700))</x:f>
        <x:v>0</x:v>
      </x:c>
      <x:c r="P702" s="58" t="n">
        <x:f>MAX(0,MIN(P701,P700))</x:f>
        <x:v>0</x:v>
      </x:c>
      <x:c r="Q702" s="58" t="n">
        <x:f>MAX(0,MIN(Q701,Q700))</x:f>
        <x:v>0</x:v>
      </x:c>
      <x:c r="R702" s="58" t="n">
        <x:f>MAX(0,MIN(R701,R700))</x:f>
        <x:v>32048.553664379826</x:v>
      </x:c>
      <x:c r="S702" s="58" t="n">
        <x:f>MAX(0,MIN(S701,S700))</x:f>
        <x:v>108122.71980298964</x:v>
      </x:c>
      <x:c r="T702" s="58" t="n">
        <x:f>MAX(0,MIN(T701,T700))</x:f>
        <x:v>161725.51584798883</x:v>
      </x:c>
      <x:c r="U702" s="58" t="n">
        <x:f>MAX(0,MIN(U701,U700))</x:f>
        <x:v>237798.34920012447</x:v>
      </x:c>
      <x:c r="V702" s="58" t="n">
        <x:f>MAX(0,MIN(V701,V700))</x:f>
        <x:v>336540.17421463516</x:v>
      </x:c>
      <x:c r="W702" s="58" t="n">
        <x:f>MAX(0,MIN(W701,W700))</x:f>
        <x:v>443404.8262110804</x:v>
      </x:c>
      <x:c r="X702" s="58" t="n">
        <x:f>MAX(0,MIN(X701,X700))</x:f>
        <x:v>573907.6880138381</x:v>
      </x:c>
      <x:c r="Y702" s="58" t="n">
        <x:f>MAX(0,MIN(Y701,Y700))</x:f>
        <x:v>728621.0055250723</x:v>
      </x:c>
      <x:c r="Z702" s="58" t="n">
        <x:f>MAX(0,MIN(Z701,Z700))</x:f>
        <x:v>851442.8533410351</x:v>
      </x:c>
      <x:c r="AA702" s="58" t="n">
        <x:f>MAX(0,MIN(AA701,AA700))</x:f>
        <x:v>1000716.7148502968</x:v>
      </x:c>
      <x:c r="AB702" s="58" t="n">
        <x:f>MAX(0,MIN(AB701,AB700))</x:f>
        <x:v>1176771.9595465804</x:v>
      </x:c>
      <x:c r="AC702" s="58" t="n">
        <x:f>MAX(0,MIN(AC701,AC700))</x:f>
        <x:v>1379450.2897089683</x:v>
      </x:c>
      <x:c r="AD702" s="58" t="n">
        <x:f>MAX(0,MIN(AD701,AD700))</x:f>
        <x:v>1609811.3941442424</x:v>
      </x:c>
      <x:c r="AE702" s="58" t="n">
        <x:f>MAX(0,MIN(AE701,AE700))</x:f>
        <x:v>1868470.245541294</x:v>
      </x:c>
      <x:c r="AF702" s="58" t="n">
        <x:f>MAX(0,MIN(AF701,AF700))</x:f>
        <x:v>2111828.909491755</x:v>
      </x:c>
      <x:c r="AG702" s="58" t="n">
        <x:f>MAX(0,MIN(AG701,AG700))</x:f>
        <x:v>2386597.9934117375</x:v>
      </x:c>
      <x:c r="AH702" s="58" t="n">
        <x:f>MAX(0,MIN(AH701,AH700))</x:f>
        <x:v>2693208.9950771607</x:v>
      </x:c>
      <x:c r="AI702" s="58" t="n">
        <x:f>MAX(0,MIN(AI701,AI700))</x:f>
        <x:v>3032323.6814141446</x:v>
      </x:c>
      <x:c r="AJ702" s="58" t="n">
        <x:f>MAX(0,MIN(AJ701,AJ700))</x:f>
        <x:v>3404657.2043127716</x:v>
      </x:c>
      <x:c r="AK702" s="58" t="n">
        <x:f>MAX(0,MIN(AK701,AK700))</x:f>
        <x:v>3810972.7405253877</x:v>
      </x:c>
    </x:row>
    <x:row r="703" ht="18" customHeight="1">
      <x:c r="A703" s="74" t="str">
        <x:v>Revenue run rate: current month x 12</x:v>
      </x:c>
      <x:c r="B703" s="75" t="n">
        <x:f>B668*'Commercial Inputs'!$B$46</x:f>
        <x:v>74770.08377542373</x:v>
      </x:c>
      <x:c r="C703" s="75" t="n">
        <x:f>C668*'Commercial Inputs'!$B$46</x:f>
        <x:v>143980.95647536276</x:v>
      </x:c>
      <x:c r="D703" s="75" t="n">
        <x:f>D668*'Commercial Inputs'!$B$46</x:f>
        <x:v>214523.16242925037</x:v>
      </x:c>
      <x:c r="E703" s="75" t="n">
        <x:f>E668*'Commercial Inputs'!$B$46</x:f>
        <x:v>315381.42270190653</x:v>
      </x:c>
      <x:c r="F703" s="75" t="n">
        <x:f>F668*'Commercial Inputs'!$B$46</x:f>
        <x:v>417415.22961776314</x:v>
      </x:c>
      <x:c r="G703" s="75" t="n">
        <x:f>G668*'Commercial Inputs'!$B$46</x:f>
        <x:v>523976.7614918165</x:v>
      </x:c>
      <x:c r="H703" s="75" t="n">
        <x:f>H668*'Commercial Inputs'!$B$46</x:f>
        <x:v>693287.7971179027</x:v>
      </x:c>
      <x:c r="I703" s="75" t="n">
        <x:f>I668*'Commercial Inputs'!$B$46</x:f>
        <x:v>861523.362426244</x:v>
      </x:c>
      <x:c r="J703" s="75" t="n">
        <x:f>J668*'Commercial Inputs'!$B$46</x:f>
        <x:v>1035225.8782600112</x:v>
      </x:c>
      <x:c r="K703" s="75" t="n">
        <x:f>K668*'Commercial Inputs'!$B$46</x:f>
        <x:v>1217688.9352994768</x:v>
      </x:c>
      <x:c r="L703" s="75" t="n">
        <x:f>L668*'Commercial Inputs'!$B$46</x:f>
        <x:v>1410524.1938523445</x:v>
      </x:c>
      <x:c r="M703" s="75" t="n">
        <x:f>M668*'Commercial Inputs'!$B$46</x:f>
        <x:v>1615454.6715820972</x:v>
      </x:c>
      <x:c r="N703" s="75" t="n">
        <x:f>N668*'Commercial Inputs'!$B$46</x:f>
        <x:v>1882557.964536251</x:v>
      </x:c>
      <x:c r="O703" s="75" t="n">
        <x:f>O668*'Commercial Inputs'!$B$46</x:f>
        <x:v>2142368.215854519</x:v>
      </x:c>
      <x:c r="P703" s="75" t="n">
        <x:f>P668*'Commercial Inputs'!$B$46</x:f>
        <x:v>2404217.8173433347</x:v>
      </x:c>
      <x:c r="Q703" s="75" t="n">
        <x:f>Q668*'Commercial Inputs'!$B$46</x:f>
        <x:v>2660283.1174610006</x:v>
      </x:c>
      <x:c r="R703" s="75" t="n">
        <x:f>R668*'Commercial Inputs'!$B$46</x:f>
        <x:v>2923323.1888257456</x:v>
      </x:c>
      <x:c r="S703" s="75" t="n">
        <x:f>S668*'Commercial Inputs'!$B$46</x:f>
        <x:v>3194354.4966097176</x:v>
      </x:c>
      <x:c r="T703" s="75" t="n">
        <x:f>T668*'Commercial Inputs'!$B$46</x:f>
        <x:v>3547514.6273584794</x:v>
      </x:c>
      <x:c r="U703" s="75" t="n">
        <x:f>U668*'Commercial Inputs'!$B$46</x:f>
        <x:v>3895598.0871718535</x:v>
      </x:c>
      <x:c r="V703" s="75" t="n">
        <x:f>V668*'Commercial Inputs'!$B$46</x:f>
        <x:v>4248900.592099204</x:v>
      </x:c>
      <x:c r="W703" s="75" t="n">
        <x:f>W668*'Commercial Inputs'!$B$46</x:f>
        <x:v>4611859.734596961</x:v>
      </x:c>
      <x:c r="X703" s="75" t="n">
        <x:f>X668*'Commercial Inputs'!$B$46</x:f>
        <x:v>4985766.775507296</x:v>
      </x:c>
      <x:c r="Y703" s="75" t="n">
        <x:f>Y668*'Commercial Inputs'!$B$46</x:f>
        <x:v>5371870.8380125</x:v>
      </x:c>
      <x:c r="Z703" s="75" t="n">
        <x:f>Z668*'Commercial Inputs'!$B$46</x:f>
        <x:v>5782234.625793893</x:v>
      </x:c>
      <x:c r="AA703" s="75" t="n">
        <x:f>AA668*'Commercial Inputs'!$B$46</x:f>
        <x:v>6192361.980627025</x:v>
      </x:c>
      <x:c r="AB703" s="75" t="n">
        <x:f>AB668*'Commercial Inputs'!$B$46</x:f>
        <x:v>6609359.822959056</x:v>
      </x:c>
      <x:c r="AC703" s="75" t="n">
        <x:f>AC668*'Commercial Inputs'!$B$46</x:f>
        <x:v>7034098.537113188</x:v>
      </x:c>
      <x:c r="AD703" s="75" t="n">
        <x:f>AD668*'Commercial Inputs'!$B$46</x:f>
        <x:v>7469901.196748301</x:v>
      </x:c>
      <x:c r="AE703" s="75" t="n">
        <x:f>AE668*'Commercial Inputs'!$B$46</x:f>
        <x:v>7917798.650821508</x:v>
      </x:c>
      <x:c r="AF703" s="75" t="n">
        <x:f>AF668*'Commercial Inputs'!$B$46</x:f>
        <x:v>8419135.731746033</x:v>
      </x:c>
      <x:c r="AG703" s="75" t="n">
        <x:f>AG668*'Commercial Inputs'!$B$46</x:f>
        <x:v>8920847.768205041</x:v>
      </x:c>
      <x:c r="AH703" s="75" t="n">
        <x:f>AH668*'Commercial Inputs'!$B$46</x:f>
        <x:v>9432347.97500236</x:v>
      </x:c>
      <x:c r="AI703" s="75" t="n">
        <x:f>AI668*'Commercial Inputs'!$B$46</x:f>
        <x:v>9957706.198908813</x:v>
      </x:c>
      <x:c r="AJ703" s="75" t="n">
        <x:f>AJ668*'Commercial Inputs'!$B$46</x:f>
        <x:v>10498114.016153805</x:v>
      </x:c>
      <x:c r="AK703" s="75" t="n">
        <x:f>AK668*'Commercial Inputs'!$B$46</x:f>
        <x:v>11054706.529333733</x:v>
      </x:c>
    </x:row>
    <x:row r="704" ht="18" customHeight="1">
      <x:c r="A704" s="4" t="str"/>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c r="AA704" s="58"/>
      <x:c r="AB704" s="58"/>
      <x:c r="AC704" s="58"/>
      <x:c r="AD704" s="58"/>
      <x:c r="AE704" s="58"/>
      <x:c r="AF704" s="58"/>
      <x:c r="AG704" s="58"/>
      <x:c r="AH704" s="58"/>
      <x:c r="AI704" s="58"/>
      <x:c r="AJ704" s="58"/>
      <x:c r="AK704" s="58"/>
    </x:row>
    <x:row r="705" ht="18" customHeight="1">
      <x:c r="A705" s="4" t="str">
        <x:v>Annual entitlement balance check</x:v>
      </x:c>
      <x:c r="B705" s="58" t="n">
        <x:f>ROUND(B654-(0+SUM(B650:B652)-B653),6)</x:f>
        <x:v>0</x:v>
      </x:c>
      <x:c r="C705" s="58" t="n">
        <x:f>ROUND(C654-(B654+SUM(C650:C652)-C653),6)</x:f>
        <x:v>0</x:v>
      </x:c>
      <x:c r="D705" s="58" t="n">
        <x:f>ROUND(D654-(C654+SUM(D650:D652)-D653),6)</x:f>
        <x:v>0</x:v>
      </x:c>
      <x:c r="E705" s="58" t="n">
        <x:f>ROUND(E654-(D654+SUM(E650:E652)-E653),6)</x:f>
        <x:v>0</x:v>
      </x:c>
      <x:c r="F705" s="58" t="n">
        <x:f>ROUND(F654-(E654+SUM(F650:F652)-F653),6)</x:f>
        <x:v>0</x:v>
      </x:c>
      <x:c r="G705" s="58" t="n">
        <x:f>ROUND(G654-(F654+SUM(G650:G652)-G653),6)</x:f>
        <x:v>0</x:v>
      </x:c>
      <x:c r="H705" s="58" t="n">
        <x:f>ROUND(H654-(G654+SUM(H650:H652)-H653),6)</x:f>
        <x:v>0</x:v>
      </x:c>
      <x:c r="I705" s="58" t="n">
        <x:f>ROUND(I654-(H654+SUM(I650:I652)-I653),6)</x:f>
        <x:v>0</x:v>
      </x:c>
      <x:c r="J705" s="58" t="n">
        <x:f>ROUND(J654-(I654+SUM(J650:J652)-J653),6)</x:f>
        <x:v>0</x:v>
      </x:c>
      <x:c r="K705" s="58" t="n">
        <x:f>ROUND(K654-(J654+SUM(K650:K652)-K653),6)</x:f>
        <x:v>0</x:v>
      </x:c>
      <x:c r="L705" s="58" t="n">
        <x:f>ROUND(L654-(K654+SUM(L650:L652)-L653),6)</x:f>
        <x:v>0</x:v>
      </x:c>
      <x:c r="M705" s="58" t="n">
        <x:f>ROUND(M654-(L654+SUM(M650:M652)-M653),6)</x:f>
        <x:v>0</x:v>
      </x:c>
      <x:c r="N705" s="58" t="n">
        <x:f>ROUND(N654-(M654+SUM(N650:N652)-N653),6)</x:f>
        <x:v>0</x:v>
      </x:c>
      <x:c r="O705" s="58" t="n">
        <x:f>ROUND(O654-(N654+SUM(O650:O652)-O653),6)</x:f>
        <x:v>0</x:v>
      </x:c>
      <x:c r="P705" s="58" t="n">
        <x:f>ROUND(P654-(O654+SUM(P650:P652)-P653),6)</x:f>
        <x:v>0</x:v>
      </x:c>
      <x:c r="Q705" s="58" t="n">
        <x:f>ROUND(Q654-(P654+SUM(Q650:Q652)-Q653),6)</x:f>
        <x:v>0</x:v>
      </x:c>
      <x:c r="R705" s="58" t="n">
        <x:f>ROUND(R654-(Q654+SUM(R650:R652)-R653),6)</x:f>
        <x:v>0</x:v>
      </x:c>
      <x:c r="S705" s="58" t="n">
        <x:f>ROUND(S654-(R654+SUM(S650:S652)-S653),6)</x:f>
        <x:v>0</x:v>
      </x:c>
      <x:c r="T705" s="58" t="n">
        <x:f>ROUND(T654-(S654+SUM(T650:T652)-T653),6)</x:f>
        <x:v>0</x:v>
      </x:c>
      <x:c r="U705" s="58" t="n">
        <x:f>ROUND(U654-(T654+SUM(U650:U652)-U653),6)</x:f>
        <x:v>0</x:v>
      </x:c>
      <x:c r="V705" s="58" t="n">
        <x:f>ROUND(V654-(U654+SUM(V650:V652)-V653),6)</x:f>
        <x:v>0</x:v>
      </x:c>
      <x:c r="W705" s="58" t="n">
        <x:f>ROUND(W654-(V654+SUM(W650:W652)-W653),6)</x:f>
        <x:v>0</x:v>
      </x:c>
      <x:c r="X705" s="58" t="n">
        <x:f>ROUND(X654-(W654+SUM(X650:X652)-X653),6)</x:f>
        <x:v>0</x:v>
      </x:c>
      <x:c r="Y705" s="58" t="n">
        <x:f>ROUND(Y654-(X654+SUM(Y650:Y652)-Y653),6)</x:f>
        <x:v>0</x:v>
      </x:c>
      <x:c r="Z705" s="58" t="n">
        <x:f>ROUND(Z654-(Y654+SUM(Z650:Z652)-Z653),6)</x:f>
        <x:v>0</x:v>
      </x:c>
      <x:c r="AA705" s="58" t="n">
        <x:f>ROUND(AA654-(Z654+SUM(AA650:AA652)-AA653),6)</x:f>
        <x:v>0</x:v>
      </x:c>
      <x:c r="AB705" s="58" t="n">
        <x:f>ROUND(AB654-(AA654+SUM(AB650:AB652)-AB653),6)</x:f>
        <x:v>0</x:v>
      </x:c>
      <x:c r="AC705" s="58" t="n">
        <x:f>ROUND(AC654-(AB654+SUM(AC650:AC652)-AC653),6)</x:f>
        <x:v>0</x:v>
      </x:c>
      <x:c r="AD705" s="58" t="n">
        <x:f>ROUND(AD654-(AC654+SUM(AD650:AD652)-AD653),6)</x:f>
        <x:v>0</x:v>
      </x:c>
      <x:c r="AE705" s="58" t="n">
        <x:f>ROUND(AE654-(AD654+SUM(AE650:AE652)-AE653),6)</x:f>
        <x:v>0</x:v>
      </x:c>
      <x:c r="AF705" s="58" t="n">
        <x:f>ROUND(AF654-(AE654+SUM(AF650:AF652)-AF653),6)</x:f>
        <x:v>0</x:v>
      </x:c>
      <x:c r="AG705" s="58" t="n">
        <x:f>ROUND(AG654-(AF654+SUM(AG650:AG652)-AG653),6)</x:f>
        <x:v>0</x:v>
      </x:c>
      <x:c r="AH705" s="58" t="n">
        <x:f>ROUND(AH654-(AG654+SUM(AH650:AH652)-AH653),6)</x:f>
        <x:v>0</x:v>
      </x:c>
      <x:c r="AI705" s="58" t="n">
        <x:f>ROUND(AI654-(AH654+SUM(AI650:AI652)-AI653),6)</x:f>
        <x:v>0</x:v>
      </x:c>
      <x:c r="AJ705" s="58" t="n">
        <x:f>ROUND(AJ654-(AI654+SUM(AJ650:AJ652)-AJ653),6)</x:f>
        <x:v>0</x:v>
      </x:c>
      <x:c r="AK705" s="58" t="n">
        <x:f>ROUND(AK654-(AJ654+SUM(AK650:AK652)-AK653),6)</x:f>
        <x:v>0</x:v>
      </x:c>
    </x:row>
    <x:row r="706" ht="18" customHeight="1">
      <x:c r="A706" s="4" t="str">
        <x:v>Monthly charge / refund check</x:v>
      </x:c>
      <x:c r="B706" s="58" t="n">
        <x:f>ROUND(B661-B662*(1-'Scenario Inputs'!$C$29),6)</x:f>
        <x:v>0</x:v>
      </x:c>
      <x:c r="C706" s="58" t="n">
        <x:f>ROUND(C661-C662*(1-'Scenario Inputs'!$C$29),6)</x:f>
        <x:v>0</x:v>
      </x:c>
      <x:c r="D706" s="58" t="n">
        <x:f>ROUND(D661-D662*(1-'Scenario Inputs'!$C$29),6)</x:f>
        <x:v>0</x:v>
      </x:c>
      <x:c r="E706" s="58" t="n">
        <x:f>ROUND(E661-E662*(1-'Scenario Inputs'!$C$29),6)</x:f>
        <x:v>0</x:v>
      </x:c>
      <x:c r="F706" s="58" t="n">
        <x:f>ROUND(F661-F662*(1-'Scenario Inputs'!$C$29),6)</x:f>
        <x:v>0</x:v>
      </x:c>
      <x:c r="G706" s="58" t="n">
        <x:f>ROUND(G661-G662*(1-'Scenario Inputs'!$C$29),6)</x:f>
        <x:v>0</x:v>
      </x:c>
      <x:c r="H706" s="58" t="n">
        <x:f>ROUND(H661-H662*(1-'Scenario Inputs'!$C$29),6)</x:f>
        <x:v>0</x:v>
      </x:c>
      <x:c r="I706" s="58" t="n">
        <x:f>ROUND(I661-I662*(1-'Scenario Inputs'!$C$29),6)</x:f>
        <x:v>0</x:v>
      </x:c>
      <x:c r="J706" s="58" t="n">
        <x:f>ROUND(J661-J662*(1-'Scenario Inputs'!$C$29),6)</x:f>
        <x:v>0</x:v>
      </x:c>
      <x:c r="K706" s="58" t="n">
        <x:f>ROUND(K661-K662*(1-'Scenario Inputs'!$C$29),6)</x:f>
        <x:v>0</x:v>
      </x:c>
      <x:c r="L706" s="58" t="n">
        <x:f>ROUND(L661-L662*(1-'Scenario Inputs'!$C$29),6)</x:f>
        <x:v>0</x:v>
      </x:c>
      <x:c r="M706" s="58" t="n">
        <x:f>ROUND(M661-M662*(1-'Scenario Inputs'!$C$29),6)</x:f>
        <x:v>0</x:v>
      </x:c>
      <x:c r="N706" s="58" t="n">
        <x:f>ROUND(N661-N662*(1-'Scenario Inputs'!$C$29),6)</x:f>
        <x:v>0</x:v>
      </x:c>
      <x:c r="O706" s="58" t="n">
        <x:f>ROUND(O661-O662*(1-'Scenario Inputs'!$C$29),6)</x:f>
        <x:v>0</x:v>
      </x:c>
      <x:c r="P706" s="58" t="n">
        <x:f>ROUND(P661-P662*(1-'Scenario Inputs'!$C$29),6)</x:f>
        <x:v>0</x:v>
      </x:c>
      <x:c r="Q706" s="58" t="n">
        <x:f>ROUND(Q661-Q662*(1-'Scenario Inputs'!$C$29),6)</x:f>
        <x:v>0</x:v>
      </x:c>
      <x:c r="R706" s="58" t="n">
        <x:f>ROUND(R661-R662*(1-'Scenario Inputs'!$C$29),6)</x:f>
        <x:v>0</x:v>
      </x:c>
      <x:c r="S706" s="58" t="n">
        <x:f>ROUND(S661-S662*(1-'Scenario Inputs'!$C$29),6)</x:f>
        <x:v>0</x:v>
      </x:c>
      <x:c r="T706" s="58" t="n">
        <x:f>ROUND(T661-T662*(1-'Scenario Inputs'!$C$29),6)</x:f>
        <x:v>0</x:v>
      </x:c>
      <x:c r="U706" s="58" t="n">
        <x:f>ROUND(U661-U662*(1-'Scenario Inputs'!$C$29),6)</x:f>
        <x:v>0</x:v>
      </x:c>
      <x:c r="V706" s="58" t="n">
        <x:f>ROUND(V661-V662*(1-'Scenario Inputs'!$C$29),6)</x:f>
        <x:v>0</x:v>
      </x:c>
      <x:c r="W706" s="58" t="n">
        <x:f>ROUND(W661-W662*(1-'Scenario Inputs'!$C$29),6)</x:f>
        <x:v>0</x:v>
      </x:c>
      <x:c r="X706" s="58" t="n">
        <x:f>ROUND(X661-X662*(1-'Scenario Inputs'!$C$29),6)</x:f>
        <x:v>0</x:v>
      </x:c>
      <x:c r="Y706" s="58" t="n">
        <x:f>ROUND(Y661-Y662*(1-'Scenario Inputs'!$C$29),6)</x:f>
        <x:v>0</x:v>
      </x:c>
      <x:c r="Z706" s="58" t="n">
        <x:f>ROUND(Z661-Z662*(1-'Scenario Inputs'!$C$29),6)</x:f>
        <x:v>0</x:v>
      </x:c>
      <x:c r="AA706" s="58" t="n">
        <x:f>ROUND(AA661-AA662*(1-'Scenario Inputs'!$C$29),6)</x:f>
        <x:v>0</x:v>
      </x:c>
      <x:c r="AB706" s="58" t="n">
        <x:f>ROUND(AB661-AB662*(1-'Scenario Inputs'!$C$29),6)</x:f>
        <x:v>0</x:v>
      </x:c>
      <x:c r="AC706" s="58" t="n">
        <x:f>ROUND(AC661-AC662*(1-'Scenario Inputs'!$C$29),6)</x:f>
        <x:v>0</x:v>
      </x:c>
      <x:c r="AD706" s="58" t="n">
        <x:f>ROUND(AD661-AD662*(1-'Scenario Inputs'!$C$29),6)</x:f>
        <x:v>0</x:v>
      </x:c>
      <x:c r="AE706" s="58" t="n">
        <x:f>ROUND(AE661-AE662*(1-'Scenario Inputs'!$C$29),6)</x:f>
        <x:v>0</x:v>
      </x:c>
      <x:c r="AF706" s="58" t="n">
        <x:f>ROUND(AF661-AF662*(1-'Scenario Inputs'!$C$29),6)</x:f>
        <x:v>0</x:v>
      </x:c>
      <x:c r="AG706" s="58" t="n">
        <x:f>ROUND(AG661-AG662*(1-'Scenario Inputs'!$C$29),6)</x:f>
        <x:v>0</x:v>
      </x:c>
      <x:c r="AH706" s="58" t="n">
        <x:f>ROUND(AH661-AH662*(1-'Scenario Inputs'!$C$29),6)</x:f>
        <x:v>0</x:v>
      </x:c>
      <x:c r="AI706" s="58" t="n">
        <x:f>ROUND(AI661-AI662*(1-'Scenario Inputs'!$C$29),6)</x:f>
        <x:v>0</x:v>
      </x:c>
      <x:c r="AJ706" s="58" t="n">
        <x:f>ROUND(AJ661-AJ662*(1-'Scenario Inputs'!$C$29),6)</x:f>
        <x:v>0</x:v>
      </x:c>
      <x:c r="AK706" s="58" t="n">
        <x:f>ROUND(AK661-AK662*(1-'Scenario Inputs'!$C$29),6)</x:f>
        <x:v>0</x:v>
      </x:c>
    </x:row>
    <x:row r="707" ht="18" customHeight="1">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row>
    <x:row r="708" ht="18" customHeight="1">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row>
    <x:row r="709" ht="18" customHeight="1">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row>
    <x:row r="710" ht="18" customHeight="1">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row>
    <x:row r="711" ht="18" customHeight="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row>
    <x:row r="712" ht="18" customHeight="1">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row>
    <x:row r="713" ht="18" customHeight="1">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row>
    <x:row r="714" ht="18" customHeight="1">
      <x:c r="A714" s="4" t="str">
        <x:v>Blended annual price, ex-tax (INR)</x:v>
      </x:c>
      <x:c r="B714" s="56" t="n">
        <x:f>'Scenario Inputs'!$C$28*'Commercial Inputs'!$B$6/(1+'Commercial Inputs'!$B$10)+(1-'Scenario Inputs'!$C$28)*('Commercial Inputs'!$B$8*'Commercial Inputs'!$B$5)/(1+'Commercial Inputs'!$B$11)</x:f>
        <x:v>2837.087118644068</x:v>
      </x:c>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row>
    <x:row r="715" ht="18" customHeight="1">
      <x:c r="A715" s="4" t="str">
        <x:v>Blended monthly price, ex-tax (INR)</x:v>
      </x:c>
      <x:c r="B715" s="56" t="n">
        <x:f>'Scenario Inputs'!$C$28*'Commercial Inputs'!$B$7/(1+'Commercial Inputs'!$B$10)+(1-'Scenario Inputs'!$C$28)*('Commercial Inputs'!$B$9*'Commercial Inputs'!$B$5)/(1+'Commercial Inputs'!$B$11)</x:f>
        <x:v>407.86677966101695</x:v>
      </x:c>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row>
    <x:row r="716" ht="18" customHeight="1">
      <x:c r="A716" s="4" t="str">
        <x:v>Fee per annual charge (INR)</x:v>
      </x:c>
      <x:c r="B716" s="56" t="n">
        <x:f>'Scenario Inputs'!$C$28*('Commercial Inputs'!$B$12*'Commercial Inputs'!$B$6*'Commercial Inputs'!$B$14+(1-'Commercial Inputs'!$B$12)*'Commercial Inputs'!$B$6/(1+'Commercial Inputs'!$B$10)*'Stress Inputs'!$C$11)+(1-'Scenario Inputs'!$C$28)*('Commercial Inputs'!$B$12*(('Commercial Inputs'!$B$8*'Commercial Inputs'!$B$5)*'Commercial Inputs'!$B$15+'Commercial Inputs'!$B$16*'Commercial Inputs'!$B$5)+(1-'Commercial Inputs'!$B$12)*('Commercial Inputs'!$B$8*'Commercial Inputs'!$B$5)/(1+'Commercial Inputs'!$B$11)*'Stress Inputs'!$C$11)</x:f>
        <x:v>502.48484779661015</x:v>
      </x:c>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row>
    <x:row r="717" ht="18" customHeight="1">
      <x:c r="A717" s="4" t="str">
        <x:v>Fee per monthly charge (INR)</x:v>
      </x:c>
      <x:c r="B717" s="56" t="n">
        <x:f>'Scenario Inputs'!$C$28*('Commercial Inputs'!$B$12*'Commercial Inputs'!$B$7*'Commercial Inputs'!$B$14+(1-'Commercial Inputs'!$B$12)*'Commercial Inputs'!$B$7/(1+'Commercial Inputs'!$B$10)*'Stress Inputs'!$C$11)+(1-'Scenario Inputs'!$C$28)*('Commercial Inputs'!$B$12*(('Commercial Inputs'!$B$9*'Commercial Inputs'!$B$5)*'Commercial Inputs'!$B$15+'Commercial Inputs'!$B$16*'Commercial Inputs'!$B$5)+(1-'Commercial Inputs'!$B$12)*('Commercial Inputs'!$B$9*'Commercial Inputs'!$B$5)/(1+'Commercial Inputs'!$B$11)*'Stress Inputs'!$C$11)</x:f>
        <x:v>83.94179694915253</x:v>
      </x:c>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row>
    <x:row r="718" ht="18" customHeight="1">
      <x:c r="A718" s="4" t="str">
        <x:v>Billing reserve per annual charge (INR)</x:v>
      </x:c>
      <x:c r="B718" s="56" t="n">
        <x:f>('Scenario Inputs'!$C$28*'Commercial Inputs'!$B$6+(1-'Scenario Inputs'!$C$28)*('Commercial Inputs'!$B$8*'Commercial Inputs'!$B$5))*'Commercial Inputs'!$B$17</x:f>
        <x:v>29.5906</x:v>
      </x:c>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row>
    <x:row r="719" ht="18" customHeight="1">
      <x:c r="A719" s="4" t="str">
        <x:v>Billing reserve per monthly charge (INR)</x:v>
      </x:c>
      <x:c r="B719" s="56" t="n">
        <x:f>('Scenario Inputs'!$C$28*'Commercial Inputs'!$B$7+(1-'Scenario Inputs'!$C$28)*('Commercial Inputs'!$B$9*'Commercial Inputs'!$B$5))*'Commercial Inputs'!$B$17</x:f>
        <x:v>4.2306</x:v>
      </x:c>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row>
    <x:row r="720" ht="18" customHeight="1">
      <x:c r="A720" s="4" t="str">
        <x:v>Budgeted AI cost per job (INR)</x:v>
      </x:c>
      <x:c r="B720" s="56" t="n">
        <x:f>('Commercial Inputs'!$B$20*'Commercial Inputs'!$B$18+'Commercial Inputs'!$B$21*'Commercial Inputs'!$B$19)/'Commercial Inputs'!$B$47*'Commercial Inputs'!$B$22*'Commercial Inputs'!$B$5*(1+'Commercial Inputs'!$B$23)</x:f>
        <x:v>0.1287</x:v>
      </x:c>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row>
    <x:row r="721" ht="18" customHeight="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row>
    <x:row r="722" ht="18" customHeight="1">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row>
    <x:row r="723" ht="18" customHeight="1">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row>
    <x:row r="724" ht="18" customHeight="1">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row>
    <x:row r="725" ht="18" customHeight="1">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row>
    <x:row r="726" ht="18" customHeight="1">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row>
    <x:row r="727" ht="18" customHeight="1">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row>
    <x:row r="728" ht="18" customHeight="1">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row>
    <x:row r="729" ht="18" customHeight="1">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row>
    <x:row r="730" ht="18" customHeight="1">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row>
    <x:row r="731" ht="18" customHeight="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row>
    <x:row r="732" ht="18" customHeight="1">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row>
    <x:row r="733" ht="18" customHeight="1">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row>
    <x:row r="734" ht="18" customHeight="1">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row>
    <x:row r="735" ht="18" customHeight="1">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row>
    <x:row r="736" ht="18" customHeight="1">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row>
    <x:row r="737" ht="18" customHeight="1">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row>
    <x:row r="738" ht="18" customHeight="1">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row>
    <x:row r="739" ht="18" customHeight="1">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row>
    <x:row r="740" ht="18" customHeight="1">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row>
    <x:row r="741" ht="18" customHeight="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row>
    <x:row r="742" ht="18" customHeight="1">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row>
    <x:row r="743" ht="18" customHeight="1">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row>
    <x:row r="744" ht="18" customHeight="1">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row>
    <x:row r="745" ht="18" customHeight="1">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row>
    <x:row r="746" ht="18" customHeight="1">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row>
    <x:row r="747" ht="18" customHeight="1">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row>
    <x:row r="748" ht="18" customHeight="1">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row>
    <x:row r="749" ht="18" customHeight="1">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row>
    <x:row r="750" ht="18" customHeight="1">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row>
    <x:row r="751" ht="18" customHeight="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row>
    <x:row r="752" ht="18" customHeight="1">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row>
    <x:row r="753" ht="18" customHeight="1">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row>
    <x:row r="754" ht="18" customHeight="1">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row>
    <x:row r="755" ht="18" customHeight="1">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row>
    <x:row r="756" ht="18" customHeight="1">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row>
    <x:row r="757" ht="18" customHeight="1">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row>
    <x:row r="758" ht="18" customHeight="1">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row>
    <x:row r="759" ht="18" customHeight="1">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row>
    <x:row r="760" ht="18" customHeight="1">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row>
    <x:row r="761" ht="18" customHeight="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row>
    <x:row r="762" ht="18" customHeight="1">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row>
    <x:row r="763" ht="18" customHeight="1">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row>
    <x:row r="764" ht="18" customHeight="1">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row>
    <x:row r="765" ht="18" customHeight="1">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row>
  </x:sheetData>
  <x:mergeCells>
    <x:mergeCell ref="A1:AK1"/>
    <x:mergeCell ref="A2:AK2"/>
    <x:mergeCell ref="A106:AK106"/>
    <x:mergeCell ref="A107:AK107"/>
    <x:mergeCell ref="A211:AK211"/>
    <x:mergeCell ref="A212:AK212"/>
    <x:mergeCell ref="A316:AK316"/>
    <x:mergeCell ref="A317:AK317"/>
    <x:mergeCell ref="A421:AK421"/>
    <x:mergeCell ref="A422:AK422"/>
    <x:mergeCell ref="A526:AK526"/>
    <x:mergeCell ref="A527:AK527"/>
    <x:mergeCell ref="A631:AK631"/>
    <x:mergeCell ref="A632:AK632"/>
  </x:mergeCells>
  <x:conditionalFormatting sqref="B67:AK67">
    <x:cfRule type="cellIs" dxfId="9" priority="1" operator="notEqual">
      <x:formula>0</x:formula>
    </x:cfRule>
  </x:conditionalFormatting>
  <x:conditionalFormatting sqref="B75:AK75">
    <x:cfRule type="cellIs" dxfId="10" priority="2" operator="notEqual">
      <x:formula>0</x:formula>
    </x:cfRule>
  </x:conditionalFormatting>
  <x:conditionalFormatting sqref="B76:AK76">
    <x:cfRule type="cellIs" dxfId="11" priority="3" operator="notEqual">
      <x:formula>0</x:formula>
    </x:cfRule>
  </x:conditionalFormatting>
  <x:conditionalFormatting sqref="B172:AK172">
    <x:cfRule type="cellIs" dxfId="12" priority="4" operator="notEqual">
      <x:formula>0</x:formula>
    </x:cfRule>
  </x:conditionalFormatting>
  <x:conditionalFormatting sqref="B180:AK180">
    <x:cfRule type="cellIs" dxfId="13" priority="5" operator="notEqual">
      <x:formula>0</x:formula>
    </x:cfRule>
  </x:conditionalFormatting>
  <x:conditionalFormatting sqref="B181:AK181">
    <x:cfRule type="cellIs" dxfId="14" priority="6" operator="notEqual">
      <x:formula>0</x:formula>
    </x:cfRule>
  </x:conditionalFormatting>
  <x:conditionalFormatting sqref="B277:AK277">
    <x:cfRule type="cellIs" dxfId="15" priority="7" operator="notEqual">
      <x:formula>0</x:formula>
    </x:cfRule>
  </x:conditionalFormatting>
  <x:conditionalFormatting sqref="B285:AK285">
    <x:cfRule type="cellIs" dxfId="16" priority="8" operator="notEqual">
      <x:formula>0</x:formula>
    </x:cfRule>
  </x:conditionalFormatting>
  <x:conditionalFormatting sqref="B286:AK286">
    <x:cfRule type="cellIs" dxfId="17" priority="9" operator="notEqual">
      <x:formula>0</x:formula>
    </x:cfRule>
  </x:conditionalFormatting>
  <x:conditionalFormatting sqref="B382:AK382">
    <x:cfRule type="cellIs" dxfId="18" priority="10" operator="notEqual">
      <x:formula>0</x:formula>
    </x:cfRule>
  </x:conditionalFormatting>
  <x:conditionalFormatting sqref="B390:AK390">
    <x:cfRule type="cellIs" dxfId="19" priority="11" operator="notEqual">
      <x:formula>0</x:formula>
    </x:cfRule>
  </x:conditionalFormatting>
  <x:conditionalFormatting sqref="B391:AK391">
    <x:cfRule type="cellIs" dxfId="20" priority="12" operator="notEqual">
      <x:formula>0</x:formula>
    </x:cfRule>
  </x:conditionalFormatting>
  <x:conditionalFormatting sqref="B487:AK487">
    <x:cfRule type="cellIs" dxfId="21" priority="13" operator="notEqual">
      <x:formula>0</x:formula>
    </x:cfRule>
  </x:conditionalFormatting>
  <x:conditionalFormatting sqref="B495:AK495">
    <x:cfRule type="cellIs" dxfId="22" priority="14" operator="notEqual">
      <x:formula>0</x:formula>
    </x:cfRule>
  </x:conditionalFormatting>
  <x:conditionalFormatting sqref="B496:AK496">
    <x:cfRule type="cellIs" dxfId="23" priority="15" operator="notEqual">
      <x:formula>0</x:formula>
    </x:cfRule>
  </x:conditionalFormatting>
  <x:conditionalFormatting sqref="B592:AK592">
    <x:cfRule type="cellIs" dxfId="24" priority="16" operator="notEqual">
      <x:formula>0</x:formula>
    </x:cfRule>
  </x:conditionalFormatting>
  <x:conditionalFormatting sqref="B600:AK600">
    <x:cfRule type="cellIs" dxfId="25" priority="17" operator="notEqual">
      <x:formula>0</x:formula>
    </x:cfRule>
  </x:conditionalFormatting>
  <x:conditionalFormatting sqref="B601:AK601">
    <x:cfRule type="cellIs" dxfId="26" priority="18" operator="notEqual">
      <x:formula>0</x:formula>
    </x:cfRule>
  </x:conditionalFormatting>
  <x:conditionalFormatting sqref="B697:AK697">
    <x:cfRule type="cellIs" dxfId="27" priority="19" operator="notEqual">
      <x:formula>0</x:formula>
    </x:cfRule>
  </x:conditionalFormatting>
  <x:conditionalFormatting sqref="B705:AK705">
    <x:cfRule type="cellIs" dxfId="28" priority="20" operator="notEqual">
      <x:formula>0</x:formula>
    </x:cfRule>
  </x:conditionalFormatting>
  <x:conditionalFormatting sqref="B706:AK706">
    <x:cfRule type="cellIs" dxfId="29" priority="21" operator="notEqual">
      <x:formula>0</x:formula>
    </x:cfRule>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9" hidden="0" customWidth="1"/>
    <x:col min="2" max="2" width="38" hidden="0" customWidth="1"/>
    <x:col min="3" max="3" width="70" hidden="0" customWidth="1"/>
    <x:col min="4" max="4" width="65" hidden="0" customWidth="1"/>
  </x:cols>
  <x:sheetData>
    <x:row r="1" ht="34" customHeight="1">
      <x:c r="A1" s="7" t="str">
        <x:v>SOURCES &amp; LIMITATIONS</x:v>
      </x:c>
      <x:c r="B1" s="7"/>
      <x:c r="C1" s="7"/>
      <x:c r="D1" s="7"/>
    </x:row>
    <x:row r="2" ht="30" customHeight="1">
      <x:c r="A2" s="11" t="str">
        <x:v>Supplier rates checked 27 September 2026. No market-share, CAC or conversion claim is inferred from these sources.</x:v>
      </x:c>
      <x:c r="B2" s="11"/>
      <x:c r="C2" s="11"/>
      <x:c r="D2" s="11"/>
    </x:row>
    <x:row r="3" ht="18" customHeight="1">
      <x:c r="A3" s="4"/>
      <x:c r="B3" s="4"/>
      <x:c r="C3" s="4"/>
      <x:c r="D3" s="4"/>
    </x:row>
    <x:row r="4" ht="30" customHeight="1">
      <x:c r="A4" s="16" t="str">
        <x:v>ID</x:v>
      </x:c>
      <x:c r="B4" s="16" t="str">
        <x:v>Source</x:v>
      </x:c>
      <x:c r="C4" s="16" t="str">
        <x:v>URL / source file</x:v>
      </x:c>
      <x:c r="D4" s="16" t="str">
        <x:v>Use and caveat</x:v>
      </x:c>
    </x:row>
    <x:row r="5" ht="44" customHeight="1">
      <x:c r="A5" s="30" t="str">
        <x:v>S1</x:v>
      </x:c>
      <x:c r="B5" s="30" t="str">
        <x:v>OpenAI API planner pricing</x:v>
      </x:c>
      <x:c r="C5" s="30" t="str">
        <x:v>https://developers.openai.com/api/docs/models/gpt-5.6-luna</x:v>
      </x:c>
      <x:c r="D5" s="30" t="str">
        <x:v>$0.20 input / $1.20 output per million tokens; checked 27 Sep 2026.</x:v>
      </x:c>
    </x:row>
    <x:row r="6" ht="44" customHeight="1">
      <x:c r="A6" s="30" t="str">
        <x:v>S2</x:v>
      </x:c>
      <x:c r="B6" s="30" t="str">
        <x:v>Apple Small Business Program</x:v>
      </x:c>
      <x:c r="C6" s="30" t="str">
        <x:v>https://developer.apple.com/app-store/small-business-program/</x:v>
      </x:c>
      <x:c r="D6" s="30" t="str">
        <x:v>15% requires eligibility/enrollment; regional terms can differ.</x:v>
      </x:c>
    </x:row>
    <x:row r="7" ht="44" customHeight="1">
      <x:c r="A7" s="30" t="str">
        <x:v>S3</x:v>
      </x:c>
      <x:c r="B7" s="30" t="str">
        <x:v>Google Play service fees</x:v>
      </x:c>
      <x:c r="C7" s="30" t="str">
        <x:v>https://support.google.com/googleplay/android-developer/answer/112622?hl=en</x:v>
      </x:c>
      <x:c r="D7" s="30" t="str">
        <x:v>Subscription/channel terms vary; model uses 15% standard-store assumption.</x:v>
      </x:c>
    </x:row>
    <x:row r="8" ht="44" customHeight="1">
      <x:c r="A8" s="30" t="str">
        <x:v>S4</x:v>
      </x:c>
      <x:c r="B8" s="30" t="str">
        <x:v>Paddle pricing</x:v>
      </x:c>
      <x:c r="C8" s="30" t="str">
        <x:v>https://www.paddle.com/pricing</x:v>
      </x:c>
      <x:c r="D8" s="30" t="str">
        <x:v>5% + $0.50 standard; actual eligibility, taxation, settlement and regional terms require confirmation.</x:v>
      </x:c>
    </x:row>
    <x:row r="9" ht="44" customHeight="1">
      <x:c r="A9" s="30" t="str">
        <x:v>S5</x:v>
      </x:c>
      <x:c r="B9" s="30" t="str">
        <x:v>Razorpay pricing</x:v>
      </x:c>
      <x:c r="C9" s="30" t="str">
        <x:v>https://razorpay.com/pricing/</x:v>
      </x:c>
      <x:c r="D9" s="30" t="str">
        <x:v>Standard 2% + GST; 2.36% modeled, excluding possible input-tax credit.</x:v>
      </x:c>
    </x:row>
    <x:row r="10" ht="44" customHeight="1">
      <x:c r="A10" s="30" t="str">
        <x:v>S6</x:v>
      </x:c>
      <x:c r="B10" s="30" t="str">
        <x:v>RevenueCat pricing</x:v>
      </x:c>
      <x:c r="C10" s="30" t="str">
        <x:v>https://www.revenuecat.com/pricing</x:v>
      </x:c>
      <x:c r="D10" s="30" t="str">
        <x:v>1% reserve at every scale, even where free-tier threshold could reduce bill.</x:v>
      </x:c>
    </x:row>
    <x:row r="11" ht="44" customHeight="1">
      <x:c r="A11" s="30" t="str">
        <x:v>S7</x:v>
      </x:c>
      <x:c r="B11" s="30" t="str">
        <x:v>Cloudflare Workers pricing</x:v>
      </x:c>
      <x:c r="C11" s="30" t="str">
        <x:v>https://developers.cloudflare.com/workers/platform/pricing/</x:v>
      </x:c>
      <x:c r="D11" s="30" t="str">
        <x:v>$5 paid-plan starting price, not the full business overhead budget.</x:v>
      </x:c>
    </x:row>
    <x:row r="12" ht="44" customHeight="1">
      <x:c r="A12" s="30" t="str">
        <x:v>S8</x:v>
      </x:c>
      <x:c r="B12" s="30" t="str">
        <x:v>Supabase pricing</x:v>
      </x:c>
      <x:c r="C12" s="30" t="str">
        <x:v>https://supabase.com/pricing</x:v>
      </x:c>
      <x:c r="D12" s="30" t="str">
        <x:v>$25 Pro starting price; usage may add costs.</x:v>
      </x:c>
    </x:row>
    <x:row r="13" ht="44" customHeight="1">
      <x:c r="A13" s="30" t="str">
        <x:v>S9</x:v>
      </x:c>
      <x:c r="B13" s="30" t="str">
        <x:v>Subscription app retention benchmarks</x:v>
      </x:c>
      <x:c r="C13" s="30" t="str">
        <x:v>https://www.revenuecat.com/state-of-subscription-apps</x:v>
      </x:c>
      <x:c r="D13" s="30" t="str">
        <x:v>2026 report: broad mobile subscription sample, not PDF/web-specific. Used as a sanity check, not forecast.</x:v>
      </x:c>
    </x:row>
    <x:row r="14" ht="44" customHeight="1">
      <x:c r="A14" s="30" t="str">
        <x:v>P1</x:v>
      </x:c>
      <x:c r="B14" s="30" t="str">
        <x:v>Prior Attenlo monetization plan</x:v>
      </x:c>
      <x:c r="C14" s="30" t="str">
        <x:v>Attenlo_PDF_Monetization_and_Growth_Plan_2026-09-27.md</x:v>
      </x:c>
      <x:c r="D14" s="30" t="str">
        <x:v>Proposed prices and scope retained; growth/CAC are unmeasured. Current model adds monthly cohorts, front-loaded fees, payout timing and scaled QA.</x:v>
      </x:c>
    </x:row>
    <x:row r="15" ht="44" customHeight="1">
      <x:c r="A15" s="30" t="str">
        <x:v>P2</x:v>
      </x:c>
      <x:c r="B15" s="30" t="str">
        <x:v>Prior financial workbook</x:v>
      </x:c>
      <x:c r="C15" s="30" t="str">
        <x:v>Attenlo_PDF_Monetization_Model_2026-09-27.xlsx</x:v>
      </x:c>
      <x:c r="D15" s="30" t="str">
        <x:v>Read from the actual conversation attachment; previous model was annual-only for scaling.</x:v>
      </x:c>
    </x:row>
    <x:row r="16" ht="44" customHeight="1">
      <x:c r="A16" s="30" t="str">
        <x:v>A1</x:v>
      </x:c>
      <x:c r="B16" s="30" t="str">
        <x:v>Analyst assumption</x:v>
      </x:c>
      <x:c r="C16" s="30" t="str">
        <x:v>Not observed / not an approved budget</x:v>
      </x:c>
      <x:c r="D16" s="30" t="str">
        <x:v>All traffic growth, conversion, usage, customer mix, retention and expense reserves are editable planning assumptions.</x:v>
      </x:c>
    </x:row>
    <x:row r="17" ht="18" customHeight="1">
      <x:c r="A17" s="4"/>
      <x:c r="B17" s="4"/>
      <x:c r="C17" s="4"/>
      <x:c r="D17" s="4"/>
    </x:row>
    <x:row r="18" ht="18" customHeight="1">
      <x:c r="A18" s="4"/>
      <x:c r="B18" s="4"/>
      <x:c r="C18" s="4"/>
      <x:c r="D18" s="4"/>
    </x:row>
    <x:row r="19" ht="18" customHeight="1">
      <x:c r="A19" s="4"/>
      <x:c r="B19" s="4"/>
      <x:c r="C19" s="4"/>
      <x:c r="D19" s="4"/>
    </x:row>
    <x:row r="20" ht="18" customHeight="1">
      <x:c r="A20" s="4"/>
      <x:c r="B20" s="4"/>
      <x:c r="C20" s="4"/>
      <x:c r="D20" s="4"/>
    </x:row>
  </x:sheetData>
  <x:mergeCells>
    <x:mergeCell ref="A1:D1"/>
    <x:mergeCell ref="A2:D2"/>
  </x:mergeCells>
  <x:pageMargins left="0.7" right="0.7" top="0.75" bottom="0.75" header="0.3" footer="0.3"/>
</x:worksheet>
</file>