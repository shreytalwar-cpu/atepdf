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worksheets/sheet3.xml" ContentType="application/vnd.openxmlformats-officedocument.spreadsheetml.worksheet+xml"/>
  <Override PartName="/xl/worksheets/sheet4.xml" ContentType="application/vnd.openxmlformats-officedocument.spreadsheetml.worksheet+xml"/>
  <Override PartName="/xl/comments2.xml" ContentType="application/vnd.openxmlformats-officedocument.spreadsheetml.comments+xml"/>
  <Override PartName="/xl/threadedcomments/threadedcomment2.xml" ContentType="application/vnd.ms-excel.threadedcomments+xml"/>
  <Override PartName="/xl/worksheets/sheet5.xml" ContentType="application/vnd.openxmlformats-officedocument.spreadsheetml.worksheet+xml"/>
  <Override PartName="/xl/comments3.xml" ContentType="application/vnd.openxmlformats-officedocument.spreadsheetml.comments+xml"/>
  <Override PartName="/xl/threadedcomments/threadedcomment3.xml" ContentType="application/vnd.ms-excel.threadedcomments+xml"/>
  <Override PartName="/xl/worksheets/sheet6.xml" ContentType="application/vnd.openxmlformats-officedocument.spreadsheetml.worksheet+xml"/>
  <Override PartName="/xl/comments4.xml" ContentType="application/vnd.openxmlformats-officedocument.spreadsheetml.comments+xml"/>
  <Override PartName="/xl/threadedcomments/threadedcomment4.xml" ContentType="application/vnd.ms-excel.threadedcomments+xml"/>
  <Override PartName="/xl/worksheets/sheet7.xml" ContentType="application/vnd.openxmlformats-officedocument.spreadsheetml.worksheet+xml"/>
  <Override PartName="/xl/comments5.xml" ContentType="application/vnd.openxmlformats-officedocument.spreadsheetml.comments+xml"/>
  <Override PartName="/xl/threadedcomments/threadedcomment5.xml" ContentType="application/vnd.ms-excel.threadedcomments+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e1acc19c948748ce" /></Relationships>
</file>

<file path=xl/workbook.xml><?xml version="1.0" encoding="utf-8"?>
<x:workbook xmlns:x="http://schemas.openxmlformats.org/spreadsheetml/2006/main">
  <x:sheets>
    <x:sheet xmlns:r="http://schemas.openxmlformats.org/officeDocument/2006/relationships" name="Overview" sheetId="1" r:id="R864eb2d9ce37437b"/>
    <x:sheet xmlns:r="http://schemas.openxmlformats.org/officeDocument/2006/relationships" name="Inputs" sheetId="2" r:id="R698b43e1e5f945da"/>
    <x:sheet xmlns:r="http://schemas.openxmlformats.org/officeDocument/2006/relationships" name="Unit Economics" sheetId="3" r:id="R8328dc0194794c97"/>
    <x:sheet xmlns:r="http://schemas.openxmlformats.org/officeDocument/2006/relationships" name="CAC Funnel" sheetId="4" r:id="Ra60e3af4a91a4a8b"/>
    <x:sheet xmlns:r="http://schemas.openxmlformats.org/officeDocument/2006/relationships" name="Steady State" sheetId="5" r:id="R15f969a13a454e00"/>
    <x:sheet xmlns:r="http://schemas.openxmlformats.org/officeDocument/2006/relationships" name="12M Cash" sheetId="6" r:id="Rb41461746989429a"/>
    <x:sheet xmlns:r="http://schemas.openxmlformats.org/officeDocument/2006/relationships" name="Experiments" sheetId="7" r:id="R105ecb812c8d4175"/>
    <x:sheet xmlns:r="http://schemas.openxmlformats.org/officeDocument/2006/relationships" name="Sources" sheetId="8" r:id="Rb75fc49254de4ee9"/>
  </x:sheets>
</x:workbook>
</file>

<file path=xl/comments1.xml><?xml version="1.0" encoding="utf-8"?>
<x:comments xmlns:x="http://schemas.openxmlformats.org/spreadsheetml/2006/main">
  <x:authors>
    <x:author>tc={EC5BE9AA-F5C4-C619-FD80-8187C0107197}</x:author>
    <x:author>tc={91F3BC3C-17C2-54FB-9BD5-84AE70FDFEA5}</x:author>
    <x:author>tc={8BFDB410-7A39-0E78-3511-C9237AB43E6B}</x:author>
    <x:author>tc={D7F86990-28F1-357C-33B9-8AC19B4971ED}</x:author>
    <x:author>tc={DBC8D9AF-6082-DACC-61B0-C852FBF1F0C5}</x:author>
    <x:author>tc={88BE869D-88CD-8764-C4F6-2464FF026145}</x:author>
    <x:author>tc={DE8CC4EE-525A-DC67-FC6B-A307EBC1EA62}</x:author>
    <x:author>tc={4EB642FD-D720-B789-FCF1-F4471779DB84}</x:author>
    <x:author>tc={3A6F71EE-6D22-59E1-66B1-5F0B81632BC7}</x:author>
    <x:author>tc={45697615-B70F-A242-1E90-1BAE44690352}</x:author>
    <x:author>tc={AB2D757E-0C22-D00A-A0F1-6567849410F6}</x:author>
    <x:author>tc={2FCDDA79-2A73-7F8C-4346-0EEF54DA4AAE}</x:author>
    <x:author>tc={DA0D2374-1FEA-BA8D-8FD4-77DE04F50119}</x:author>
    <x:author>tc={0A9961FA-03B7-3350-07D3-3CAE97B18A60}</x:author>
    <x:author>tc={9FB0693E-B080-B168-3587-0AA13CB03FBF}</x:author>
    <x:author>tc={5866E5DF-3F70-776A-2A71-620D93A645F1}</x:author>
    <x:author>tc={FD2D90ED-3374-0443-CB5D-E53DE33827F8}</x:author>
    <x:author>tc={31BA6172-6893-AC4A-937A-E8177C498FA8}</x:author>
    <x:author>tc={2DF14CAB-0851-4DFB-796B-3E7167250B30}</x:author>
    <x:author>tc={91F1AF51-8FD2-C53B-C48B-176CE3EAA408}</x:author>
    <x:author>tc={FF66245F-B080-8148-0B9F-030A0C831B91}</x:author>
    <x:author>tc={E96A1ADD-2F48-E8FB-AFC7-7BDE7CD9E3AD}</x:author>
    <x:author>tc={6F49065A-C054-6EBC-C7AA-B25B71287ADB}</x:author>
    <x:author>tc={3E5F7C2D-318A-19E8-2E46-E9E08D52BD5B}</x:author>
    <x:author>tc={798F3E2B-16CC-65A5-C79D-9F0B752956A3}</x:author>
    <x:author>tc={A906448A-1E03-7E34-709D-600B582CA941}</x:author>
    <x:author>tc={ED0EC44F-88AF-7A22-1CB0-9EED12F0C895}</x:author>
    <x:author>tc={A2CC06D7-76B6-D128-2D42-EF07C4387BAD}</x:author>
    <x:author>tc={0E099AC8-4EFB-EF28-0C97-F37A27D4AA9E}</x:author>
    <x:author>tc={2049B5A9-C340-B402-7AC5-CCC946F4AD39}</x:author>
    <x:author>tc={4A0F5137-77F6-14C9-402D-04DA65C9571C}</x:author>
    <x:author>tc={FA631F78-1FEA-F546-7CE7-8741B0CAB07A}</x:author>
    <x:author>tc={354AAF3E-09E9-FB31-4F01-97242AB4D919}</x:author>
    <x:author>tc={F6C2ECEA-A240-9F8B-6FD7-80AA6DFD242C}</x:author>
    <x:author>tc={31C582C4-EAB5-CA78-B3C2-6793186759F9}</x:author>
    <x:author>tc={670D601D-C04D-22FA-20FD-85A441304E8F}</x:author>
    <x:author>tc={897BAAC4-2D90-7D00-C026-9322AFD70B2F}</x:author>
    <x:author>tc={E7F1962C-CF62-8D82-EBA5-7B59F2CF55BC}</x:author>
    <x:author>tc={495D7550-7DE8-E223-5CEA-C7B4485A29A4}</x:author>
    <x:author>tc={D9280A05-1A74-87F4-0DB9-AED9AC76E6EA}</x:author>
    <x:author>tc={A005419A-F42E-4E36-BFCF-E951F627F7F3}</x:author>
    <x:author>tc={36B40BEC-455C-A72D-7DB7-33C609450E3D}</x:author>
    <x:author>tc={44630BA3-5866-8E33-16F6-3B4A10BCFB5B}</x:author>
    <x:author>tc={60064F53-4799-918B-942B-E883536784EB}</x:author>
    <x:author>tc={1DED94EF-7DFF-7970-A6EA-A3C58425EA72}</x:author>
    <x:author>tc={73858A62-20EB-3EC4-DF56-E2FDF09ED723}</x:author>
    <x:author>tc={2505E992-36FE-5CC3-E2D6-87628904A6CA}</x:author>
    <x:author>tc={421A7C85-426A-9540-C2D8-EFE153215679}</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Model convention, NOT a current FX quote. Change to actual settlement rate.
Checked: 27 September 2026.</x:t>
        </x:r>
      </x:text>
    </x:comment>
    <x:comment ref="B6" authorId="1">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Calendar constant.
Checked: 27 September 2026.</x:t>
        </x:r>
      </x:text>
    </x:comment>
    <x:comment ref="B7" authorId="2">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price, inclusive of the modeled India tax.
Checked: 27 September 2026.</x:t>
        </x:r>
      </x:text>
    </x:comment>
    <x:comment ref="B8" authorId="3">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price; annual-only scenarios below do not count monthly subscribers.
Checked: 27 September 2026.</x:t>
        </x:r>
      </x:text>
    </x:comment>
    <x:comment ref="B9" authorId="4">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US/global anchor before local tax; regional pricing must be localized.
Checked: 27 September 2026.</x:t>
        </x:r>
      </x:text>
    </x:comment>
    <x:comment ref="B10" authorId="5">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price; not annual revenue per user.
Checked: 27 September 2026.</x:t>
        </x:r>
      </x:text>
    </x:comment>
    <x:comment ref="B11" authorId="6">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Planning assumption, not a tax determination. Accountant to verify GST treatment and registration.
Checked: 27 September 2026.</x:t>
        </x:r>
      </x:text>
    </x:comment>
    <x:comment ref="B12" authorId="7">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Base treats USD sticker as pre-tax. Enter e.g. 20% to stress a tax-inclusive same-price sale.
Checked: 27 September 2026.</x:t>
        </x:r>
      </x:text>
    </x:comment>
    <x:comment ref="B13" authorId="8">
      <x:text>
        <x:r>
          <x:t>[Threaded comment]
Your version of Excel allows you to read this threaded comment; however, any edits to it will get removed if the file is opened in a newer version of Excel. Learn more: https://go.microsoft.com/fwlink/?linkid=870924
Comment:
    Source: https://developer.apple.com/app-store/small-business-program/
Apple small-business eligibility and standard Play billing assumptions; verify region before release.
Checked: 27 September 2026.</x:t>
        </x:r>
      </x:text>
    </x:comment>
    <x:comment ref="B14" authorId="9">
      <x:text>
        <x:r>
          <x:t>[Threaded comment]
Your version of Excel allows you to read this threaded comment; however, any edits to it will get removed if the file is opened in a newer version of Excel. Learn more: https://go.microsoft.com/fwlink/?linkid=870924
Comment:
    Source: https://razorpay.com/solutions/e-commerce/
Standard domestic rate with GST on fee; conservative: no fee-GST input credit.
Checked: 27 September 2026.</x:t>
        </x:r>
      </x:text>
    </x:comment>
    <x:comment ref="B15" authorId="10">
      <x:text>
        <x:r>
          <x:t>[Threaded comment]
Your version of Excel allows you to read this threaded comment; however, any edits to it will get removed if the file is opened in a newer version of Excel. Learn more: https://go.microsoft.com/fwlink/?linkid=870924
Comment:
    Source: https://www.paddle.com/pricing
Paddle standard rate; model excludes FX/settlement extras, covered only by configurable reserves.
Checked: 27 September 2026.</x:t>
        </x:r>
      </x:text>
    </x:comment>
    <x:comment ref="B16" authorId="11">
      <x:text>
        <x:r>
          <x:t>[Threaded comment]
Your version of Excel allows you to read this threaded comment; however, any edits to it will get removed if the file is opened in a newer version of Excel. Learn more: https://go.microsoft.com/fwlink/?linkid=870924
Comment:
    Source: https://www.paddle.com/pricing
One annual payment, not twelve monthly transaction fees.
Checked: 27 September 2026.</x:t>
        </x:r>
      </x:text>
    </x:comment>
    <x:comment ref="B17" authorId="12">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Planning reserve. Fees conservatively assumed non-refundable; replace with actual refund cohort data.
Checked: 27 September 2026.</x:t>
        </x:r>
      </x:text>
    </x:comment>
    <x:comment ref="B18" authorId="13">
      <x:text>
        <x:r>
          <x:t>[Threaded comment]
Your version of Excel allows you to read this threaded comment; however, any edits to it will get removed if the file is opened in a newer version of Excel. Learn more: https://go.microsoft.com/fwlink/?linkid=870924
Comment:
    Source: https://www.revenuecat.com/pricing
Conservative all-scale reserve. Actual RevenueCat bill is zero below its threshold.
Checked: 27 September 2026.</x:t>
        </x:r>
      </x:text>
    </x:comment>
    <x:comment ref="B19" authorId="14">
      <x:text>
        <x:r>
          <x:t>[Threaded comment]
Your version of Excel allows you to read this threaded comment; however, any edits to it will get removed if the file is opened in a newer version of Excel. Learn more: https://go.microsoft.com/fwlink/?linkid=870924
Comment:
    Source: https://developers.openai.com/api/docs/models/gpt-5.6-luna
Published model price checked 2026-09-27.
Checked: 27 September 2026.</x:t>
        </x:r>
      </x:text>
    </x:comment>
    <x:comment ref="B20" authorId="15">
      <x:text>
        <x:r>
          <x:t>[Threaded comment]
Your version of Excel allows you to read this threaded comment; however, any edits to it will get removed if the file is opened in a newer version of Excel. Learn more: https://go.microsoft.com/fwlink/?linkid=870924
Comment:
    Source: https://developers.openai.com/api/docs/models/gpt-5.6-luna
Published model price checked 2026-09-27.
Checked: 27 September 2026.</x:t>
        </x:r>
      </x:text>
    </x:comment>
    <x:comment ref="B21" authorId="16">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Unmeasured planning assumption, includes schema and bounded context.
Checked: 27 September 2026.</x:t>
        </x:r>
      </x:text>
    </x:comment>
    <x:comment ref="B22" authorId="17">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Unmeasured planning assumption, includes all billed output.
Checked: 27 September 2026.</x:t>
        </x:r>
      </x:text>
    </x:comment>
    <x:comment ref="B23" authorId="18">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25% overhead allowance; measure real cost per completed job. Not a measured retry rate.
Checked: 27 September 2026.</x:t>
        </x:r>
      </x:text>
    </x:comment>
    <x:comment ref="B24" authorId="19">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Average usage assumption, NOT the plan's maximum allowance.
Checked: 27 September 2026.</x:t>
        </x:r>
      </x:text>
    </x:comment>
    <x:comment ref="B25" authorId="20">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maximum per month and conservative average for this model.
Checked: 27 September 2026.</x:t>
        </x:r>
      </x:text>
    </x:comment>
    <x:comment ref="B26" authorId="21">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Working assumption; counts monthly-active free users, not lifetime signups.
Checked: 27 September 2026.</x:t>
        </x:r>
      </x:text>
    </x:comment>
    <x:comment ref="B27" authorId="22">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Cash allowance, not payroll. Founder support time is shown separately.
Checked: 27 September 2026.</x:t>
        </x:r>
      </x:text>
    </x:comment>
    <x:comment ref="B28" authorId="23">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Illustrative sales mix, not an observed audience.
Checked: 27 September 2026.</x:t>
        </x:r>
      </x:text>
    </x:comment>
    <x:comment ref="B29" authorId="24">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Illustrative channel mix, not a predicted result.
Checked: 27 September 2026.</x:t>
        </x:r>
      </x:text>
    </x:comment>
    <x:comment ref="B30" authorId="25">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safety rule, not an industry benchmark.
Checked: 27 September 2026.</x:t>
        </x:r>
      </x:text>
    </x:comment>
    <x:comment ref="B31" authorId="26">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Conservative planning scenario; unknown until real annual cohorts mature.
Checked: 27 September 2026.</x:t>
        </x:r>
      </x:text>
    </x:comment>
    <x:comment ref="B32" authorId="27">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Includes media, allocated creatives and affiliate cost. Unmeasured target scenario.
Checked: 27 September 2026.</x:t>
        </x:r>
      </x:text>
    </x:comment>
    <x:comment ref="B33" authorId="28">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Hosting/admin/test-maintenance allowance; excludes variable AI, marketing, founder salary and existing AI subscriptions.
Checked: 27 September 2026.</x:t>
        </x:r>
      </x:text>
    </x:comment>
    <x:comment ref="B34" authorId="29">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Allowance once paid base reaches threshold. Not a vendor quote.
Checked: 27 September 2026.</x:t>
        </x:r>
      </x:text>
    </x:comment>
    <x:comment ref="B35" authorId="30">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Planning switch, not a technical capacity claim.
Checked: 27 September 2026.</x:t>
        </x:r>
      </x:text>
    </x:comment>
    <x:comment ref="B36" authorId="31">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Opportunity-cost sensitivity only; no employee assumed.
Checked: 27 September 2026.</x:t>
        </x:r>
      </x:text>
    </x:comment>
    <x:comment ref="B37" authorId="32">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Optional economic cost, not cash salary.
Checked: 27 September 2026.</x:t>
        </x:r>
      </x:text>
    </x:comment>
    <x:comment ref="B38" authorId="33">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Incremental default 0. Enter product's share to view fully loaded economics.
Checked: 27 September 2026.</x:t>
        </x:r>
      </x:text>
    </x:comment>
    <x:comment ref="B39" authorId="34">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ring-fenced budget, NOT approved spending.
Checked: 27 September 2026.</x:t>
        </x:r>
      </x:text>
    </x:comment>
    <x:comment ref="B40" authorId="35">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Planning reserve for store setup, review or testing, not a quotation.
Checked: 27 September 2026.</x:t>
        </x:r>
      </x:text>
    </x:comment>
    <x:comment ref="B41" authorId="36">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staged ceiling, requires approval.
Checked: 27 September 2026.</x:t>
        </x:r>
      </x:text>
    </x:comment>
    <x:comment ref="B42" authorId="37">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Optional paid demo/creator assets, not employee expense.
Checked: 27 September 2026.</x:t>
        </x:r>
      </x:text>
    </x:comment>
    <x:comment ref="B43" authorId="38">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Do not treat held reserve as actual spent CAC.
Checked: 27 September 2026.</x:t>
        </x:r>
      </x:text>
    </x:comment>
    <x:comment ref="B44" authorId="39">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Proposed allowance. All local replay / quick actions avoid a new model call.
Checked: 27 September 2026.</x:t>
        </x:r>
      </x:text>
    </x:comment>
    <x:comment ref="B45" authorId="40">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Sensitivity input for 3-year LTV, not investment advice.
Checked: 27 September 2026.</x:t>
        </x:r>
      </x:text>
    </x:comment>
    <x:comment ref="B46" authorId="41">
      <x:text>
        <x:r>
          <x:t>[Threaded comment]
Your version of Excel allows you to read this threaded comment; however, any edits to it will get removed if the file is opened in a newer version of Excel. Learn more: https://go.microsoft.com/fwlink/?linkid=870924
Comment:
    Source: https://developers.cloudflare.com/workers/platform/pricing/
Published starting price; actual usage may add charges.
Checked: 27 September 2026.</x:t>
        </x:r>
      </x:text>
    </x:comment>
    <x:comment ref="B47" authorId="42">
      <x:text>
        <x:r>
          <x:t>[Threaded comment]
Your version of Excel allows you to read this threaded comment; however, any edits to it will get removed if the file is opened in a newer version of Excel. Learn more: https://go.microsoft.com/fwlink/?linkid=870924
Comment:
    Source: https://supabase.com/pricing
Optional Supabase Pro base; can begin lower in beta.
Checked: 27 September 2026.</x:t>
        </x:r>
      </x:text>
    </x:comment>
    <x:comment ref="B48" authorId="43">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Allowance, not quoted minimum.
Checked: 27 September 2026.</x:t>
        </x:r>
      </x:text>
    </x:comment>
    <x:comment ref="B49" authorId="44">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Allowance; free tiers can be used first.
Checked: 27 September 2026.</x:t>
        </x:r>
      </x:text>
    </x:comment>
    <x:comment ref="B50" authorId="45">
      <x:text>
        <x:r>
          <x:t>[Threaded comment]
Your version of Excel allows you to read this threaded comment; however, any edits to it will get removed if the file is opened in a newer version of Excel. Learn more: https://go.microsoft.com/fwlink/?linkid=870924
Comment:
    Source: https://developer.apple.com/programs/whats-included/
Before regional pricing/tax; allocate once, not per app or platform.
Checked: 27 September 2026.</x:t>
        </x:r>
      </x:text>
    </x:comment>
    <x:comment ref="B51" authorId="46">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Planning reserve, no domain selected.
Checked: 27 September 2026.</x:t>
        </x:r>
      </x:text>
    </x:comment>
    <x:comment ref="B52" authorId="47">
      <x:text>
        <x:r>
          <x:t>[Threaded comment]
Your version of Excel allows you to read this threaded comment; however, any edits to it will get removed if the file is opened in a newer version of Excel. Learn more: https://go.microsoft.com/fwlink/?linkid=870924
Comment:
    Source: Planning assumption, not a measured result.
Used in CAC sensitivity grid; not a benchmark.
Checked: 27 September 2026.</x:t>
        </x:r>
      </x:text>
    </x:comment>
  </x:commentList>
</x:comments>
</file>

<file path=xl/comments2.xml><?xml version="1.0" encoding="utf-8"?>
<x:comments xmlns:x="http://schemas.openxmlformats.org/spreadsheetml/2006/main">
  <x:authors>
    <x:author>tc={98BC552F-D749-AAF4-948F-3DEF7045C6E3}</x:author>
    <x:author>tc={9DFDA969-5C72-E32D-F4D8-BDA953E527C8}</x:author>
    <x:author>tc={E1D8A7CD-B13D-6646-9422-F7F87A89674F}</x:author>
    <x:author>tc={E15DE10C-8E9C-A845-2F23-B8017D46CDDD}</x:author>
    <x:author>tc={F7D21EC8-6778-6D7E-FE7E-012701DBE4A1}</x:author>
    <x:author>tc={495B43AD-6707-9B7E-4776-D03B894C421D}</x:author>
    <x:author>tc={8E0FA1A9-7FBF-AAB4-9A55-DCF4CA07B992}</x:author>
    <x:author>tc={EED5A4F3-DE8E-BC5A-8A9E-0647564D7E40}</x:author>
    <x:author>tc={50FC7305-FF17-C9ED-A485-57B7715C8CDB}</x:author>
    <x:author>tc={8E7B321E-3EF8-8B7F-11A8-CF49A58E39CD}</x:author>
    <x:author>tc={02E6BFFC-8CE8-5766-7674-24768153BD88}</x:author>
    <x:author>tc={5737D08A-8180-115D-1FC8-3208D501C0E4}</x:author>
    <x:author>tc={00A425DC-72F2-84B4-029F-88D7248E325A}</x:author>
    <x:author>tc={054003DE-8734-A0DD-C2A3-1751003D4258}</x:author>
    <x:author>tc={D2F7A9A5-F208-1403-6C80-17A6CD25A0F4}</x:author>
    <x:author>tc={1BC1E787-D9B0-73BA-689E-FB14DFB6DE7C}</x:author>
    <x:author>tc={CBC18CC2-5235-D2CD-2F84-C86207208FC4}</x:author>
    <x:author>tc={68087588-CBBC-1B24-1A66-0FA177FEF872}</x:author>
    <x:author>tc={E61BF72B-4313-B519-B1A9-559763998581}</x:author>
    <x:author>tc={C2EEB475-0867-FD96-8984-DB711788BE20}</x:author>
    <x:author>tc={7725A6F8-FA60-8A54-DE9C-809E2E201F9D}</x:author>
    <x:author>tc={ECFE4AAD-D781-EC15-D82C-9B45831C8AB2}</x:author>
    <x:author>tc={EE6139AF-AE54-6E80-AF34-4751384226E7}</x:author>
  </x:authors>
  <x:commentList>
    <x:comment ref="B5" authorId="0">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C5" authorId="1">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D5" authorId="2">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B6" authorId="3">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C6" authorId="4">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D6" authorId="5">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B7" authorId="6">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C7" authorId="7">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D7" authorId="8">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B8" authorId="9">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C8" authorId="10">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D8" authorId="11">
      <x:text>
        <x:r>
          <x:t>[Threaded comment]
Your version of Excel allows you to read this threaded comment; however, any edits to it will get removed if the file is opened in a newer version of Excel. Learn more: https://go.microsoft.com/fwlink/?linkid=870924
Comment:
    Illustrative CPC/conversion assumption, not a quote or observed campaign.</x:t>
        </x:r>
      </x:text>
    </x:comment>
    <x:comment ref="A15" authorId="12">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A16" authorId="13">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A17" authorId="14">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A18" authorId="15">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A19" authorId="16">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B14" authorId="17">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C14" authorId="18">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D14" authorId="19">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E14" authorId="20">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F14" authorId="21">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 ref="B29" authorId="22">
      <x:text>
        <x:r>
          <x:t>[Threaded comment]
Your version of Excel allows you to read this threaded comment; however, any edits to it will get removed if the file is opened in a newer version of Excel. Learn more: https://go.microsoft.com/fwlink/?linkid=870924
Comment:
    Scenario assumption; not measured.</x:t>
        </x:r>
      </x:text>
    </x:comment>
  </x:commentList>
</x:comments>
</file>

<file path=xl/comments3.xml><?xml version="1.0" encoding="utf-8"?>
<x:comments xmlns:x="http://schemas.openxmlformats.org/spreadsheetml/2006/main">
  <x:authors>
    <x:author>tc={41E0D46C-B00B-AF8B-7ED8-3101D2D4B2D9}</x:author>
    <x:author>tc={FBB01CF5-A7CA-B47A-E864-65F7F5426F13}</x:author>
    <x:author>tc={DDDA3F3C-CB1A-7B21-241A-493CFF8EE683}</x:author>
    <x:author>tc={CE04AE77-F865-DE81-D0AE-78C1B2E2898F}</x:author>
    <x:author>tc={84A05D6B-6E2E-2AA2-07FD-40BE8549DFC5}</x:author>
    <x:author>tc={1DA718A4-EE92-D80C-A07E-2A5EA6BA50D1}</x:author>
    <x:author>tc={834C4A7C-D457-FD13-69B1-0871945D6E3C}</x:author>
    <x:author>tc={70349BA3-A406-43C2-B68D-3B9CD774DAD5}</x:author>
    <x:author>tc={8444DA4A-631E-D262-1F7A-C0AECFB0A444}</x:author>
    <x:author>tc={CB25C472-462B-4364-2C5C-7C738F90D111}</x:author>
    <x:author>tc={576585AC-90C6-E665-8556-F4A5F4AF375C}</x:author>
    <x:author>tc={AD963E7E-2382-CB6B-BA4E-54FFF01CE3BE}</x:author>
    <x:author>tc={B324F4E3-DFA7-526F-8BFF-12F93D325442}</x:author>
    <x:author>tc={088C21A2-DFDA-03CF-180D-648F43ADA2D3}</x:author>
    <x:author>tc={D0386D9B-E8A1-60D0-FAF4-36E575EBD365}</x:author>
    <x:author>tc={E0616306-E538-21E1-1608-74DC287007E7}</x:author>
    <x:author>tc={6CC967B5-C022-CD16-711F-39FE58E2FC71}</x:author>
  </x:authors>
  <x:commentList>
    <x:comment ref="A5" authorId="0">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6" authorId="1">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7" authorId="2">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15" authorId="3">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16" authorId="4">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17" authorId="5">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18" authorId="6">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19" authorId="7">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B15" authorId="8">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B16" authorId="9">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B17" authorId="10">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B18" authorId="11">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B19" authorId="12">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23" authorId="13">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24" authorId="14">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25" authorId="15">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 ref="A26" authorId="16">
      <x:text>
        <x:r>
          <x:t>[Threaded comment]
Your version of Excel allows you to read this threaded comment; however, any edits to it will get removed if the file is opened in a newer version of Excel. Learn more: https://go.microsoft.com/fwlink/?linkid=870924
Comment:
    Scenario or goal input, not a forecast.</x:t>
        </x:r>
      </x:text>
    </x:comment>
  </x:commentList>
</x:comments>
</file>

<file path=xl/comments4.xml><?xml version="1.0" encoding="utf-8"?>
<x:comments xmlns:x="http://schemas.openxmlformats.org/spreadsheetml/2006/main">
  <x:authors>
    <x:author>tc={0BB166B3-0BA3-4CAB-9652-95B4AF714247}</x:author>
    <x:author>tc={4338709D-0149-9363-E0F3-36531793DC0E}</x:author>
    <x:author>tc={A0FF9C0A-1693-5ABA-9D48-B2DAA828A735}</x:author>
    <x:author>tc={C3CB9B1F-3BCD-3060-CC07-2FCFD033E994}</x:author>
    <x:author>tc={F81FD4EE-68DE-50F9-A55D-A175DC1DE794}</x:author>
    <x:author>tc={AAEF5732-5B5B-63B9-DDCB-4490FCC5375D}</x:author>
    <x:author>tc={0EA9AB94-10E4-9FD7-856C-5119260D4E85}</x:author>
    <x:author>tc={FA5BB6C7-2D4A-1068-5BA9-FFC29709E14F}</x:author>
    <x:author>tc={64FA113D-F736-9CF2-5CFE-7D19AEF4612F}</x:author>
    <x:author>tc={04C8D0E4-AF1A-C503-03DA-F8744BD9B798}</x:author>
    <x:author>tc={B5A51AC8-48AF-C9FE-7842-A5A959499EBF}</x:author>
    <x:author>tc={22A712A5-C782-E76D-2F43-F41892DBE50B}</x:author>
  </x:authors>
  <x:commentList>
    <x:comment ref="C6" authorId="0">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D6" authorId="1">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E6" authorId="2">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F6" authorId="3">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G6" authorId="4">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H6" authorId="5">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I6" authorId="6">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J6" authorId="7">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K6" authorId="8">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L6" authorId="9">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M6" authorId="10">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 ref="N6" authorId="11">
      <x:text>
        <x:r>
          <x:t>[Threaded comment]
Your version of Excel allows you to read this threaded comment; however, any edits to it will get removed if the file is opened in a newer version of Excel. Learn more: https://go.microsoft.com/fwlink/?linkid=870924
Comment:
    Editable illustrative new annual subscribers; no observed funnel or forecast supports these counts.</x:t>
        </x:r>
      </x:text>
    </x:comment>
  </x:commentList>
</x:comments>
</file>

<file path=xl/comments5.xml><?xml version="1.0" encoding="utf-8"?>
<x:comments xmlns:x="http://schemas.openxmlformats.org/spreadsheetml/2006/main">
  <x:authors>
    <x:author>tc={341B103E-9ACE-C611-C34A-20B8A09AF3E3}</x:author>
    <x:author>tc={285D5DF2-9A48-4B03-E8C1-94AB0321B20F}</x:author>
    <x:author>tc={ACE18167-5D41-AB6F-40A6-9EDFA2551E24}</x:author>
    <x:author>tc={E6594A09-9235-0277-03FC-9DAE940AC4C0}</x:author>
    <x:author>tc={7CE5312E-9F71-B5C4-2552-AC4013AE41B8}</x:author>
    <x:author>tc={57F668C5-9D57-9EF4-2495-79C2BA4678BA}</x:author>
    <x:author>tc={D7E96E91-3DD9-11E5-E1C6-7C75169816D7}</x:author>
    <x:author>tc={8F3C8F64-03BF-09B8-A1C1-D9552A255347}</x:author>
  </x:authors>
  <x:commentList>
    <x:comment ref="C5" authorId="0">
      <x:text>
        <x:r>
          <x:t>[Threaded comment]
Your version of Excel allows you to read this threaded comment; however, any edits to it will get removed if the file is opened in a newer version of Excel. Learn more: https://go.microsoft.com/fwlink/?linkid=870924
Comment:
    Proposed budget only, not approved or spent.</x:t>
        </x:r>
      </x:text>
    </x:comment>
    <x:comment ref="C6" authorId="1">
      <x:text>
        <x:r>
          <x:t>[Threaded comment]
Your version of Excel allows you to read this threaded comment; however, any edits to it will get removed if the file is opened in a newer version of Excel. Learn more: https://go.microsoft.com/fwlink/?linkid=870924
Comment:
    Proposed budget only, not approved or spent.</x:t>
        </x:r>
      </x:text>
    </x:comment>
    <x:comment ref="C7" authorId="2">
      <x:text>
        <x:r>
          <x:t>[Threaded comment]
Your version of Excel allows you to read this threaded comment; however, any edits to it will get removed if the file is opened in a newer version of Excel. Learn more: https://go.microsoft.com/fwlink/?linkid=870924
Comment:
    Proposed budget only, not approved or spent.</x:t>
        </x:r>
      </x:text>
    </x:comment>
    <x:comment ref="C8" authorId="3">
      <x:text>
        <x:r>
          <x:t>[Threaded comment]
Your version of Excel allows you to read this threaded comment; however, any edits to it will get removed if the file is opened in a newer version of Excel. Learn more: https://go.microsoft.com/fwlink/?linkid=870924
Comment:
    Proposed budget only, not approved or spent.</x:t>
        </x:r>
      </x:text>
    </x:comment>
    <x:comment ref="C9" authorId="4">
      <x:text>
        <x:r>
          <x:t>[Threaded comment]
Your version of Excel allows you to read this threaded comment; however, any edits to it will get removed if the file is opened in a newer version of Excel. Learn more: https://go.microsoft.com/fwlink/?linkid=870924
Comment:
    Proposed budget only, not approved or spent.</x:t>
        </x:r>
      </x:text>
    </x:comment>
    <x:comment ref="C10" authorId="5">
      <x:text>
        <x:r>
          <x:t>[Threaded comment]
Your version of Excel allows you to read this threaded comment; however, any edits to it will get removed if the file is opened in a newer version of Excel. Learn more: https://go.microsoft.com/fwlink/?linkid=870924
Comment:
    Proposed budget only, not approved or spent.</x:t>
        </x:r>
      </x:text>
    </x:comment>
    <x:comment ref="C11" authorId="6">
      <x:text>
        <x:r>
          <x:t>[Threaded comment]
Your version of Excel allows you to read this threaded comment; however, any edits to it will get removed if the file is opened in a newer version of Excel. Learn more: https://go.microsoft.com/fwlink/?linkid=870924
Comment:
    Proposed budget only, not approved or spent.</x:t>
        </x:r>
      </x:text>
    </x:comment>
    <x:comment ref="C12" authorId="7">
      <x:text>
        <x:r>
          <x:t>[Threaded comment]
Your version of Excel allows you to read this threaded comment; however, any edits to it will get removed if the file is opened in a newer version of Excel. Learn more: https://go.microsoft.com/fwlink/?linkid=870924
Comment:
    Proposed budget only, not approved or spent.</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Red](#,##0);&quot;-&quot;"/>
    <x:numFmt numFmtId="201" formatCode="&quot;$&quot;0.00000;[Red](&quot;$&quot;0.00000);&quot;-&quot;"/>
    <x:numFmt numFmtId="202" formatCode="&quot;₹&quot;0.000"/>
    <x:numFmt numFmtId="203" formatCode="#,##0.00;[Red](#,##0.00);&quot;-&quot;"/>
    <x:numFmt numFmtId="204" formatCode="0.0%;[Red](0.0%);&quot;-&quot;"/>
    <x:numFmt numFmtId="205" formatCode="0.0&quot;x&quot;"/>
  </x:numFmts>
  <x:fonts count="12">
    <x:font>
      <x:sz val="11"/>
      <x:name val="Carlito"/>
    </x:font>
    <x:font>
      <x:sz val="11"/>
      <x:color rgb="FF0000FF"/>
      <x:name val="Carlito"/>
    </x:font>
    <x:font>
      <x:sz val="11"/>
      <x:name val="Aptos"/>
    </x:font>
    <x:font>
      <x:sz val="10"/>
      <x:name val="Aptos"/>
    </x:font>
    <x:font>
      <x:b/>
      <x:sz val="18"/>
      <x:color rgb="FFFFFFFF"/>
      <x:name val="Aptos"/>
    </x:font>
    <x:font>
      <x:sz val="10"/>
      <x:color rgb="FF5B6B66"/>
      <x:name val="Aptos"/>
    </x:font>
    <x:font>
      <x:b/>
      <x:sz val="10"/>
      <x:color rgb="FF20312E"/>
      <x:name val="Aptos"/>
    </x:font>
    <x:font>
      <x:sz val="11"/>
      <x:color rgb="FF0000FF"/>
      <x:name val="Aptos"/>
    </x:font>
    <x:font>
      <x:sz val="10"/>
      <x:color rgb="FF0000FF"/>
      <x:name val="Aptos"/>
    </x:font>
    <x:font>
      <x:sz val="10"/>
      <x:color rgb="FF008000"/>
      <x:name val="Aptos"/>
    </x:font>
    <x:font>
      <x:b/>
      <x:sz val="10"/>
      <x:color rgb="FFFFFFFF"/>
      <x:name val="Aptos"/>
    </x:font>
    <x:font>
      <x:b/>
      <x:sz val="10"/>
      <x:name val="Aptos"/>
    </x:font>
  </x:fonts>
  <x:fills count="7">
    <x:fill>
      <x:patternFill patternType="none"/>
    </x:fill>
    <x:fill>
      <x:patternFill patternType="gray125"/>
    </x:fill>
    <x:fill>
      <x:patternFill patternType="solid">
        <x:fgColor rgb="FFFFF4CC"/>
      </x:patternFill>
    </x:fill>
    <x:fill>
      <x:patternFill patternType="solid">
        <x:fgColor rgb="FF20312E"/>
      </x:patternFill>
    </x:fill>
    <x:fill>
      <x:patternFill patternType="solid">
        <x:fgColor rgb="FFDEEAE1"/>
      </x:patternFill>
    </x:fill>
    <x:fill>
      <x:patternFill patternType="solid">
        <x:fgColor rgb="FFF3F6F3"/>
      </x:patternFill>
    </x:fill>
    <x:fill>
      <x:patternFill patternType="solid">
        <x:fgColor rgb="FFFFFFFF"/>
      </x:patternFill>
    </x:fill>
  </x:fills>
  <x:borders count="2">
    <x:border/>
    <x:border/>
  </x:borders>
  <x:cellStyleXfs count="1">
    <x:xf numFmtId="0" fontId="0" fillId="0" borderId="0"/>
  </x:cellStyleXfs>
  <x:cellXfs count="11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1" xfId="0" applyNumberFormat="1" applyFont="1" applyFill="1" applyBorder="1"/>
    <x:xf numFmtId="0" fontId="3" fillId="0" borderId="0" xfId="0" applyNumberFormat="1" applyFont="1" applyFill="1" applyBorder="1"/>
    <x:xf numFmtId="0" fontId="3" fillId="0" borderId="1" xfId="0" applyNumberFormat="1" applyFont="1" applyFill="1" applyBorder="1"/>
    <x:xf numFmtId="200" fontId="3" fillId="0" borderId="0" xfId="0" applyNumberFormat="1" applyFont="1" applyFill="1" applyBorder="1"/>
    <x:xf numFmtId="200" fontId="3" fillId="0" borderId="1" xfId="0" applyNumberFormat="1" applyFont="1" applyFill="1" applyBorder="1"/>
    <x:xf numFmtId="200" fontId="3" fillId="0" borderId="0" xfId="0" applyNumberFormat="1" applyFont="1" applyFill="1" applyBorder="1" applyAlignment="1">
      <x:alignment vertical="center"/>
    </x:xf>
    <x:xf numFmtId="200" fontId="3" fillId="0" borderId="1" xfId="0" applyNumberFormat="1" applyFont="1" applyFill="1" applyBorder="1" applyAlignment="1">
      <x:alignment vertical="center"/>
    </x:xf>
    <x:xf numFmtId="200" fontId="3" fillId="3" borderId="0" xfId="0" applyNumberFormat="1" applyFont="1" applyFill="1" applyBorder="1" applyAlignment="1">
      <x:alignment vertical="center"/>
    </x:xf>
    <x:xf numFmtId="200" fontId="4" fillId="3" borderId="0" xfId="0" applyNumberFormat="1" applyFont="1" applyFill="1" applyBorder="1" applyAlignment="1">
      <x:alignment vertical="center"/>
    </x:xf>
    <x:xf numFmtId="200" fontId="3" fillId="3" borderId="1" xfId="0" applyNumberFormat="1" applyFont="1" applyFill="1" applyBorder="1" applyAlignment="1">
      <x:alignment vertical="center"/>
    </x:xf>
    <x:xf numFmtId="200" fontId="4" fillId="3" borderId="1" xfId="0" applyNumberFormat="1" applyFont="1" applyFill="1" applyBorder="1" applyAlignment="1">
      <x:alignment vertical="center"/>
    </x:xf>
    <x:xf numFmtId="200" fontId="5" fillId="0" borderId="0" xfId="0" applyNumberFormat="1" applyFont="1" applyFill="1" applyBorder="1" applyAlignment="1">
      <x:alignment vertical="center"/>
    </x:xf>
    <x:xf numFmtId="200" fontId="5" fillId="0" borderId="0" xfId="0" applyNumberFormat="1" applyFont="1" applyFill="1" applyBorder="1" applyAlignment="1">
      <x:alignment vertical="center" wrapText="1"/>
    </x:xf>
    <x:xf numFmtId="200" fontId="5" fillId="0" borderId="1" xfId="0" applyNumberFormat="1" applyFont="1" applyFill="1" applyBorder="1" applyAlignment="1">
      <x:alignment vertical="center"/>
    </x:xf>
    <x:xf numFmtId="200" fontId="5" fillId="0" borderId="1" xfId="0" applyNumberFormat="1" applyFont="1" applyFill="1" applyBorder="1" applyAlignment="1">
      <x:alignment vertical="center" wrapText="1"/>
    </x:xf>
    <x:xf numFmtId="200" fontId="3" fillId="4" borderId="0" xfId="0" applyNumberFormat="1" applyFont="1" applyFill="1" applyBorder="1" applyAlignment="1">
      <x:alignment vertical="center"/>
    </x:xf>
    <x:xf numFmtId="200" fontId="6" fillId="4" borderId="0" xfId="0" applyNumberFormat="1" applyFont="1" applyFill="1" applyBorder="1" applyAlignment="1">
      <x:alignment vertical="center"/>
    </x:xf>
    <x:xf numFmtId="200" fontId="6" fillId="4" borderId="0" xfId="0" applyNumberFormat="1" applyFont="1" applyFill="1" applyBorder="1" applyAlignment="1">
      <x:alignment vertical="center" wrapText="1"/>
    </x:xf>
    <x:xf numFmtId="200" fontId="3" fillId="4" borderId="1" xfId="0" applyNumberFormat="1" applyFont="1" applyFill="1" applyBorder="1" applyAlignment="1">
      <x:alignment vertical="center"/>
    </x:xf>
    <x:xf numFmtId="200" fontId="6" fillId="4" borderId="1" xfId="0" applyNumberFormat="1" applyFont="1" applyFill="1" applyBorder="1" applyAlignment="1">
      <x:alignment vertical="center"/>
    </x:xf>
    <x:xf numFmtId="200" fontId="6" fillId="4" borderId="1" xfId="0" applyNumberFormat="1" applyFont="1" applyFill="1" applyBorder="1" applyAlignment="1">
      <x:alignment vertical="center" wrapText="1"/>
    </x:xf>
    <x:xf numFmtId="200" fontId="3" fillId="5" borderId="0" xfId="0" applyNumberFormat="1" applyFont="1" applyFill="1" applyBorder="1" applyAlignment="1">
      <x:alignment vertical="center"/>
    </x:xf>
    <x:xf numFmtId="200" fontId="3" fillId="5" borderId="1" xfId="0" applyNumberFormat="1" applyFont="1" applyFill="1" applyBorder="1" applyAlignment="1">
      <x:alignment vertical="center"/>
    </x:xf>
    <x:xf numFmtId="0" fontId="7" fillId="2" borderId="0" xfId="0" applyNumberFormat="1" applyFont="1" applyFill="1" applyBorder="1"/>
    <x:xf numFmtId="0" fontId="7" fillId="2" borderId="1" xfId="0" applyNumberFormat="1" applyFont="1" applyFill="1" applyBorder="1"/>
    <x:xf numFmtId="0" fontId="8" fillId="2" borderId="0" xfId="0" applyNumberFormat="1" applyFont="1" applyFill="1" applyBorder="1"/>
    <x:xf numFmtId="0" fontId="8" fillId="2" borderId="1" xfId="0" applyNumberFormat="1" applyFont="1" applyFill="1" applyBorder="1"/>
    <x:xf numFmtId="200" fontId="8" fillId="2" borderId="0" xfId="0" applyNumberFormat="1" applyFont="1" applyFill="1" applyBorder="1"/>
    <x:xf numFmtId="200" fontId="8" fillId="2" borderId="1" xfId="0" applyNumberFormat="1" applyFont="1" applyFill="1" applyBorder="1"/>
    <x:xf numFmtId="200" fontId="8" fillId="2" borderId="0" xfId="0" applyNumberFormat="1" applyFont="1" applyFill="1" applyBorder="1" applyAlignment="1">
      <x:alignment vertical="center"/>
    </x:xf>
    <x:xf numFmtId="200" fontId="8" fillId="2" borderId="1" xfId="0" applyNumberFormat="1" applyFont="1" applyFill="1" applyBorder="1" applyAlignment="1">
      <x:alignment vertical="center"/>
    </x:xf>
    <x:xf numFmtId="200" fontId="8" fillId="5" borderId="0" xfId="0" applyNumberFormat="1" applyFont="1" applyFill="1" applyBorder="1" applyAlignment="1">
      <x:alignment vertical="center"/>
    </x:xf>
    <x:xf numFmtId="200" fontId="8" fillId="5" borderId="1" xfId="0" applyNumberFormat="1" applyFont="1" applyFill="1" applyBorder="1" applyAlignment="1">
      <x:alignment vertical="center"/>
    </x:xf>
    <x:xf numFmtId="200" fontId="3" fillId="5" borderId="0" xfId="0" applyNumberFormat="1" applyFont="1" applyFill="1" applyBorder="1" applyAlignment="1">
      <x:alignment vertical="center" wrapText="1"/>
    </x:xf>
    <x:xf numFmtId="200" fontId="3" fillId="0" borderId="0" xfId="0" applyNumberFormat="1" applyFont="1" applyFill="1" applyBorder="1" applyAlignment="1">
      <x:alignment vertical="center" wrapText="1"/>
    </x:xf>
    <x:xf numFmtId="200" fontId="3" fillId="5" borderId="1" xfId="0" applyNumberFormat="1" applyFont="1" applyFill="1" applyBorder="1" applyAlignment="1">
      <x:alignment vertical="center" wrapText="1"/>
    </x:xf>
    <x:xf numFmtId="200" fontId="3" fillId="0" borderId="1" xfId="0" applyNumberFormat="1" applyFont="1" applyFill="1" applyBorder="1" applyAlignment="1">
      <x:alignment vertical="center" wrapText="1"/>
    </x:xf>
    <x:xf numFmtId="200" fontId="3" fillId="4" borderId="0" xfId="0" applyNumberFormat="1" applyFont="1" applyFill="1" applyBorder="1" applyAlignment="1">
      <x:alignment vertical="center" wrapText="1"/>
    </x:xf>
    <x:xf numFmtId="200" fontId="3" fillId="4" borderId="1" xfId="0" applyNumberFormat="1" applyFont="1" applyFill="1" applyBorder="1" applyAlignment="1">
      <x:alignment vertical="center" wrapText="1"/>
    </x:xf>
    <x:xf numFmtId="200" fontId="9" fillId="0" borderId="0" xfId="0" applyNumberFormat="1" applyFont="1" applyFill="1" applyBorder="1" applyAlignment="1">
      <x:alignment vertical="center"/>
    </x:xf>
    <x:xf numFmtId="200" fontId="9" fillId="5" borderId="0" xfId="0" applyNumberFormat="1" applyFont="1" applyFill="1" applyBorder="1" applyAlignment="1">
      <x:alignment vertical="center"/>
    </x:xf>
    <x:xf numFmtId="200" fontId="9" fillId="0" borderId="1" xfId="0" applyNumberFormat="1" applyFont="1" applyFill="1" applyBorder="1" applyAlignment="1">
      <x:alignment vertical="center"/>
    </x:xf>
    <x:xf numFmtId="200" fontId="9" fillId="5" borderId="1" xfId="0" applyNumberFormat="1" applyFont="1" applyFill="1" applyBorder="1" applyAlignment="1">
      <x:alignment vertical="center"/>
    </x:xf>
    <x:xf numFmtId="201" fontId="9" fillId="0" borderId="0" xfId="0" applyNumberFormat="1" applyFont="1" applyFill="1" applyBorder="1" applyAlignment="1">
      <x:alignment vertical="center"/>
    </x:xf>
    <x:xf numFmtId="201" fontId="9" fillId="0" borderId="1" xfId="0" applyNumberFormat="1" applyFont="1" applyFill="1" applyBorder="1" applyAlignment="1">
      <x:alignment vertical="center"/>
    </x:xf>
    <x:xf numFmtId="202" fontId="9" fillId="5" borderId="0" xfId="0" applyNumberFormat="1" applyFont="1" applyFill="1" applyBorder="1" applyAlignment="1">
      <x:alignment vertical="center"/>
    </x:xf>
    <x:xf numFmtId="202" fontId="9" fillId="5" borderId="1" xfId="0" applyNumberFormat="1" applyFont="1" applyFill="1" applyBorder="1" applyAlignment="1">
      <x:alignment vertical="center"/>
    </x:xf>
    <x:xf numFmtId="200" fontId="10" fillId="3" borderId="0" xfId="0" applyNumberFormat="1" applyFont="1" applyFill="1" applyBorder="1" applyAlignment="1">
      <x:alignment vertical="center"/>
    </x:xf>
    <x:xf numFmtId="200" fontId="10" fillId="3" borderId="1" xfId="0" applyNumberFormat="1" applyFont="1" applyFill="1" applyBorder="1" applyAlignment="1">
      <x:alignment vertical="center"/>
    </x:xf>
    <x:xf numFmtId="200" fontId="8" fillId="5" borderId="0" xfId="0" applyNumberFormat="1" applyFont="1" applyFill="1" applyBorder="1" applyAlignment="1">
      <x:alignment vertical="center" wrapText="1"/>
    </x:xf>
    <x:xf numFmtId="200" fontId="8" fillId="2" borderId="0" xfId="0" applyNumberFormat="1" applyFont="1" applyFill="1" applyBorder="1" applyAlignment="1">
      <x:alignment vertical="center" wrapText="1"/>
    </x:xf>
    <x:xf numFmtId="200" fontId="8" fillId="5" borderId="1" xfId="0" applyNumberFormat="1" applyFont="1" applyFill="1" applyBorder="1" applyAlignment="1">
      <x:alignment vertical="center" wrapText="1"/>
    </x:xf>
    <x:xf numFmtId="200" fontId="8" fillId="2" borderId="1" xfId="0" applyNumberFormat="1" applyFont="1" applyFill="1" applyBorder="1" applyAlignment="1">
      <x:alignment vertical="center" wrapText="1"/>
    </x:xf>
    <x:xf numFmtId="203" fontId="8" fillId="2" borderId="0" xfId="0" applyNumberFormat="1" applyFont="1" applyFill="1" applyBorder="1" applyAlignment="1">
      <x:alignment vertical="center" wrapText="1"/>
    </x:xf>
    <x:xf numFmtId="203" fontId="8" fillId="2" borderId="1" xfId="0" applyNumberFormat="1" applyFont="1" applyFill="1" applyBorder="1" applyAlignment="1">
      <x:alignment vertical="center" wrapText="1"/>
    </x:xf>
    <x:xf numFmtId="204" fontId="8" fillId="2" borderId="0" xfId="0" applyNumberFormat="1" applyFont="1" applyFill="1" applyBorder="1" applyAlignment="1">
      <x:alignment vertical="center" wrapText="1"/>
    </x:xf>
    <x:xf numFmtId="204" fontId="8" fillId="2" borderId="1" xfId="0" applyNumberFormat="1" applyFont="1" applyFill="1" applyBorder="1" applyAlignment="1">
      <x:alignment vertical="center" wrapText="1"/>
    </x:xf>
    <x:xf numFmtId="203" fontId="3" fillId="5" borderId="0" xfId="0" applyNumberFormat="1" applyFont="1" applyFill="1" applyBorder="1" applyAlignment="1">
      <x:alignment vertical="center" wrapText="1"/>
    </x:xf>
    <x:xf numFmtId="203" fontId="3" fillId="0" borderId="0" xfId="0" applyNumberFormat="1" applyFont="1" applyFill="1" applyBorder="1" applyAlignment="1">
      <x:alignment vertical="center" wrapText="1"/>
    </x:xf>
    <x:xf numFmtId="203" fontId="3" fillId="5" borderId="1" xfId="0" applyNumberFormat="1" applyFont="1" applyFill="1" applyBorder="1" applyAlignment="1">
      <x:alignment vertical="center" wrapText="1"/>
    </x:xf>
    <x:xf numFmtId="203" fontId="3" fillId="0" borderId="1" xfId="0" applyNumberFormat="1" applyFont="1" applyFill="1" applyBorder="1" applyAlignment="1">
      <x:alignment vertical="center" wrapText="1"/>
    </x:xf>
    <x:xf numFmtId="204" fontId="3" fillId="0" borderId="0" xfId="0" applyNumberFormat="1" applyFont="1" applyFill="1" applyBorder="1" applyAlignment="1">
      <x:alignment vertical="center" wrapText="1"/>
    </x:xf>
    <x:xf numFmtId="204" fontId="3" fillId="0" borderId="1" xfId="0" applyNumberFormat="1" applyFont="1" applyFill="1" applyBorder="1" applyAlignment="1">
      <x:alignment vertical="center" wrapText="1"/>
    </x:xf>
    <x:xf numFmtId="205" fontId="3" fillId="5" borderId="0" xfId="0" applyNumberFormat="1" applyFont="1" applyFill="1" applyBorder="1" applyAlignment="1">
      <x:alignment vertical="center" wrapText="1"/>
    </x:xf>
    <x:xf numFmtId="205" fontId="3" fillId="5" borderId="1" xfId="0" applyNumberFormat="1" applyFont="1" applyFill="1" applyBorder="1" applyAlignment="1">
      <x:alignment vertical="center" wrapText="1"/>
    </x:xf>
    <x:xf numFmtId="200" fontId="3" fillId="3" borderId="0" xfId="0" applyNumberFormat="1" applyFont="1" applyFill="1" applyBorder="1" applyAlignment="1">
      <x:alignment vertical="center" wrapText="1"/>
    </x:xf>
    <x:xf numFmtId="203" fontId="3" fillId="3" borderId="0" xfId="0" applyNumberFormat="1" applyFont="1" applyFill="1" applyBorder="1" applyAlignment="1">
      <x:alignment vertical="center" wrapText="1"/>
    </x:xf>
    <x:xf numFmtId="200" fontId="10" fillId="3" borderId="0" xfId="0" applyNumberFormat="1" applyFont="1" applyFill="1" applyBorder="1" applyAlignment="1">
      <x:alignment vertical="center" wrapText="1"/>
    </x:xf>
    <x:xf numFmtId="203" fontId="10" fillId="3" borderId="0" xfId="0" applyNumberFormat="1" applyFont="1" applyFill="1" applyBorder="1" applyAlignment="1">
      <x:alignment vertical="center" wrapText="1"/>
    </x:xf>
    <x:xf numFmtId="200" fontId="3" fillId="3" borderId="1" xfId="0" applyNumberFormat="1" applyFont="1" applyFill="1" applyBorder="1" applyAlignment="1">
      <x:alignment vertical="center" wrapText="1"/>
    </x:xf>
    <x:xf numFmtId="203" fontId="3" fillId="3" borderId="1" xfId="0" applyNumberFormat="1" applyFont="1" applyFill="1" applyBorder="1" applyAlignment="1">
      <x:alignment vertical="center" wrapText="1"/>
    </x:xf>
    <x:xf numFmtId="200" fontId="10" fillId="3" borderId="1" xfId="0" applyNumberFormat="1" applyFont="1" applyFill="1" applyBorder="1" applyAlignment="1">
      <x:alignment vertical="center" wrapText="1"/>
    </x:xf>
    <x:xf numFmtId="203" fontId="10" fillId="3" borderId="1" xfId="0" applyNumberFormat="1" applyFont="1" applyFill="1" applyBorder="1" applyAlignment="1">
      <x:alignment vertical="center" wrapText="1"/>
    </x:xf>
    <x:xf numFmtId="203" fontId="3" fillId="4" borderId="0" xfId="0" applyNumberFormat="1" applyFont="1" applyFill="1" applyBorder="1" applyAlignment="1">
      <x:alignment vertical="center" wrapText="1"/>
    </x:xf>
    <x:xf numFmtId="203" fontId="6" fillId="4" borderId="0" xfId="0" applyNumberFormat="1" applyFont="1" applyFill="1" applyBorder="1" applyAlignment="1">
      <x:alignment vertical="center" wrapText="1"/>
    </x:xf>
    <x:xf numFmtId="203" fontId="3" fillId="4" borderId="1" xfId="0" applyNumberFormat="1" applyFont="1" applyFill="1" applyBorder="1" applyAlignment="1">
      <x:alignment vertical="center" wrapText="1"/>
    </x:xf>
    <x:xf numFmtId="203" fontId="6" fillId="4" borderId="1" xfId="0" applyNumberFormat="1" applyFont="1" applyFill="1" applyBorder="1" applyAlignment="1">
      <x:alignment vertical="center" wrapText="1"/>
    </x:xf>
    <x:xf numFmtId="204" fontId="3" fillId="5" borderId="0" xfId="0" applyNumberFormat="1" applyFont="1" applyFill="1" applyBorder="1" applyAlignment="1">
      <x:alignment vertical="center"/>
    </x:xf>
    <x:xf numFmtId="204" fontId="3" fillId="0" borderId="0" xfId="0" applyNumberFormat="1" applyFont="1" applyFill="1" applyBorder="1" applyAlignment="1">
      <x:alignment vertical="center"/>
    </x:xf>
    <x:xf numFmtId="204" fontId="3" fillId="5" borderId="1" xfId="0" applyNumberFormat="1" applyFont="1" applyFill="1" applyBorder="1" applyAlignment="1">
      <x:alignment vertical="center"/>
    </x:xf>
    <x:xf numFmtId="204" fontId="3" fillId="0" borderId="1" xfId="0" applyNumberFormat="1" applyFont="1" applyFill="1" applyBorder="1" applyAlignment="1">
      <x:alignment vertical="center"/>
    </x:xf>
    <x:xf numFmtId="204" fontId="3" fillId="4" borderId="0" xfId="0" applyNumberFormat="1" applyFont="1" applyFill="1" applyBorder="1" applyAlignment="1">
      <x:alignment vertical="center"/>
    </x:xf>
    <x:xf numFmtId="204" fontId="3" fillId="4" borderId="1" xfId="0" applyNumberFormat="1" applyFont="1" applyFill="1" applyBorder="1" applyAlignment="1">
      <x:alignment vertical="center"/>
    </x:xf>
    <x:xf numFmtId="204" fontId="8" fillId="5" borderId="0" xfId="0" applyNumberFormat="1" applyFont="1" applyFill="1" applyBorder="1" applyAlignment="1">
      <x:alignment vertical="center"/>
    </x:xf>
    <x:xf numFmtId="200" fontId="8" fillId="0" borderId="0" xfId="0" applyNumberFormat="1" applyFont="1" applyFill="1" applyBorder="1" applyAlignment="1">
      <x:alignment vertical="center"/>
    </x:xf>
    <x:xf numFmtId="204" fontId="8" fillId="0" borderId="0" xfId="0" applyNumberFormat="1" applyFont="1" applyFill="1" applyBorder="1" applyAlignment="1">
      <x:alignment vertical="center"/>
    </x:xf>
    <x:xf numFmtId="204" fontId="8" fillId="5" borderId="1" xfId="0" applyNumberFormat="1" applyFont="1" applyFill="1" applyBorder="1" applyAlignment="1">
      <x:alignment vertical="center"/>
    </x:xf>
    <x:xf numFmtId="200" fontId="8" fillId="0" borderId="1" xfId="0" applyNumberFormat="1" applyFont="1" applyFill="1" applyBorder="1" applyAlignment="1">
      <x:alignment vertical="center"/>
    </x:xf>
    <x:xf numFmtId="204" fontId="8" fillId="0" borderId="1" xfId="0" applyNumberFormat="1" applyFont="1" applyFill="1" applyBorder="1" applyAlignment="1">
      <x:alignment vertical="center"/>
    </x:xf>
    <x:xf numFmtId="203" fontId="3" fillId="5" borderId="0" xfId="0" applyNumberFormat="1" applyFont="1" applyFill="1" applyBorder="1" applyAlignment="1">
      <x:alignment vertical="center"/>
    </x:xf>
    <x:xf numFmtId="203" fontId="3" fillId="0" borderId="0" xfId="0" applyNumberFormat="1" applyFont="1" applyFill="1" applyBorder="1" applyAlignment="1">
      <x:alignment vertical="center"/>
    </x:xf>
    <x:xf numFmtId="203" fontId="3" fillId="5" borderId="1" xfId="0" applyNumberFormat="1" applyFont="1" applyFill="1" applyBorder="1" applyAlignment="1">
      <x:alignment vertical="center"/>
    </x:xf>
    <x:xf numFmtId="203" fontId="3" fillId="0" borderId="1" xfId="0" applyNumberFormat="1" applyFont="1" applyFill="1" applyBorder="1" applyAlignment="1">
      <x:alignment vertical="center"/>
    </x:xf>
    <x:xf numFmtId="200" fontId="11" fillId="4" borderId="0" xfId="0" applyNumberFormat="1" applyFont="1" applyFill="1" applyBorder="1" applyAlignment="1">
      <x:alignment vertical="center"/>
    </x:xf>
    <x:xf numFmtId="200" fontId="11" fillId="4" borderId="0" xfId="0" applyNumberFormat="1" applyFont="1" applyFill="1" applyBorder="1" applyAlignment="1">
      <x:alignment vertical="center" wrapText="1"/>
    </x:xf>
    <x:xf numFmtId="200" fontId="11" fillId="4" borderId="1" xfId="0" applyNumberFormat="1" applyFont="1" applyFill="1" applyBorder="1" applyAlignment="1">
      <x:alignment vertical="center"/>
    </x:xf>
    <x:xf numFmtId="200" fontId="11" fillId="4" borderId="1" xfId="0" applyNumberFormat="1" applyFont="1" applyFill="1" applyBorder="1" applyAlignment="1">
      <x:alignment vertical="center" wrapText="1"/>
    </x:xf>
    <x:xf numFmtId="203" fontId="9" fillId="5" borderId="0" xfId="0" applyNumberFormat="1" applyFont="1" applyFill="1" applyBorder="1" applyAlignment="1">
      <x:alignment vertical="center" wrapText="1"/>
    </x:xf>
    <x:xf numFmtId="204" fontId="9" fillId="0" borderId="0" xfId="0" applyNumberFormat="1" applyFont="1" applyFill="1" applyBorder="1" applyAlignment="1">
      <x:alignment vertical="center" wrapText="1"/>
    </x:xf>
    <x:xf numFmtId="203" fontId="9" fillId="5" borderId="1" xfId="0" applyNumberFormat="1" applyFont="1" applyFill="1" applyBorder="1" applyAlignment="1">
      <x:alignment vertical="center" wrapText="1"/>
    </x:xf>
    <x:xf numFmtId="204" fontId="9" fillId="0" borderId="1" xfId="0" applyNumberFormat="1" applyFont="1" applyFill="1" applyBorder="1" applyAlignment="1">
      <x:alignment vertical="center" wrapText="1"/>
    </x:xf>
    <x:xf numFmtId="203" fontId="9" fillId="0" borderId="0" xfId="0" applyNumberFormat="1" applyFont="1" applyFill="1" applyBorder="1" applyAlignment="1">
      <x:alignment vertical="center" wrapText="1"/>
    </x:xf>
    <x:xf numFmtId="203" fontId="9" fillId="0" borderId="1" xfId="0" applyNumberFormat="1" applyFont="1" applyFill="1" applyBorder="1" applyAlignment="1">
      <x:alignment vertical="center" wrapText="1"/>
    </x:xf>
    <x:xf numFmtId="203" fontId="9" fillId="5" borderId="0" xfId="0" applyNumberFormat="1" applyFont="1" applyFill="1" applyBorder="1" applyAlignment="1">
      <x:alignment vertical="center"/>
    </x:xf>
    <x:xf numFmtId="203" fontId="9" fillId="0" borderId="0" xfId="0" applyNumberFormat="1" applyFont="1" applyFill="1" applyBorder="1" applyAlignment="1">
      <x:alignment vertical="center"/>
    </x:xf>
    <x:xf numFmtId="203" fontId="9" fillId="5" borderId="1" xfId="0" applyNumberFormat="1" applyFont="1" applyFill="1" applyBorder="1" applyAlignment="1">
      <x:alignment vertical="center"/>
    </x:xf>
    <x:xf numFmtId="203" fontId="9" fillId="0" borderId="1" xfId="0" applyNumberFormat="1" applyFont="1" applyFill="1" applyBorder="1" applyAlignment="1">
      <x:alignment vertical="center"/>
    </x:xf>
    <x:xf numFmtId="200" fontId="6" fillId="6" borderId="0" xfId="0" applyNumberFormat="1" applyFont="1" applyFill="1" applyBorder="1" applyAlignment="1">
      <x:alignment vertical="center" wrapText="1"/>
    </x:xf>
    <x:xf numFmtId="200" fontId="6" fillId="6" borderId="1" xfId="0" applyNumberFormat="1" applyFont="1" applyFill="1" applyBorder="1" applyAlignment="1">
      <x:alignment vertical="center" wrapText="1"/>
    </x:xf>
  </x:cellXfs>
  <x:cellStyles count="1">
    <x:cellStyle name="Normal" xfId="0"/>
  </x:cellStyles>
  <x:dxfs count="3">
    <x:dxf>
      <x:font>
        <x:color rgb="FFCC3333"/>
      </x:font>
    </x:dxf>
    <x:dxf>
      <x:font>
        <x:color rgb="FFCC3333"/>
      </x:font>
    </x:dxf>
    <x:dxf>
      <x:font>
        <x:color rgb="FFCC3333"/>
      </x:font>
    </x:dxf>
  </x:dxfs>
</x:styleSheet>
</file>

<file path=xl/_rels/workbook.xml.rels>&#65279;<?xml version="1.0" encoding="utf-8"?><Relationships xmlns="http://schemas.openxmlformats.org/package/2006/relationships"><Relationship Type="http://schemas.openxmlformats.org/officeDocument/2006/relationships/styles" Target="/xl/styles.xml" Id="Raaebe1d3f6874450" /><Relationship Type="http://schemas.openxmlformats.org/officeDocument/2006/relationships/theme" Target="/xl/theme/theme1.xml" Id="R0af73201ec614ff0" /><Relationship Type="http://schemas.openxmlformats.org/officeDocument/2006/relationships/sharedStrings" Target="/xl/sharedStrings.xml" Id="Rbc5278cf2d074738" /><Relationship Type="http://schemas.openxmlformats.org/officeDocument/2006/relationships/worksheet" Target="/xl/worksheets/sheet1.xml" Id="R864eb2d9ce37437b" /><Relationship Type="http://schemas.openxmlformats.org/officeDocument/2006/relationships/worksheet" Target="/xl/worksheets/sheet2.xml" Id="R698b43e1e5f945da" /><Relationship Type="http://schemas.openxmlformats.org/officeDocument/2006/relationships/worksheet" Target="/xl/worksheets/sheet3.xml" Id="R8328dc0194794c97" /><Relationship Type="http://schemas.openxmlformats.org/officeDocument/2006/relationships/worksheet" Target="/xl/worksheets/sheet4.xml" Id="Ra60e3af4a91a4a8b" /><Relationship Type="http://schemas.openxmlformats.org/officeDocument/2006/relationships/worksheet" Target="/xl/worksheets/sheet5.xml" Id="R15f969a13a454e00" /><Relationship Type="http://schemas.openxmlformats.org/officeDocument/2006/relationships/worksheet" Target="/xl/worksheets/sheet6.xml" Id="Rb41461746989429a" /><Relationship Type="http://schemas.openxmlformats.org/officeDocument/2006/relationships/worksheet" Target="/xl/worksheets/sheet7.xml" Id="R105ecb812c8d4175" /><Relationship Type="http://schemas.openxmlformats.org/officeDocument/2006/relationships/worksheet" Target="/xl/worksheets/sheet8.xml" Id="Rb75fc49254de4ee9" /><Relationship Type="http://schemas.microsoft.com/office/2017/10/relationships/person" Target="/xl/persons/person.xml" Id="R14699d97bdc047ad" /></Relationships>
</file>

<file path=xl/drawings/_rels/drawing1.xml.rels>&#65279;<?xml version="1.0" encoding="utf-8"?><Relationships xmlns="http://schemas.openxmlformats.org/package/2006/relationships"><Relationship Type="http://schemas.openxmlformats.org/officeDocument/2006/relationships/chart" Target="/xl/drawings/charts/chart1.xml" Id="Rfa7969f16f5c469d" /></Relationships>
</file>

<file path=xl/drawings/charts/chart1.xml><?xml version="1.0" encoding="utf-8"?>
<c:chartSpace xmlns:c="http://schemas.openxmlformats.org/drawingml/2006/chart">
  <c:lang val="en-US"/>
  <c:roundedCorners val="0"/>
  <c:chart>
    <c:plotArea>
      <c:barChart>
        <c:barDir val="col"/>
        <c:varyColors val="0"/>
        <c:ser>
          <c:idx val="0"/>
          <c:order val="0"/>
          <c:tx>
            <c:v>Monthly operating surplus</c:v>
          </c:tx>
          <c:cat>
            <c:strRef>
              <c:f>'Steady State'!$A$5:$A$7</c:f>
              <c:strCache>
                <c:ptCount val="0"/>
              </c:strCache>
            </c:strRef>
          </c:cat>
          <c:val>
            <c:numRef>
              <c:f>'Steady State'!$I$5:$I$7</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0</xdr:col>
      <xdr:colOff>0</xdr:colOff>
      <xdr:row>34</xdr:row>
      <xdr:rowOff>0</xdr:rowOff>
    </xdr:from>
    <xdr:to>
      <xdr:col>4</xdr:col>
      <xdr:colOff>0</xdr:colOff>
      <xdr:row>51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fa7969f16f5c469d"/>
        </a:graphicData>
      </a:graphic>
    </xdr:graphicFrame>
    <xdr:clientData/>
  </xdr:twoCellAnchor>
</xdr:wsDr>
</file>

<file path=xl/persons/person.xml><?xml version="1.0" encoding="utf-8"?>
<xltc:personList xmlns:xltc="http://schemas.microsoft.com/office/spreadsheetml/2018/threadedcomments">
  <xltc:person displayName="Model notes" id="{4FC11D96-DF10-4834-A6E7-D5982472A2D5}"/>
</xltc: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B5" dT="2026-09-27T17:30:24.494" personId="{4FC11D96-DF10-4834-A6E7-D5982472A2D5}" id="{EC5BE9AA-F5C4-C619-FD80-8187C0107197}">
    <xltc:text>Source: Planning assumption, not a measured result.
Model convention, NOT a current FX quote. Change to actual settlement rate.
Checked: 27 September 2026.</xltc:text>
  </xltc:threadedComment>
  <xltc:threadedComment ref="B6" dT="2026-09-27T17:30:24.494" personId="{4FC11D96-DF10-4834-A6E7-D5982472A2D5}" id="{91F3BC3C-17C2-54FB-9BD5-84AE70FDFEA5}">
    <xltc:text>Source: Planning assumption, not a measured result.
Calendar constant.
Checked: 27 September 2026.</xltc:text>
  </xltc:threadedComment>
  <xltc:threadedComment ref="B7" dT="2026-09-27T17:30:24.494" personId="{4FC11D96-DF10-4834-A6E7-D5982472A2D5}" id="{8BFDB410-7A39-0E78-3511-C9237AB43E6B}">
    <xltc:text>Source: Planning assumption, not a measured result.
Proposed price, inclusive of the modeled India tax.
Checked: 27 September 2026.</xltc:text>
  </xltc:threadedComment>
  <xltc:threadedComment ref="B8" dT="2026-09-27T17:30:24.494" personId="{4FC11D96-DF10-4834-A6E7-D5982472A2D5}" id="{D7F86990-28F1-357C-33B9-8AC19B4971ED}">
    <xltc:text>Source: Planning assumption, not a measured result.
Proposed price; annual-only scenarios below do not count monthly subscribers.
Checked: 27 September 2026.</xltc:text>
  </xltc:threadedComment>
  <xltc:threadedComment ref="B9" dT="2026-09-27T17:30:24.494" personId="{4FC11D96-DF10-4834-A6E7-D5982472A2D5}" id="{DBC8D9AF-6082-DACC-61B0-C852FBF1F0C5}">
    <xltc:text>Source: Planning assumption, not a measured result.
Proposed US/global anchor before local tax; regional pricing must be localized.
Checked: 27 September 2026.</xltc:text>
  </xltc:threadedComment>
  <xltc:threadedComment ref="B10" dT="2026-09-27T17:30:24.494" personId="{4FC11D96-DF10-4834-A6E7-D5982472A2D5}" id="{88BE869D-88CD-8764-C4F6-2464FF026145}">
    <xltc:text>Source: Planning assumption, not a measured result.
Proposed price; not annual revenue per user.
Checked: 27 September 2026.</xltc:text>
  </xltc:threadedComment>
  <xltc:threadedComment ref="B11" dT="2026-09-27T17:30:24.495" personId="{4FC11D96-DF10-4834-A6E7-D5982472A2D5}" id="{DE8CC4EE-525A-DC67-FC6B-A307EBC1EA62}">
    <xltc:text>Source: Planning assumption, not a measured result.
Planning assumption, not a tax determination. Accountant to verify GST treatment and registration.
Checked: 27 September 2026.</xltc:text>
  </xltc:threadedComment>
  <xltc:threadedComment ref="B12" dT="2026-09-27T17:30:24.495" personId="{4FC11D96-DF10-4834-A6E7-D5982472A2D5}" id="{4EB642FD-D720-B789-FCF1-F4471779DB84}">
    <xltc:text>Source: Planning assumption, not a measured result.
Base treats USD sticker as pre-tax. Enter e.g. 20% to stress a tax-inclusive same-price sale.
Checked: 27 September 2026.</xltc:text>
  </xltc:threadedComment>
  <xltc:threadedComment ref="B13" dT="2026-09-27T17:30:24.495" personId="{4FC11D96-DF10-4834-A6E7-D5982472A2D5}" id="{3A6F71EE-6D22-59E1-66B1-5F0B81632BC7}">
    <xltc:text>Source: https://developer.apple.com/app-store/small-business-program/
Apple small-business eligibility and standard Play billing assumptions; verify region before release.
Checked: 27 September 2026.</xltc:text>
  </xltc:threadedComment>
  <xltc:threadedComment ref="B14" dT="2026-09-27T17:30:24.495" personId="{4FC11D96-DF10-4834-A6E7-D5982472A2D5}" id="{45697615-B70F-A242-1E90-1BAE44690352}">
    <xltc:text>Source: https://razorpay.com/solutions/e-commerce/
Standard domestic rate with GST on fee; conservative: no fee-GST input credit.
Checked: 27 September 2026.</xltc:text>
  </xltc:threadedComment>
  <xltc:threadedComment ref="B15" dT="2026-09-27T17:30:24.495" personId="{4FC11D96-DF10-4834-A6E7-D5982472A2D5}" id="{AB2D757E-0C22-D00A-A0F1-6567849410F6}">
    <xltc:text>Source: https://www.paddle.com/pricing
Paddle standard rate; model excludes FX/settlement extras, covered only by configurable reserves.
Checked: 27 September 2026.</xltc:text>
  </xltc:threadedComment>
  <xltc:threadedComment ref="B16" dT="2026-09-27T17:30:24.495" personId="{4FC11D96-DF10-4834-A6E7-D5982472A2D5}" id="{2FCDDA79-2A73-7F8C-4346-0EEF54DA4AAE}">
    <xltc:text>Source: https://www.paddle.com/pricing
One annual payment, not twelve monthly transaction fees.
Checked: 27 September 2026.</xltc:text>
  </xltc:threadedComment>
  <xltc:threadedComment ref="B17" dT="2026-09-27T17:30:24.495" personId="{4FC11D96-DF10-4834-A6E7-D5982472A2D5}" id="{DA0D2374-1FEA-BA8D-8FD4-77DE04F50119}">
    <xltc:text>Source: Planning assumption, not a measured result.
Planning reserve. Fees conservatively assumed non-refundable; replace with actual refund cohort data.
Checked: 27 September 2026.</xltc:text>
  </xltc:threadedComment>
  <xltc:threadedComment ref="B18" dT="2026-09-27T17:30:24.495" personId="{4FC11D96-DF10-4834-A6E7-D5982472A2D5}" id="{0A9961FA-03B7-3350-07D3-3CAE97B18A60}">
    <xltc:text>Source: https://www.revenuecat.com/pricing
Conservative all-scale reserve. Actual RevenueCat bill is zero below its threshold.
Checked: 27 September 2026.</xltc:text>
  </xltc:threadedComment>
  <xltc:threadedComment ref="B19" dT="2026-09-27T17:30:24.495" personId="{4FC11D96-DF10-4834-A6E7-D5982472A2D5}" id="{9FB0693E-B080-B168-3587-0AA13CB03FBF}">
    <xltc:text>Source: https://developers.openai.com/api/docs/models/gpt-5.6-luna
Published model price checked 2026-09-27.
Checked: 27 September 2026.</xltc:text>
  </xltc:threadedComment>
  <xltc:threadedComment ref="B20" dT="2026-09-27T17:30:24.495" personId="{4FC11D96-DF10-4834-A6E7-D5982472A2D5}" id="{5866E5DF-3F70-776A-2A71-620D93A645F1}">
    <xltc:text>Source: https://developers.openai.com/api/docs/models/gpt-5.6-luna
Published model price checked 2026-09-27.
Checked: 27 September 2026.</xltc:text>
  </xltc:threadedComment>
  <xltc:threadedComment ref="B21" dT="2026-09-27T17:30:24.495" personId="{4FC11D96-DF10-4834-A6E7-D5982472A2D5}" id="{FD2D90ED-3374-0443-CB5D-E53DE33827F8}">
    <xltc:text>Source: Planning assumption, not a measured result.
Unmeasured planning assumption, includes schema and bounded context.
Checked: 27 September 2026.</xltc:text>
  </xltc:threadedComment>
  <xltc:threadedComment ref="B22" dT="2026-09-27T17:30:24.495" personId="{4FC11D96-DF10-4834-A6E7-D5982472A2D5}" id="{31BA6172-6893-AC4A-937A-E8177C498FA8}">
    <xltc:text>Source: Planning assumption, not a measured result.
Unmeasured planning assumption, includes all billed output.
Checked: 27 September 2026.</xltc:text>
  </xltc:threadedComment>
  <xltc:threadedComment ref="B23" dT="2026-09-27T17:30:24.495" personId="{4FC11D96-DF10-4834-A6E7-D5982472A2D5}" id="{2DF14CAB-0851-4DFB-796B-3E7167250B30}">
    <xltc:text>Source: Planning assumption, not a measured result.
25% overhead allowance; measure real cost per completed job. Not a measured retry rate.
Checked: 27 September 2026.</xltc:text>
  </xltc:threadedComment>
  <xltc:threadedComment ref="B24" dT="2026-09-27T17:30:24.495" personId="{4FC11D96-DF10-4834-A6E7-D5982472A2D5}" id="{91F1AF51-8FD2-C53B-C48B-176CE3EAA408}">
    <xltc:text>Source: Planning assumption, not a measured result.
Average usage assumption, NOT the plan's maximum allowance.
Checked: 27 September 2026.</xltc:text>
  </xltc:threadedComment>
  <xltc:threadedComment ref="B25" dT="2026-09-27T17:30:24.495" personId="{4FC11D96-DF10-4834-A6E7-D5982472A2D5}" id="{FF66245F-B080-8148-0B9F-030A0C831B91}">
    <xltc:text>Source: Planning assumption, not a measured result.
Proposed maximum per month and conservative average for this model.
Checked: 27 September 2026.</xltc:text>
  </xltc:threadedComment>
  <xltc:threadedComment ref="B26" dT="2026-09-27T17:30:24.495" personId="{4FC11D96-DF10-4834-A6E7-D5982472A2D5}" id="{E96A1ADD-2F48-E8FB-AFC7-7BDE7CD9E3AD}">
    <xltc:text>Source: Planning assumption, not a measured result.
Working assumption; counts monthly-active free users, not lifetime signups.
Checked: 27 September 2026.</xltc:text>
  </xltc:threadedComment>
  <xltc:threadedComment ref="B27" dT="2026-09-27T17:30:24.495" personId="{4FC11D96-DF10-4834-A6E7-D5982472A2D5}" id="{6F49065A-C054-6EBC-C7AA-B25B71287ADB}">
    <xltc:text>Source: Planning assumption, not a measured result.
Cash allowance, not payroll. Founder support time is shown separately.
Checked: 27 September 2026.</xltc:text>
  </xltc:threadedComment>
  <xltc:threadedComment ref="B28" dT="2026-09-27T17:30:24.495" personId="{4FC11D96-DF10-4834-A6E7-D5982472A2D5}" id="{3E5F7C2D-318A-19E8-2E46-E9E08D52BD5B}">
    <xltc:text>Source: Planning assumption, not a measured result.
Illustrative sales mix, not an observed audience.
Checked: 27 September 2026.</xltc:text>
  </xltc:threadedComment>
  <xltc:threadedComment ref="B29" dT="2026-09-27T17:30:24.495" personId="{4FC11D96-DF10-4834-A6E7-D5982472A2D5}" id="{798F3E2B-16CC-65A5-C79D-9F0B752956A3}">
    <xltc:text>Source: Planning assumption, not a measured result.
Illustrative channel mix, not a predicted result.
Checked: 27 September 2026.</xltc:text>
  </xltc:threadedComment>
  <xltc:threadedComment ref="B30" dT="2026-09-27T17:30:24.495" personId="{4FC11D96-DF10-4834-A6E7-D5982472A2D5}" id="{A906448A-1E03-7E34-709D-600B582CA941}">
    <xltc:text>Source: Planning assumption, not a measured result.
Proposed safety rule, not an industry benchmark.
Checked: 27 September 2026.</xltc:text>
  </xltc:threadedComment>
  <xltc:threadedComment ref="B31" dT="2026-09-27T17:30:24.495" personId="{4FC11D96-DF10-4834-A6E7-D5982472A2D5}" id="{ED0EC44F-88AF-7A22-1CB0-9EED12F0C895}">
    <xltc:text>Source: Planning assumption, not a measured result.
Conservative planning scenario; unknown until real annual cohorts mature.
Checked: 27 September 2026.</xltc:text>
  </xltc:threadedComment>
  <xltc:threadedComment ref="B32" dT="2026-09-27T17:30:24.495" personId="{4FC11D96-DF10-4834-A6E7-D5982472A2D5}" id="{A2CC06D7-76B6-D128-2D42-EF07C4387BAD}">
    <xltc:text>Source: Planning assumption, not a measured result.
Includes media, allocated creatives and affiliate cost. Unmeasured target scenario.
Checked: 27 September 2026.</xltc:text>
  </xltc:threadedComment>
  <xltc:threadedComment ref="B33" dT="2026-09-27T17:30:24.495" personId="{4FC11D96-DF10-4834-A6E7-D5982472A2D5}" id="{0E099AC8-4EFB-EF28-0C97-F37A27D4AA9E}">
    <xltc:text>Source: Planning assumption, not a measured result.
Hosting/admin/test-maintenance allowance; excludes variable AI, marketing, founder salary and existing AI subscriptions.
Checked: 27 September 2026.</xltc:text>
  </xltc:threadedComment>
  <xltc:threadedComment ref="B34" dT="2026-09-27T17:30:24.495" personId="{4FC11D96-DF10-4834-A6E7-D5982472A2D5}" id="{2049B5A9-C340-B402-7AC5-CCC946F4AD39}">
    <xltc:text>Source: Planning assumption, not a measured result.
Allowance once paid base reaches threshold. Not a vendor quote.
Checked: 27 September 2026.</xltc:text>
  </xltc:threadedComment>
  <xltc:threadedComment ref="B35" dT="2026-09-27T17:30:24.496" personId="{4FC11D96-DF10-4834-A6E7-D5982472A2D5}" id="{4A0F5137-77F6-14C9-402D-04DA65C9571C}">
    <xltc:text>Source: Planning assumption, not a measured result.
Planning switch, not a technical capacity claim.
Checked: 27 September 2026.</xltc:text>
  </xltc:threadedComment>
  <xltc:threadedComment ref="B36" dT="2026-09-27T17:30:24.496" personId="{4FC11D96-DF10-4834-A6E7-D5982472A2D5}" id="{FA631F78-1FEA-F546-7CE7-8741B0CAB07A}">
    <xltc:text>Source: Planning assumption, not a measured result.
Opportunity-cost sensitivity only; no employee assumed.
Checked: 27 September 2026.</xltc:text>
  </xltc:threadedComment>
  <xltc:threadedComment ref="B37" dT="2026-09-27T17:30:24.496" personId="{4FC11D96-DF10-4834-A6E7-D5982472A2D5}" id="{354AAF3E-09E9-FB31-4F01-97242AB4D919}">
    <xltc:text>Source: Planning assumption, not a measured result.
Optional economic cost, not cash salary.
Checked: 27 September 2026.</xltc:text>
  </xltc:threadedComment>
  <xltc:threadedComment ref="B38" dT="2026-09-27T17:30:24.496" personId="{4FC11D96-DF10-4834-A6E7-D5982472A2D5}" id="{F6C2ECEA-A240-9F8B-6FD7-80AA6DFD242C}">
    <xltc:text>Source: Planning assumption, not a measured result.
Incremental default 0. Enter product's share to view fully loaded economics.
Checked: 27 September 2026.</xltc:text>
  </xltc:threadedComment>
  <xltc:threadedComment ref="B39" dT="2026-09-27T17:30:24.496" personId="{4FC11D96-DF10-4834-A6E7-D5982472A2D5}" id="{31C582C4-EAB5-CA78-B3C2-6793186759F9}">
    <xltc:text>Source: Planning assumption, not a measured result.
Proposed ring-fenced budget, NOT approved spending.
Checked: 27 September 2026.</xltc:text>
  </xltc:threadedComment>
  <xltc:threadedComment ref="B40" dT="2026-09-27T17:30:24.496" personId="{4FC11D96-DF10-4834-A6E7-D5982472A2D5}" id="{670D601D-C04D-22FA-20FD-85A441304E8F}">
    <xltc:text>Source: Planning assumption, not a measured result.
Planning reserve for store setup, review or testing, not a quotation.
Checked: 27 September 2026.</xltc:text>
  </xltc:threadedComment>
  <xltc:threadedComment ref="B41" dT="2026-09-27T17:30:24.496" personId="{4FC11D96-DF10-4834-A6E7-D5982472A2D5}" id="{897BAAC4-2D90-7D00-C026-9322AFD70B2F}">
    <xltc:text>Source: Planning assumption, not a measured result.
Proposed staged ceiling, requires approval.
Checked: 27 September 2026.</xltc:text>
  </xltc:threadedComment>
  <xltc:threadedComment ref="B42" dT="2026-09-27T17:30:24.496" personId="{4FC11D96-DF10-4834-A6E7-D5982472A2D5}" id="{E7F1962C-CF62-8D82-EBA5-7B59F2CF55BC}">
    <xltc:text>Source: Planning assumption, not a measured result.
Optional paid demo/creator assets, not employee expense.
Checked: 27 September 2026.</xltc:text>
  </xltc:threadedComment>
  <xltc:threadedComment ref="B43" dT="2026-09-27T17:30:24.496" personId="{4FC11D96-DF10-4834-A6E7-D5982472A2D5}" id="{495D7550-7DE8-E223-5CEA-C7B4485A29A4}">
    <xltc:text>Source: Planning assumption, not a measured result.
Do not treat held reserve as actual spent CAC.
Checked: 27 September 2026.</xltc:text>
  </xltc:threadedComment>
  <xltc:threadedComment ref="B44" dT="2026-09-27T17:30:24.496" personId="{4FC11D96-DF10-4834-A6E7-D5982472A2D5}" id="{D9280A05-1A74-87F4-0DB9-AED9AC76E6EA}">
    <xltc:text>Source: Planning assumption, not a measured result.
Proposed allowance. All local replay / quick actions avoid a new model call.
Checked: 27 September 2026.</xltc:text>
  </xltc:threadedComment>
  <xltc:threadedComment ref="B45" dT="2026-09-27T17:30:24.496" personId="{4FC11D96-DF10-4834-A6E7-D5982472A2D5}" id="{A005419A-F42E-4E36-BFCF-E951F627F7F3}">
    <xltc:text>Source: Planning assumption, not a measured result.
Sensitivity input for 3-year LTV, not investment advice.
Checked: 27 September 2026.</xltc:text>
  </xltc:threadedComment>
  <xltc:threadedComment ref="B46" dT="2026-09-27T17:30:24.496" personId="{4FC11D96-DF10-4834-A6E7-D5982472A2D5}" id="{36B40BEC-455C-A72D-7DB7-33C609450E3D}">
    <xltc:text>Source: https://developers.cloudflare.com/workers/platform/pricing/
Published starting price; actual usage may add charges.
Checked: 27 September 2026.</xltc:text>
  </xltc:threadedComment>
  <xltc:threadedComment ref="B47" dT="2026-09-27T17:30:24.496" personId="{4FC11D96-DF10-4834-A6E7-D5982472A2D5}" id="{44630BA3-5866-8E33-16F6-3B4A10BCFB5B}">
    <xltc:text>Source: https://supabase.com/pricing
Optional Supabase Pro base; can begin lower in beta.
Checked: 27 September 2026.</xltc:text>
  </xltc:threadedComment>
  <xltc:threadedComment ref="B48" dT="2026-09-27T17:30:24.496" personId="{4FC11D96-DF10-4834-A6E7-D5982472A2D5}" id="{60064F53-4799-918B-942B-E883536784EB}">
    <xltc:text>Source: Planning assumption, not a measured result.
Allowance, not quoted minimum.
Checked: 27 September 2026.</xltc:text>
  </xltc:threadedComment>
  <xltc:threadedComment ref="B49" dT="2026-09-27T17:30:24.496" personId="{4FC11D96-DF10-4834-A6E7-D5982472A2D5}" id="{1DED94EF-7DFF-7970-A6EA-A3C58425EA72}">
    <xltc:text>Source: Planning assumption, not a measured result.
Allowance; free tiers can be used first.
Checked: 27 September 2026.</xltc:text>
  </xltc:threadedComment>
  <xltc:threadedComment ref="B50" dT="2026-09-27T17:30:24.496" personId="{4FC11D96-DF10-4834-A6E7-D5982472A2D5}" id="{73858A62-20EB-3EC4-DF56-E2FDF09ED723}">
    <xltc:text>Source: https://developer.apple.com/programs/whats-included/
Before regional pricing/tax; allocate once, not per app or platform.
Checked: 27 September 2026.</xltc:text>
  </xltc:threadedComment>
  <xltc:threadedComment ref="B51" dT="2026-09-27T17:30:24.496" personId="{4FC11D96-DF10-4834-A6E7-D5982472A2D5}" id="{2505E992-36FE-5CC3-E2D6-87628904A6CA}">
    <xltc:text>Source: Planning assumption, not a measured result.
Planning reserve, no domain selected.
Checked: 27 September 2026.</xltc:text>
  </xltc:threadedComment>
  <xltc:threadedComment ref="B52" dT="2026-09-27T17:30:24.497" personId="{4FC11D96-DF10-4834-A6E7-D5982472A2D5}" id="{421A7C85-426A-9540-C2D8-EFE153215679}">
    <xltc:text>Source: Planning assumption, not a measured result.
Used in CAC sensitivity grid; not a benchmark.
Checked: 27 September 2026.</xltc:text>
  </xltc:threadedComment>
</xltc:ThreadedComments>
</file>

<file path=xl/threadedcomments/threadedcomment2.xml><?xml version="1.0" encoding="utf-8"?>
<xltc:ThreadedComments xmlns:xltc="http://schemas.microsoft.com/office/spreadsheetml/2018/threadedcomments">
  <xltc:threadedComment ref="B5" dT="2026-09-27T17:32:56.803" personId="{4FC11D96-DF10-4834-A6E7-D5982472A2D5}" id="{98BC552F-D749-AAF4-948F-3DEF7045C6E3}">
    <xltc:text>Illustrative CPC/conversion assumption, not a quote or observed campaign.</xltc:text>
  </xltc:threadedComment>
  <xltc:threadedComment ref="C5" dT="2026-09-27T17:32:56.803" personId="{4FC11D96-DF10-4834-A6E7-D5982472A2D5}" id="{9DFDA969-5C72-E32D-F4D8-BDA953E527C8}">
    <xltc:text>Illustrative CPC/conversion assumption, not a quote or observed campaign.</xltc:text>
  </xltc:threadedComment>
  <xltc:threadedComment ref="D5" dT="2026-09-27T17:32:56.803" personId="{4FC11D96-DF10-4834-A6E7-D5982472A2D5}" id="{E1D8A7CD-B13D-6646-9422-F7F87A89674F}">
    <xltc:text>Illustrative CPC/conversion assumption, not a quote or observed campaign.</xltc:text>
  </xltc:threadedComment>
  <xltc:threadedComment ref="B6" dT="2026-09-27T17:32:56.803" personId="{4FC11D96-DF10-4834-A6E7-D5982472A2D5}" id="{E15DE10C-8E9C-A845-2F23-B8017D46CDDD}">
    <xltc:text>Illustrative CPC/conversion assumption, not a quote or observed campaign.</xltc:text>
  </xltc:threadedComment>
  <xltc:threadedComment ref="C6" dT="2026-09-27T17:32:56.803" personId="{4FC11D96-DF10-4834-A6E7-D5982472A2D5}" id="{F7D21EC8-6778-6D7E-FE7E-012701DBE4A1}">
    <xltc:text>Illustrative CPC/conversion assumption, not a quote or observed campaign.</xltc:text>
  </xltc:threadedComment>
  <xltc:threadedComment ref="D6" dT="2026-09-27T17:32:56.803" personId="{4FC11D96-DF10-4834-A6E7-D5982472A2D5}" id="{495B43AD-6707-9B7E-4776-D03B894C421D}">
    <xltc:text>Illustrative CPC/conversion assumption, not a quote or observed campaign.</xltc:text>
  </xltc:threadedComment>
  <xltc:threadedComment ref="B7" dT="2026-09-27T17:32:56.803" personId="{4FC11D96-DF10-4834-A6E7-D5982472A2D5}" id="{8E0FA1A9-7FBF-AAB4-9A55-DCF4CA07B992}">
    <xltc:text>Illustrative CPC/conversion assumption, not a quote or observed campaign.</xltc:text>
  </xltc:threadedComment>
  <xltc:threadedComment ref="C7" dT="2026-09-27T17:32:56.803" personId="{4FC11D96-DF10-4834-A6E7-D5982472A2D5}" id="{EED5A4F3-DE8E-BC5A-8A9E-0647564D7E40}">
    <xltc:text>Illustrative CPC/conversion assumption, not a quote or observed campaign.</xltc:text>
  </xltc:threadedComment>
  <xltc:threadedComment ref="D7" dT="2026-09-27T17:32:56.803" personId="{4FC11D96-DF10-4834-A6E7-D5982472A2D5}" id="{50FC7305-FF17-C9ED-A485-57B7715C8CDB}">
    <xltc:text>Illustrative CPC/conversion assumption, not a quote or observed campaign.</xltc:text>
  </xltc:threadedComment>
  <xltc:threadedComment ref="B8" dT="2026-09-27T17:32:56.803" personId="{4FC11D96-DF10-4834-A6E7-D5982472A2D5}" id="{8E7B321E-3EF8-8B7F-11A8-CF49A58E39CD}">
    <xltc:text>Illustrative CPC/conversion assumption, not a quote or observed campaign.</xltc:text>
  </xltc:threadedComment>
  <xltc:threadedComment ref="C8" dT="2026-09-27T17:32:56.803" personId="{4FC11D96-DF10-4834-A6E7-D5982472A2D5}" id="{02E6BFFC-8CE8-5766-7674-24768153BD88}">
    <xltc:text>Illustrative CPC/conversion assumption, not a quote or observed campaign.</xltc:text>
  </xltc:threadedComment>
  <xltc:threadedComment ref="D8" dT="2026-09-27T17:32:56.803" personId="{4FC11D96-DF10-4834-A6E7-D5982472A2D5}" id="{5737D08A-8180-115D-1FC8-3208D501C0E4}">
    <xltc:text>Illustrative CPC/conversion assumption, not a quote or observed campaign.</xltc:text>
  </xltc:threadedComment>
  <xltc:threadedComment ref="A15" dT="2026-09-27T17:32:56.803" personId="{4FC11D96-DF10-4834-A6E7-D5982472A2D5}" id="{00A425DC-72F2-84B4-029F-88D7248E325A}">
    <xltc:text>Scenario assumption; not measured.</xltc:text>
  </xltc:threadedComment>
  <xltc:threadedComment ref="A16" dT="2026-09-27T17:32:56.803" personId="{4FC11D96-DF10-4834-A6E7-D5982472A2D5}" id="{054003DE-8734-A0DD-C2A3-1751003D4258}">
    <xltc:text>Scenario assumption; not measured.</xltc:text>
  </xltc:threadedComment>
  <xltc:threadedComment ref="A17" dT="2026-09-27T17:32:56.803" personId="{4FC11D96-DF10-4834-A6E7-D5982472A2D5}" id="{D2F7A9A5-F208-1403-6C80-17A6CD25A0F4}">
    <xltc:text>Scenario assumption; not measured.</xltc:text>
  </xltc:threadedComment>
  <xltc:threadedComment ref="A18" dT="2026-09-27T17:32:56.803" personId="{4FC11D96-DF10-4834-A6E7-D5982472A2D5}" id="{1BC1E787-D9B0-73BA-689E-FB14DFB6DE7C}">
    <xltc:text>Scenario assumption; not measured.</xltc:text>
  </xltc:threadedComment>
  <xltc:threadedComment ref="A19" dT="2026-09-27T17:32:56.803" personId="{4FC11D96-DF10-4834-A6E7-D5982472A2D5}" id="{CBC18CC2-5235-D2CD-2F84-C86207208FC4}">
    <xltc:text>Scenario assumption; not measured.</xltc:text>
  </xltc:threadedComment>
  <xltc:threadedComment ref="B14" dT="2026-09-27T17:32:56.803" personId="{4FC11D96-DF10-4834-A6E7-D5982472A2D5}" id="{68087588-CBBC-1B24-1A66-0FA177FEF872}">
    <xltc:text>Scenario assumption; not measured.</xltc:text>
  </xltc:threadedComment>
  <xltc:threadedComment ref="C14" dT="2026-09-27T17:32:56.803" personId="{4FC11D96-DF10-4834-A6E7-D5982472A2D5}" id="{E61BF72B-4313-B519-B1A9-559763998581}">
    <xltc:text>Scenario assumption; not measured.</xltc:text>
  </xltc:threadedComment>
  <xltc:threadedComment ref="D14" dT="2026-09-27T17:32:56.803" personId="{4FC11D96-DF10-4834-A6E7-D5982472A2D5}" id="{C2EEB475-0867-FD96-8984-DB711788BE20}">
    <xltc:text>Scenario assumption; not measured.</xltc:text>
  </xltc:threadedComment>
  <xltc:threadedComment ref="E14" dT="2026-09-27T17:32:56.803" personId="{4FC11D96-DF10-4834-A6E7-D5982472A2D5}" id="{7725A6F8-FA60-8A54-DE9C-809E2E201F9D}">
    <xltc:text>Scenario assumption; not measured.</xltc:text>
  </xltc:threadedComment>
  <xltc:threadedComment ref="F14" dT="2026-09-27T17:32:56.803" personId="{4FC11D96-DF10-4834-A6E7-D5982472A2D5}" id="{ECFE4AAD-D781-EC15-D82C-9B45831C8AB2}">
    <xltc:text>Scenario assumption; not measured.</xltc:text>
  </xltc:threadedComment>
  <xltc:threadedComment ref="B29" dT="2026-09-27T17:32:56.803" personId="{4FC11D96-DF10-4834-A6E7-D5982472A2D5}" id="{EE6139AF-AE54-6E80-AF34-4751384226E7}">
    <xltc:text>Scenario assumption; not measured.</xltc:text>
  </xltc:threadedComment>
</xltc:ThreadedComments>
</file>

<file path=xl/threadedcomments/threadedcomment3.xml><?xml version="1.0" encoding="utf-8"?>
<xltc:ThreadedComments xmlns:xltc="http://schemas.microsoft.com/office/spreadsheetml/2018/threadedcomments">
  <xltc:threadedComment ref="A5" dT="2026-09-27T17:32:56.803" personId="{4FC11D96-DF10-4834-A6E7-D5982472A2D5}" id="{41E0D46C-B00B-AF8B-7ED8-3101D2D4B2D9}">
    <xltc:text>Scenario or goal input, not a forecast.</xltc:text>
  </xltc:threadedComment>
  <xltc:threadedComment ref="A6" dT="2026-09-27T17:32:56.803" personId="{4FC11D96-DF10-4834-A6E7-D5982472A2D5}" id="{FBB01CF5-A7CA-B47A-E864-65F7F5426F13}">
    <xltc:text>Scenario or goal input, not a forecast.</xltc:text>
  </xltc:threadedComment>
  <xltc:threadedComment ref="A7" dT="2026-09-27T17:32:56.804" personId="{4FC11D96-DF10-4834-A6E7-D5982472A2D5}" id="{DDDA3F3C-CB1A-7B21-241A-493CFF8EE683}">
    <xltc:text>Scenario or goal input, not a forecast.</xltc:text>
  </xltc:threadedComment>
  <xltc:threadedComment ref="A15" dT="2026-09-27T17:32:56.804" personId="{4FC11D96-DF10-4834-A6E7-D5982472A2D5}" id="{CE04AE77-F865-DE81-D0AE-78C1B2E2898F}">
    <xltc:text>Scenario or goal input, not a forecast.</xltc:text>
  </xltc:threadedComment>
  <xltc:threadedComment ref="A16" dT="2026-09-27T17:32:56.804" personId="{4FC11D96-DF10-4834-A6E7-D5982472A2D5}" id="{84A05D6B-6E2E-2AA2-07FD-40BE8549DFC5}">
    <xltc:text>Scenario or goal input, not a forecast.</xltc:text>
  </xltc:threadedComment>
  <xltc:threadedComment ref="A17" dT="2026-09-27T17:32:56.804" personId="{4FC11D96-DF10-4834-A6E7-D5982472A2D5}" id="{1DA718A4-EE92-D80C-A07E-2A5EA6BA50D1}">
    <xltc:text>Scenario or goal input, not a forecast.</xltc:text>
  </xltc:threadedComment>
  <xltc:threadedComment ref="A18" dT="2026-09-27T17:32:56.804" personId="{4FC11D96-DF10-4834-A6E7-D5982472A2D5}" id="{834C4A7C-D457-FD13-69B1-0871945D6E3C}">
    <xltc:text>Scenario or goal input, not a forecast.</xltc:text>
  </xltc:threadedComment>
  <xltc:threadedComment ref="A19" dT="2026-09-27T17:32:56.804" personId="{4FC11D96-DF10-4834-A6E7-D5982472A2D5}" id="{70349BA3-A406-43C2-B68D-3B9CD774DAD5}">
    <xltc:text>Scenario or goal input, not a forecast.</xltc:text>
  </xltc:threadedComment>
  <xltc:threadedComment ref="B15" dT="2026-09-27T17:32:56.804" personId="{4FC11D96-DF10-4834-A6E7-D5982472A2D5}" id="{8444DA4A-631E-D262-1F7A-C0AECFB0A444}">
    <xltc:text>Scenario or goal input, not a forecast.</xltc:text>
  </xltc:threadedComment>
  <xltc:threadedComment ref="B16" dT="2026-09-27T17:32:56.804" personId="{4FC11D96-DF10-4834-A6E7-D5982472A2D5}" id="{CB25C472-462B-4364-2C5C-7C738F90D111}">
    <xltc:text>Scenario or goal input, not a forecast.</xltc:text>
  </xltc:threadedComment>
  <xltc:threadedComment ref="B17" dT="2026-09-27T17:32:56.804" personId="{4FC11D96-DF10-4834-A6E7-D5982472A2D5}" id="{576585AC-90C6-E665-8556-F4A5F4AF375C}">
    <xltc:text>Scenario or goal input, not a forecast.</xltc:text>
  </xltc:threadedComment>
  <xltc:threadedComment ref="B18" dT="2026-09-27T17:32:56.804" personId="{4FC11D96-DF10-4834-A6E7-D5982472A2D5}" id="{AD963E7E-2382-CB6B-BA4E-54FFF01CE3BE}">
    <xltc:text>Scenario or goal input, not a forecast.</xltc:text>
  </xltc:threadedComment>
  <xltc:threadedComment ref="B19" dT="2026-09-27T17:32:56.804" personId="{4FC11D96-DF10-4834-A6E7-D5982472A2D5}" id="{B324F4E3-DFA7-526F-8BFF-12F93D325442}">
    <xltc:text>Scenario or goal input, not a forecast.</xltc:text>
  </xltc:threadedComment>
  <xltc:threadedComment ref="A23" dT="2026-09-27T17:32:56.804" personId="{4FC11D96-DF10-4834-A6E7-D5982472A2D5}" id="{088C21A2-DFDA-03CF-180D-648F43ADA2D3}">
    <xltc:text>Scenario or goal input, not a forecast.</xltc:text>
  </xltc:threadedComment>
  <xltc:threadedComment ref="A24" dT="2026-09-27T17:32:56.804" personId="{4FC11D96-DF10-4834-A6E7-D5982472A2D5}" id="{D0386D9B-E8A1-60D0-FAF4-36E575EBD365}">
    <xltc:text>Scenario or goal input, not a forecast.</xltc:text>
  </xltc:threadedComment>
  <xltc:threadedComment ref="A25" dT="2026-09-27T17:32:56.804" personId="{4FC11D96-DF10-4834-A6E7-D5982472A2D5}" id="{E0616306-E538-21E1-1608-74DC287007E7}">
    <xltc:text>Scenario or goal input, not a forecast.</xltc:text>
  </xltc:threadedComment>
  <xltc:threadedComment ref="A26" dT="2026-09-27T17:32:56.804" personId="{4FC11D96-DF10-4834-A6E7-D5982472A2D5}" id="{6CC967B5-C022-CD16-711F-39FE58E2FC71}">
    <xltc:text>Scenario or goal input, not a forecast.</xltc:text>
  </xltc:threadedComment>
</xltc:ThreadedComments>
</file>

<file path=xl/threadedcomments/threadedcomment4.xml><?xml version="1.0" encoding="utf-8"?>
<xltc:ThreadedComments xmlns:xltc="http://schemas.microsoft.com/office/spreadsheetml/2018/threadedcomments">
  <xltc:threadedComment ref="C6" dT="2026-09-27T17:32:56.804" personId="{4FC11D96-DF10-4834-A6E7-D5982472A2D5}" id="{0BB166B3-0BA3-4CAB-9652-95B4AF714247}">
    <xltc:text>Editable illustrative new annual subscribers; no observed funnel or forecast supports these counts.</xltc:text>
  </xltc:threadedComment>
  <xltc:threadedComment ref="D6" dT="2026-09-27T17:32:56.804" personId="{4FC11D96-DF10-4834-A6E7-D5982472A2D5}" id="{4338709D-0149-9363-E0F3-36531793DC0E}">
    <xltc:text>Editable illustrative new annual subscribers; no observed funnel or forecast supports these counts.</xltc:text>
  </xltc:threadedComment>
  <xltc:threadedComment ref="E6" dT="2026-09-27T17:32:56.804" personId="{4FC11D96-DF10-4834-A6E7-D5982472A2D5}" id="{A0FF9C0A-1693-5ABA-9D48-B2DAA828A735}">
    <xltc:text>Editable illustrative new annual subscribers; no observed funnel or forecast supports these counts.</xltc:text>
  </xltc:threadedComment>
  <xltc:threadedComment ref="F6" dT="2026-09-27T17:32:56.804" personId="{4FC11D96-DF10-4834-A6E7-D5982472A2D5}" id="{C3CB9B1F-3BCD-3060-CC07-2FCFD033E994}">
    <xltc:text>Editable illustrative new annual subscribers; no observed funnel or forecast supports these counts.</xltc:text>
  </xltc:threadedComment>
  <xltc:threadedComment ref="G6" dT="2026-09-27T17:32:56.804" personId="{4FC11D96-DF10-4834-A6E7-D5982472A2D5}" id="{F81FD4EE-68DE-50F9-A55D-A175DC1DE794}">
    <xltc:text>Editable illustrative new annual subscribers; no observed funnel or forecast supports these counts.</xltc:text>
  </xltc:threadedComment>
  <xltc:threadedComment ref="H6" dT="2026-09-27T17:32:56.804" personId="{4FC11D96-DF10-4834-A6E7-D5982472A2D5}" id="{AAEF5732-5B5B-63B9-DDCB-4490FCC5375D}">
    <xltc:text>Editable illustrative new annual subscribers; no observed funnel or forecast supports these counts.</xltc:text>
  </xltc:threadedComment>
  <xltc:threadedComment ref="I6" dT="2026-09-27T17:32:56.804" personId="{4FC11D96-DF10-4834-A6E7-D5982472A2D5}" id="{0EA9AB94-10E4-9FD7-856C-5119260D4E85}">
    <xltc:text>Editable illustrative new annual subscribers; no observed funnel or forecast supports these counts.</xltc:text>
  </xltc:threadedComment>
  <xltc:threadedComment ref="J6" dT="2026-09-27T17:32:56.804" personId="{4FC11D96-DF10-4834-A6E7-D5982472A2D5}" id="{FA5BB6C7-2D4A-1068-5BA9-FFC29709E14F}">
    <xltc:text>Editable illustrative new annual subscribers; no observed funnel or forecast supports these counts.</xltc:text>
  </xltc:threadedComment>
  <xltc:threadedComment ref="K6" dT="2026-09-27T17:32:56.804" personId="{4FC11D96-DF10-4834-A6E7-D5982472A2D5}" id="{64FA113D-F736-9CF2-5CFE-7D19AEF4612F}">
    <xltc:text>Editable illustrative new annual subscribers; no observed funnel or forecast supports these counts.</xltc:text>
  </xltc:threadedComment>
  <xltc:threadedComment ref="L6" dT="2026-09-27T17:32:56.804" personId="{4FC11D96-DF10-4834-A6E7-D5982472A2D5}" id="{04C8D0E4-AF1A-C503-03DA-F8744BD9B798}">
    <xltc:text>Editable illustrative new annual subscribers; no observed funnel or forecast supports these counts.</xltc:text>
  </xltc:threadedComment>
  <xltc:threadedComment ref="M6" dT="2026-09-27T17:32:56.804" personId="{4FC11D96-DF10-4834-A6E7-D5982472A2D5}" id="{B5A51AC8-48AF-C9FE-7842-A5A959499EBF}">
    <xltc:text>Editable illustrative new annual subscribers; no observed funnel or forecast supports these counts.</xltc:text>
  </xltc:threadedComment>
  <xltc:threadedComment ref="N6" dT="2026-09-27T17:32:56.804" personId="{4FC11D96-DF10-4834-A6E7-D5982472A2D5}" id="{22A712A5-C782-E76D-2F43-F41892DBE50B}">
    <xltc:text>Editable illustrative new annual subscribers; no observed funnel or forecast supports these counts.</xltc:text>
  </xltc:threadedComment>
</xltc:ThreadedComments>
</file>

<file path=xl/threadedcomments/threadedcomment5.xml><?xml version="1.0" encoding="utf-8"?>
<xltc:ThreadedComments xmlns:xltc="http://schemas.microsoft.com/office/spreadsheetml/2018/threadedcomments">
  <xltc:threadedComment ref="C5" dT="2026-09-27T17:32:56.804" personId="{4FC11D96-DF10-4834-A6E7-D5982472A2D5}" id="{341B103E-9ACE-C611-C34A-20B8A09AF3E3}">
    <xltc:text>Proposed budget only, not approved or spent.</xltc:text>
  </xltc:threadedComment>
  <xltc:threadedComment ref="C6" dT="2026-09-27T17:32:56.804" personId="{4FC11D96-DF10-4834-A6E7-D5982472A2D5}" id="{285D5DF2-9A48-4B03-E8C1-94AB0321B20F}">
    <xltc:text>Proposed budget only, not approved or spent.</xltc:text>
  </xltc:threadedComment>
  <xltc:threadedComment ref="C7" dT="2026-09-27T17:32:56.804" personId="{4FC11D96-DF10-4834-A6E7-D5982472A2D5}" id="{ACE18167-5D41-AB6F-40A6-9EDFA2551E24}">
    <xltc:text>Proposed budget only, not approved or spent.</xltc:text>
  </xltc:threadedComment>
  <xltc:threadedComment ref="C8" dT="2026-09-27T17:32:56.804" personId="{4FC11D96-DF10-4834-A6E7-D5982472A2D5}" id="{E6594A09-9235-0277-03FC-9DAE940AC4C0}">
    <xltc:text>Proposed budget only, not approved or spent.</xltc:text>
  </xltc:threadedComment>
  <xltc:threadedComment ref="C9" dT="2026-09-27T17:32:56.804" personId="{4FC11D96-DF10-4834-A6E7-D5982472A2D5}" id="{7CE5312E-9F71-B5C4-2552-AC4013AE41B8}">
    <xltc:text>Proposed budget only, not approved or spent.</xltc:text>
  </xltc:threadedComment>
  <xltc:threadedComment ref="C10" dT="2026-09-27T17:32:56.804" personId="{4FC11D96-DF10-4834-A6E7-D5982472A2D5}" id="{57F668C5-9D57-9EF4-2495-79C2BA4678BA}">
    <xltc:text>Proposed budget only, not approved or spent.</xltc:text>
  </xltc:threadedComment>
  <xltc:threadedComment ref="C11" dT="2026-09-27T17:32:56.804" personId="{4FC11D96-DF10-4834-A6E7-D5982472A2D5}" id="{D7E96E91-3DD9-11E5-E1C6-7C75169816D7}">
    <xltc:text>Proposed budget only, not approved or spent.</xltc:text>
  </xltc:threadedComment>
  <xltc:threadedComment ref="C12" dT="2026-09-27T17:32:56.804" personId="{4FC11D96-DF10-4834-A6E7-D5982472A2D5}" id="{8F3C8F64-03BF-09B8-A1C1-D9552A255347}">
    <xltc:text>Proposed budget only, not approved or spent.</xltc:text>
  </xltc:threadedComment>
</xltc:ThreadedComments>
</file>

<file path=xl/worksheets/_rels/sheet1.xml.rels>&#65279;<?xml version="1.0" encoding="utf-8"?><Relationships xmlns="http://schemas.openxmlformats.org/package/2006/relationships"><Relationship Type="http://schemas.openxmlformats.org/officeDocument/2006/relationships/drawing" Target="/xl/drawings/drawing1.xml" Id="Rc2cc196deaeb41db" /></Relationships>
</file>

<file path=xl/worksheets/_rels/sheet2.xml.rels>&#65279;<?xml version="1.0" encoding="utf-8"?><Relationships xmlns="http://schemas.openxmlformats.org/package/2006/relationships"><Relationship Type="http://schemas.openxmlformats.org/officeDocument/2006/relationships/comments" Target="/xl/comments1.xml" Id="R693d3ad86aa34393" /><Relationship Type="http://schemas.openxmlformats.org/officeDocument/2006/relationships/vmlDrawing" Target="/xl/drawings/vmldrawing.vml" Id="R6558e225703d4b5d" /><Relationship Type="http://schemas.microsoft.com/office/2017/10/relationships/threadedComment" Target="/xl/threadedcomments/threadedcomment.xml" Id="R6445d5a977254131" /></Relationships>
</file>

<file path=xl/worksheets/_rels/sheet4.xml.rels>&#65279;<?xml version="1.0" encoding="utf-8"?><Relationships xmlns="http://schemas.openxmlformats.org/package/2006/relationships"><Relationship Type="http://schemas.openxmlformats.org/officeDocument/2006/relationships/comments" Target="/xl/comments2.xml" Id="R74a8532f1aae4c3c" /><Relationship Type="http://schemas.openxmlformats.org/officeDocument/2006/relationships/vmlDrawing" Target="/xl/drawings/vmldrawing2.vml" Id="Ra79dde3b033a47d5" /><Relationship Type="http://schemas.microsoft.com/office/2017/10/relationships/threadedComment" Target="/xl/threadedcomments/threadedcomment2.xml" Id="Rc52ebb5913154c89" /></Relationships>
</file>

<file path=xl/worksheets/_rels/sheet5.xml.rels>&#65279;<?xml version="1.0" encoding="utf-8"?><Relationships xmlns="http://schemas.openxmlformats.org/package/2006/relationships"><Relationship Type="http://schemas.openxmlformats.org/officeDocument/2006/relationships/comments" Target="/xl/comments3.xml" Id="R77b77b3c8a9b47b3" /><Relationship Type="http://schemas.openxmlformats.org/officeDocument/2006/relationships/vmlDrawing" Target="/xl/drawings/vmldrawing3.vml" Id="R1908fd0604b447bf" /><Relationship Type="http://schemas.microsoft.com/office/2017/10/relationships/threadedComment" Target="/xl/threadedcomments/threadedcomment3.xml" Id="Rddcc637e7f0a42db" /></Relationships>
</file>

<file path=xl/worksheets/_rels/sheet6.xml.rels>&#65279;<?xml version="1.0" encoding="utf-8"?><Relationships xmlns="http://schemas.openxmlformats.org/package/2006/relationships"><Relationship Type="http://schemas.openxmlformats.org/officeDocument/2006/relationships/comments" Target="/xl/comments4.xml" Id="R526e7ffa3d4a4289" /><Relationship Type="http://schemas.openxmlformats.org/officeDocument/2006/relationships/vmlDrawing" Target="/xl/drawings/vmldrawing4.vml" Id="Rdb6daf782e764a48" /><Relationship Type="http://schemas.microsoft.com/office/2017/10/relationships/threadedComment" Target="/xl/threadedcomments/threadedcomment4.xml" Id="Ra7c981ab27c04338" /></Relationships>
</file>

<file path=xl/worksheets/_rels/sheet7.xml.rels>&#65279;<?xml version="1.0" encoding="utf-8"?><Relationships xmlns="http://schemas.openxmlformats.org/package/2006/relationships"><Relationship Type="http://schemas.openxmlformats.org/officeDocument/2006/relationships/comments" Target="/xl/comments5.xml" Id="R5957c709ca174371" /><Relationship Type="http://schemas.openxmlformats.org/officeDocument/2006/relationships/vmlDrawing" Target="/xl/drawings/vmldrawing5.vml" Id="R454a3629fac34db9" /><Relationship Type="http://schemas.microsoft.com/office/2017/10/relationships/threadedComment" Target="/xl/threadedcomments/threadedcomment5.xml" Id="Rc206780cba09465c" /></Relationships>
</file>

<file path=xl/worksheets/sheet1.xml><?xml version="1.0" encoding="utf-8"?>
<x:worksheet xmlns:x="http://schemas.openxmlformats.org/spreadsheetml/2006/main">
  <x:sheetFormatPr defaultRowHeight="15"/>
  <x:cols>
    <x:col min="1" max="1" width="43" hidden="0" customWidth="1"/>
    <x:col min="2" max="2" width="23" hidden="0" customWidth="1"/>
    <x:col min="3" max="3" width="79" hidden="0" customWidth="1"/>
  </x:cols>
  <x:sheetData>
    <x:row r="1" ht="40" customHeight="1">
      <x:c r="A1" s="15" t="str">
        <x:v>ATTENLO PDF | MONETIZATION MODEL</x:v>
      </x:c>
      <x:c r="B1" s="15"/>
      <x:c r="C1" s="15"/>
    </x:row>
    <x:row r="2" ht="32" customHeight="1">
      <x:c r="A2" s="19" t="str">
        <x:v>Solo-founder model • 27 September 2026 • Editable assumptions, not forecasts</x:v>
      </x:c>
      <x:c r="B2" s="19"/>
      <x:c r="C2" s="19"/>
    </x:row>
    <x:row r="3" ht="24" customHeight="1">
      <x:c r="A3" s="12"/>
      <x:c r="B3" s="12"/>
      <x:c r="C3" s="12"/>
    </x:row>
    <x:row r="4" ht="12" customHeight="1">
      <x:c r="A4" s="114"/>
      <x:c r="B4" s="114"/>
      <x:c r="C4" s="114"/>
    </x:row>
    <x:row r="5" ht="30" customHeight="1">
      <x:c r="A5" s="23" t="str">
        <x:v>KPI / decision</x:v>
      </x:c>
      <x:c r="B5" s="23" t="str">
        <x:v>Value</x:v>
      </x:c>
      <x:c r="C5" s="24" t="str">
        <x:v>Meaning</x:v>
      </x:c>
    </x:row>
    <x:row r="6" ht="24" customHeight="1">
      <x:c r="A6" s="12" t="str">
        <x:v>Nominal planner call (USD)</x:v>
      </x:c>
      <x:c r="B6" s="50" t="n">
        <x:f>('Inputs'!$B$21*'Inputs'!$B$19+'Inputs'!$B$22*'Inputs'!$B$20)/1000000</x:f>
        <x:v>0.00104</x:v>
      </x:c>
      <x:c r="C6" s="41" t="str">
        <x:v>Token assumption only; no PDF content is sent.</x:v>
      </x:c>
    </x:row>
    <x:row r="7" ht="24" customHeight="1">
      <x:c r="A7" s="28" t="str">
        <x:v>Budget per AI job (INR)</x:v>
      </x:c>
      <x:c r="B7" s="52" t="n">
        <x:f>B6*'Inputs'!$B$23*'Inputs'!$B$5</x:f>
        <x:v>0.11699999999999999</x:v>
      </x:c>
      <x:c r="C7" s="40" t="str">
        <x:v>Includes 25% overhead allowance; measure actual cost.</x:v>
      </x:c>
    </x:row>
    <x:row r="8" ht="24" customHeight="1">
      <x:c r="A8" s="12" t="str">
        <x:v>Blended annual contribution (INR)</x:v>
      </x:c>
      <x:c r="B8" s="46" t="n">
        <x:f>'Unit Economics'!B33</x:f>
        <x:v>2218.2405911864407</x:v>
      </x:c>
      <x:c r="C8" s="41" t="str">
        <x:v>After tax, channel fees, refunds, AI/free usage and support reserve.</x:v>
      </x:c>
    </x:row>
    <x:row r="9" ht="24" customHeight="1">
      <x:c r="A9" s="28" t="str">
        <x:v>Target blended cash CAC (INR)</x:v>
      </x:c>
      <x:c r="B9" s="47" t="n">
        <x:f>'Unit Economics'!B34</x:f>
        <x:v>665.4721773559322</x:v>
      </x:c>
      <x:c r="C9" s="40" t="str">
        <x:v>30% of first-year contribution, not LTV.</x:v>
      </x:c>
    </x:row>
    <x:row r="10" ht="24" customHeight="1">
      <x:c r="A10" s="12" t="str">
        <x:v>Illustrative CAC input (INR)</x:v>
      </x:c>
      <x:c r="B10" s="46" t="n">
        <x:f>'Inputs'!$B$32</x:f>
        <x:v>650</x:v>
      </x:c>
      <x:c r="C10" s="41" t="str">
        <x:v>Unmeasured; includes creative and affiliates, not just ads.</x:v>
      </x:c>
    </x:row>
    <x:row r="11" ht="24" customHeight="1">
      <x:c r="A11" s="28" t="str">
        <x:v>Lean fixed budget (INR/month)</x:v>
      </x:c>
      <x:c r="B11" s="47" t="n">
        <x:f>'Inputs'!$B$33</x:f>
        <x:v>10000</x:v>
      </x:c>
      <x:c r="C11" s="40" t="str">
        <x:v>Excludes acquisition, variable delivery and founder salary.</x:v>
      </x:c>
    </x:row>
    <x:row r="12" ht="24" customHeight="1">
      <x:c r="A12" s="12" t="str">
        <x:v>Six-week acquisition ceiling (INR)</x:v>
      </x:c>
      <x:c r="B12" s="46" t="n">
        <x:f>SUM('Inputs'!$B$41,'Inputs'!$B$42,'Inputs'!$B$43)</x:f>
        <x:v>40000</x:v>
      </x:c>
      <x:c r="C12" s="41" t="str">
        <x:v>Proposed only. Held reserve is not counted in actual CAC.</x:v>
      </x:c>
    </x:row>
    <x:row r="13" ht="24" customHeight="1">
      <x:c r="A13" s="28" t="str">
        <x:v>Paid subs to cover lean steady costs</x:v>
      </x:c>
      <x:c r="B13" s="47" t="n">
        <x:f>ROUNDUP(('Inputs'!$B$33+'Inputs'!$B$38)/(B8/'Inputs'!$B$6-(1-'Inputs'!$B$31)*'Inputs'!$B$32/'Inputs'!$B$6),0)</x:f>
        <x:v>69</x:v>
      </x:c>
      <x:c r="C13" s="40" t="str">
        <x:v>Annual renewals at 30%; no extra growth spend.</x:v>
      </x:c>
    </x:row>
    <x:row r="14" ht="24" customHeight="1">
      <x:c r="A14" s="12"/>
      <x:c r="B14" s="12"/>
      <x:c r="C14" s="41"/>
    </x:row>
    <x:row r="15" ht="24" customHeight="1">
      <x:c r="A15" s="28"/>
      <x:c r="B15" s="28"/>
      <x:c r="C15" s="40"/>
    </x:row>
    <x:row r="16" ht="24" customHeight="1">
      <x:c r="A16" s="22" t="str">
        <x:v>AI job volume / month</x:v>
      </x:c>
      <x:c r="B16" s="22" t="str">
        <x:v>Budget (INR)</x:v>
      </x:c>
      <x:c r="C16" s="44" t="str">
        <x:v>Scope</x:v>
      </x:c>
    </x:row>
    <x:row r="17" ht="24" customHeight="1">
      <x:c r="A17" s="28" t="n">
        <x:v>10000</x:v>
      </x:c>
      <x:c r="B17" s="28" t="n">
        <x:f>A17*$B$7</x:f>
        <x:v>1170</x:v>
      </x:c>
      <x:c r="C17" s="40" t="str">
        <x:v>Planner only</x:v>
      </x:c>
    </x:row>
    <x:row r="18" ht="24" customHeight="1">
      <x:c r="A18" s="12" t="n">
        <x:v>100000</x:v>
      </x:c>
      <x:c r="B18" s="12" t="n">
        <x:f>A18*$B$7</x:f>
        <x:v>11700</x:v>
      </x:c>
      <x:c r="C18" s="41" t="str">
        <x:v>Planner only</x:v>
      </x:c>
    </x:row>
    <x:row r="19" ht="24" customHeight="1">
      <x:c r="A19" s="28" t="n">
        <x:v>1000000</x:v>
      </x:c>
      <x:c r="B19" s="28" t="n">
        <x:f>A19*$B$7</x:f>
        <x:v>117000</x:v>
      </x:c>
      <x:c r="C19" s="40" t="str">
        <x:v>Planner only</x:v>
      </x:c>
    </x:row>
    <x:row r="20" ht="24" customHeight="1">
      <x:c r="A20" s="12"/>
      <x:c r="B20" s="12"/>
      <x:c r="C20" s="12"/>
    </x:row>
    <x:row r="21" ht="24" customHeight="1">
      <x:c r="A21" s="28"/>
      <x:c r="B21" s="28"/>
      <x:c r="C21" s="28"/>
    </x:row>
    <x:row r="22" ht="24" customHeight="1">
      <x:c r="A22" s="54" t="str">
        <x:v>READ THIS BEFORE USING THE MODEL</x:v>
      </x:c>
      <x:c r="B22" s="54"/>
      <x:c r="C22" s="54"/>
    </x:row>
    <x:row r="23" ht="40" customHeight="1">
      <x:c r="A23" s="40" t="str">
        <x:v>These are planning cases, not forecasts or measured CAC. Prices checked 27 September 2026.</x:v>
      </x:c>
      <x:c r="B23" s="40"/>
      <x:c r="C23" s="40"/>
    </x:row>
    <x:row r="24" ht="40" customHeight="1">
      <x:c r="A24" s="41" t="str">
        <x:v>Model conventions: INR 90/USD, annual subscribers only in scaling/cash sheets, 40% India and 60% global, 50% direct sales within each geography.</x:v>
      </x:c>
      <x:c r="B24" s="41"/>
      <x:c r="C24" s="41"/>
    </x:row>
    <x:row r="25" ht="40" customHeight="1">
      <x:c r="A25" s="40" t="str">
        <x:v>India sticker uses 18% included tax as an assumption; global USD sticker is before sales tax. Confirm actual tax, merchant eligibility and store rules.</x:v>
      </x:c>
      <x:c r="B25" s="40"/>
      <x:c r="C25" s="40"/>
    </x:row>
    <x:row r="26" ht="40" customHeight="1">
      <x:c r="A26" s="41" t="str">
        <x:v>RevenueCat is conservatively reserved at 1% at all scales, even where actual pricing would be free. Taxes on supplier fees and FX extras may differ.</x:v>
      </x:c>
      <x:c r="B26" s="41"/>
      <x:c r="C26" s="41"/>
    </x:row>
    <x:row r="27" ht="40" customHeight="1">
      <x:c r="A27" s="40" t="str">
        <x:v>Founder cash salary and employees are zero. Existing subscriptions default to zero incremental allocation. Economic founder time is shown separately.</x:v>
      </x:c>
      <x:c r="B27" s="40"/>
      <x:c r="C27" s="40"/>
    </x:row>
    <x:row r="28" ht="40" customHeight="1">
      <x:c r="A28" s="41" t="str">
        <x:v>Local processing means no server-side PDF compute bill in this architecture, not zero engineering, support, licensing review or customer-device limits.</x:v>
      </x:c>
      <x:c r="B28" s="41"/>
      <x:c r="C28" s="41"/>
    </x:row>
    <x:row r="29" ht="40" customHeight="1">
      <x:c r="A29" s="40" t="str">
        <x:v>Steady state replaces non-renewers and includes acquisition cost. It does not include extra growth campaigns, income tax or reinvestment.</x:v>
      </x:c>
      <x:c r="B29" s="40"/>
      <x:c r="C29" s="40"/>
    </x:row>
    <x:row r="30" ht="40" customHeight="1">
      <x:c r="A30" s="41" t="str">
        <x:v>Cash forecast ignores settlement delays. Annual prepayments are not monthly profit; unearned revenue and future service reserve are shown.</x:v>
      </x:c>
      <x:c r="B30" s="41"/>
      <x:c r="C30" s="41"/>
    </x:row>
    <x:row r="31" ht="40" customHeight="1">
      <x:c r="A31" s="40" t="str">
        <x:v>Free-user costs depend on active usage. Zero paid conversion plus uncapped free usage is not a viable business model.</x:v>
      </x:c>
      <x:c r="B31" s="40"/>
      <x:c r="C31" s="40"/>
    </x:row>
    <x:row r="32" ht="40" customHeight="1">
      <x:c r="A32" s="41" t="str">
        <x:v>All source-backed inputs have URLs and cell comments. Blue numbers are editable; green values link to other sheets.</x:v>
      </x:c>
      <x:c r="B32" s="41"/>
      <x:c r="C32" s="41"/>
    </x:row>
    <x:row r="33" ht="24" customHeight="1">
      <x:c r="A33" s="28"/>
      <x:c r="B33" s="28"/>
      <x:c r="C33" s="28"/>
    </x:row>
    <x:row r="34" ht="24" customHeight="1">
      <x:c r="A34" s="12"/>
      <x:c r="B34" s="12"/>
      <x:c r="C34" s="12"/>
    </x:row>
    <x:row r="35" ht="24" customHeight="1">
      <x:c r="A35" s="28"/>
      <x:c r="B35" s="28"/>
      <x:c r="C35" s="28"/>
    </x:row>
    <x:row r="36" ht="24" customHeight="1">
      <x:c r="A36" s="12"/>
      <x:c r="B36" s="12"/>
      <x:c r="C36" s="12"/>
    </x:row>
    <x:row r="37" ht="24" customHeight="1">
      <x:c r="A37" s="28"/>
      <x:c r="B37" s="28"/>
      <x:c r="C37" s="28"/>
    </x:row>
    <x:row r="38" ht="24" customHeight="1">
      <x:c r="A38" s="12"/>
      <x:c r="B38" s="12"/>
      <x:c r="C38" s="12"/>
    </x:row>
    <x:row r="39" ht="24" customHeight="1">
      <x:c r="A39" s="28"/>
      <x:c r="B39" s="28"/>
      <x:c r="C39" s="28"/>
    </x:row>
    <x:row r="40" ht="24" customHeight="1">
      <x:c r="A40" s="12"/>
      <x:c r="B40" s="12"/>
      <x:c r="C40" s="12"/>
    </x:row>
    <x:row r="41" ht="24" customHeight="1">
      <x:c r="A41" s="28"/>
      <x:c r="B41" s="28"/>
      <x:c r="C41" s="28"/>
    </x:row>
    <x:row r="42" ht="24" customHeight="1">
      <x:c r="A42" s="12"/>
      <x:c r="B42" s="12"/>
      <x:c r="C42" s="12"/>
    </x:row>
    <x:row r="43" ht="24" customHeight="1">
      <x:c r="A43" s="28"/>
      <x:c r="B43" s="28"/>
      <x:c r="C43" s="28"/>
    </x:row>
    <x:row r="44" ht="24" customHeight="1">
      <x:c r="A44" s="12"/>
      <x:c r="B44" s="12"/>
      <x:c r="C44" s="12"/>
    </x:row>
    <x:row r="45" ht="24" customHeight="1">
      <x:c r="A45" s="28"/>
      <x:c r="B45" s="28"/>
      <x:c r="C45" s="28"/>
    </x:row>
    <x:row r="46" ht="24" customHeight="1">
      <x:c r="A46" s="12"/>
      <x:c r="B46" s="12"/>
      <x:c r="C46" s="12"/>
    </x:row>
    <x:row r="47" ht="24" customHeight="1">
      <x:c r="A47" s="28"/>
      <x:c r="B47" s="28"/>
      <x:c r="C47" s="28"/>
    </x:row>
    <x:row r="48" ht="24" customHeight="1">
      <x:c r="A48" s="12"/>
      <x:c r="B48" s="12"/>
      <x:c r="C48" s="12"/>
    </x:row>
    <x:row r="49" ht="24" customHeight="1">
      <x:c r="A49" s="28"/>
      <x:c r="B49" s="28"/>
      <x:c r="C49" s="28"/>
    </x:row>
    <x:row r="50" ht="24" customHeight="1">
      <x:c r="A50" s="12"/>
      <x:c r="B50" s="12"/>
      <x:c r="C50" s="12"/>
    </x:row>
    <x:row r="51" ht="24" customHeight="1">
      <x:c r="A51" s="28"/>
      <x:c r="B51" s="28"/>
      <x:c r="C51" s="28"/>
    </x:row>
    <x:row r="52" ht="24" customHeight="1">
      <x:c r="A52" s="12"/>
      <x:c r="B52" s="12"/>
      <x:c r="C52" s="12"/>
    </x:row>
  </x:sheetData>
  <x:mergeCells>
    <x:mergeCell ref="A22:C22"/>
    <x:mergeCell ref="A23:C23"/>
    <x:mergeCell ref="A24:C24"/>
    <x:mergeCell ref="A25:C25"/>
    <x:mergeCell ref="A26:C26"/>
    <x:mergeCell ref="A27:C27"/>
    <x:mergeCell ref="A28:C28"/>
    <x:mergeCell ref="A29:C29"/>
    <x:mergeCell ref="A30:C30"/>
    <x:mergeCell ref="A31:C31"/>
    <x:mergeCell ref="A32:C32"/>
    <x:mergeCell ref="A1:C1"/>
    <x:mergeCell ref="A2:C2"/>
  </x:mergeCells>
  <x:pageMargins left="0.7" right="0.7" top="0.75" bottom="0.75" header="0.3" footer="0.3"/>
  <x:drawing xmlns:r="http://schemas.openxmlformats.org/officeDocument/2006/relationships" r:id="Rc2cc196deaeb41db"/>
</x:worksheet>
</file>

<file path=xl/worksheets/sheet2.xml><?xml version="1.0" encoding="utf-8"?>
<x:worksheet xmlns:x="http://schemas.openxmlformats.org/spreadsheetml/2006/main">
  <x:sheetFormatPr defaultRowHeight="15"/>
  <x:cols>
    <x:col min="1" max="1" width="44" hidden="0" customWidth="1"/>
    <x:col min="2" max="2" width="19" hidden="0" customWidth="1"/>
    <x:col min="3" max="3" width="28" hidden="0" customWidth="1"/>
    <x:col min="4" max="4" width="57" hidden="0" customWidth="1"/>
    <x:col min="5" max="5" width="60" hidden="0" customWidth="1"/>
  </x:cols>
  <x:sheetData>
    <x:row r="1" ht="40" customHeight="1">
      <x:c r="A1" s="15" t="str">
        <x:v>INPUTS &amp; ASSUMPTIONS</x:v>
      </x:c>
      <x:c r="B1" s="15"/>
      <x:c r="C1" s="15"/>
      <x:c r="D1" s="15"/>
      <x:c r="E1" s="15"/>
    </x:row>
    <x:row r="2" ht="32" customHeight="1">
      <x:c r="A2" s="19" t="str">
        <x:v>Blue cells are editable. Published inputs have source URLs and comments.</x:v>
      </x:c>
      <x:c r="B2" s="19"/>
      <x:c r="C2" s="19"/>
      <x:c r="D2" s="19"/>
      <x:c r="E2" s="19"/>
    </x:row>
    <x:row r="3" ht="24" customHeight="1">
      <x:c r="A3" s="12"/>
      <x:c r="B3" s="12"/>
      <x:c r="C3" s="12"/>
      <x:c r="D3" s="12"/>
      <x:c r="E3" s="12"/>
    </x:row>
    <x:row r="4" ht="44" customHeight="1">
      <x:c r="A4" s="24" t="str">
        <x:v>Input / assumption</x:v>
      </x:c>
      <x:c r="B4" s="24" t="str">
        <x:v>Value</x:v>
      </x:c>
      <x:c r="C4" s="24" t="str">
        <x:v>Units</x:v>
      </x:c>
      <x:c r="D4" s="24" t="str">
        <x:v>Rationale / caveat</x:v>
      </x:c>
      <x:c r="E4" s="24" t="str">
        <x:v>Source URL or assumption</x:v>
      </x:c>
    </x:row>
    <x:row r="5" ht="49" customHeight="1">
      <x:c r="A5" s="40" t="str">
        <x:v>Planning USD to INR</x:v>
      </x:c>
      <x:c r="B5" s="60" t="n">
        <x:v>90</x:v>
      </x:c>
      <x:c r="C5" s="40" t="str">
        <x:v>INR/USD</x:v>
      </x:c>
      <x:c r="D5" s="40" t="str">
        <x:v>Model convention, NOT a current FX quote. Change to actual settlement rate.</x:v>
      </x:c>
      <x:c r="E5" s="40" t="str">
        <x:v>Analyst planning assumption; editable</x:v>
      </x:c>
    </x:row>
    <x:row r="6" ht="49" customHeight="1">
      <x:c r="A6" s="41" t="str">
        <x:v>Months per year</x:v>
      </x:c>
      <x:c r="B6" s="57" t="n">
        <x:v>12</x:v>
      </x:c>
      <x:c r="C6" s="41" t="str">
        <x:v>months</x:v>
      </x:c>
      <x:c r="D6" s="41" t="str">
        <x:v>Calendar constant.</x:v>
      </x:c>
      <x:c r="E6" s="41" t="str">
        <x:v>Analyst planning assumption; editable</x:v>
      </x:c>
    </x:row>
    <x:row r="7" ht="49" customHeight="1">
      <x:c r="A7" s="40" t="str">
        <x:v>India Pro annual sticker</x:v>
      </x:c>
      <x:c r="B7" s="57" t="n">
        <x:v>1999</x:v>
      </x:c>
      <x:c r="C7" s="40" t="str">
        <x:v>INR/year</x:v>
      </x:c>
      <x:c r="D7" s="40" t="str">
        <x:v>Proposed price, inclusive of the modeled India tax.</x:v>
      </x:c>
      <x:c r="E7" s="40" t="str">
        <x:v>Analyst planning assumption; editable</x:v>
      </x:c>
    </x:row>
    <x:row r="8" ht="49" customHeight="1">
      <x:c r="A8" s="41" t="str">
        <x:v>India Pro monthly sticker</x:v>
      </x:c>
      <x:c r="B8" s="57" t="n">
        <x:v>249</x:v>
      </x:c>
      <x:c r="C8" s="41" t="str">
        <x:v>INR/month</x:v>
      </x:c>
      <x:c r="D8" s="41" t="str">
        <x:v>Proposed price; annual-only scenarios below do not count monthly subscribers.</x:v>
      </x:c>
      <x:c r="E8" s="41" t="str">
        <x:v>Analyst planning assumption; editable</x:v>
      </x:c>
    </x:row>
    <x:row r="9" ht="49" customHeight="1">
      <x:c r="A9" s="40" t="str">
        <x:v>Global Pro annual sticker</x:v>
      </x:c>
      <x:c r="B9" s="60" t="n">
        <x:v>39.99</x:v>
      </x:c>
      <x:c r="C9" s="40" t="str">
        <x:v>USD/year</x:v>
      </x:c>
      <x:c r="D9" s="40" t="str">
        <x:v>Proposed US/global anchor before local tax; regional pricing must be localized.</x:v>
      </x:c>
      <x:c r="E9" s="40" t="str">
        <x:v>Analyst planning assumption; editable</x:v>
      </x:c>
    </x:row>
    <x:row r="10" ht="49" customHeight="1">
      <x:c r="A10" s="41" t="str">
        <x:v>Global Pro monthly sticker</x:v>
      </x:c>
      <x:c r="B10" s="60" t="n">
        <x:v>5.99</x:v>
      </x:c>
      <x:c r="C10" s="41" t="str">
        <x:v>USD/month</x:v>
      </x:c>
      <x:c r="D10" s="41" t="str">
        <x:v>Proposed price; not annual revenue per user.</x:v>
      </x:c>
      <x:c r="E10" s="41" t="str">
        <x:v>Analyst planning assumption; editable</x:v>
      </x:c>
    </x:row>
    <x:row r="11" ht="49" customHeight="1">
      <x:c r="A11" s="40" t="str">
        <x:v>Tax included in India sticker</x:v>
      </x:c>
      <x:c r="B11" s="62" t="n">
        <x:v>0.18</x:v>
      </x:c>
      <x:c r="C11" s="40" t="str">
        <x:v>%</x:v>
      </x:c>
      <x:c r="D11" s="40" t="str">
        <x:v>Planning assumption, not a tax determination. Accountant to verify GST treatment and registration.</x:v>
      </x:c>
      <x:c r="E11" s="40" t="str">
        <x:v>Analyst planning assumption; editable</x:v>
      </x:c>
    </x:row>
    <x:row r="12" ht="49" customHeight="1">
      <x:c r="A12" s="41" t="str">
        <x:v>Tax included in global sticker</x:v>
      </x:c>
      <x:c r="B12" s="62" t="n">
        <x:v>0</x:v>
      </x:c>
      <x:c r="C12" s="41" t="str">
        <x:v>%</x:v>
      </x:c>
      <x:c r="D12" s="41" t="str">
        <x:v>Base treats USD sticker as pre-tax. Enter e.g. 20% to stress a tax-inclusive same-price sale.</x:v>
      </x:c>
      <x:c r="E12" s="41" t="str">
        <x:v>Analyst planning assumption; editable</x:v>
      </x:c>
    </x:row>
    <x:row r="13" ht="49" customHeight="1">
      <x:c r="A13" s="40" t="str">
        <x:v>Modeled native-store fee</x:v>
      </x:c>
      <x:c r="B13" s="62" t="n">
        <x:v>0.15</x:v>
      </x:c>
      <x:c r="C13" s="40" t="str">
        <x:v>% of ex-tax sales</x:v>
      </x:c>
      <x:c r="D13" s="40" t="str">
        <x:v>Apple small-business eligibility and standard Play billing assumptions; verify region before release.</x:v>
      </x:c>
      <x:c r="E13" s="40" t="str">
        <x:v>https://developer.apple.com/app-store/small-business-program/</x:v>
      </x:c>
    </x:row>
    <x:row r="14" ht="49" customHeight="1">
      <x:c r="A14" s="41" t="str">
        <x:v>India web cash processing fee</x:v>
      </x:c>
      <x:c r="B14" s="62" t="n">
        <x:v>0.0236</x:v>
      </x:c>
      <x:c r="C14" s="41" t="str">
        <x:v>% of tax-included sales</x:v>
      </x:c>
      <x:c r="D14" s="41" t="str">
        <x:v>Standard domestic rate with GST on fee; conservative: no fee-GST input credit.</x:v>
      </x:c>
      <x:c r="E14" s="41" t="str">
        <x:v>https://razorpay.com/solutions/e-commerce/</x:v>
      </x:c>
    </x:row>
    <x:row r="15" ht="49" customHeight="1">
      <x:c r="A15" s="40" t="str">
        <x:v>Global web MoR fee</x:v>
      </x:c>
      <x:c r="B15" s="62" t="n">
        <x:v>0.05</x:v>
      </x:c>
      <x:c r="C15" s="40" t="str">
        <x:v>% of sticker</x:v>
      </x:c>
      <x:c r="D15" s="40" t="str">
        <x:v>Paddle standard rate; model excludes FX/settlement extras, covered only by configurable reserves.</x:v>
      </x:c>
      <x:c r="E15" s="40" t="str">
        <x:v>https://www.paddle.com/pricing</x:v>
      </x:c>
    </x:row>
    <x:row r="16" ht="49" customHeight="1">
      <x:c r="A16" s="41" t="str">
        <x:v>Global web fixed transaction fee</x:v>
      </x:c>
      <x:c r="B16" s="60" t="n">
        <x:v>0.5</x:v>
      </x:c>
      <x:c r="C16" s="41" t="str">
        <x:v>USD/payment</x:v>
      </x:c>
      <x:c r="D16" s="41" t="str">
        <x:v>One annual payment, not twelve monthly transaction fees.</x:v>
      </x:c>
      <x:c r="E16" s="41" t="str">
        <x:v>https://www.paddle.com/pricing</x:v>
      </x:c>
    </x:row>
    <x:row r="17" ht="49" customHeight="1">
      <x:c r="A17" s="40" t="str">
        <x:v>Refund / dispute reserve</x:v>
      </x:c>
      <x:c r="B17" s="62" t="n">
        <x:v>0.03</x:v>
      </x:c>
      <x:c r="C17" s="40" t="str">
        <x:v>% of ex-tax sales</x:v>
      </x:c>
      <x:c r="D17" s="40" t="str">
        <x:v>Planning reserve. Fees conservatively assumed non-refundable; replace with actual refund cohort data.</x:v>
      </x:c>
      <x:c r="E17" s="40" t="str">
        <x:v>Analyst planning assumption; editable</x:v>
      </x:c>
    </x:row>
    <x:row r="18" ht="49" customHeight="1">
      <x:c r="A18" s="41" t="str">
        <x:v>Subscription tooling reserve</x:v>
      </x:c>
      <x:c r="B18" s="62" t="n">
        <x:v>0.01</x:v>
      </x:c>
      <x:c r="C18" s="41" t="str">
        <x:v>% of sticker</x:v>
      </x:c>
      <x:c r="D18" s="41" t="str">
        <x:v>Conservative all-scale reserve. Actual RevenueCat bill is zero below its threshold.</x:v>
      </x:c>
      <x:c r="E18" s="41" t="str">
        <x:v>https://www.revenuecat.com/pricing</x:v>
      </x:c>
    </x:row>
    <x:row r="19" ht="49" customHeight="1">
      <x:c r="A19" s="40" t="str">
        <x:v>Planner input price</x:v>
      </x:c>
      <x:c r="B19" s="60" t="n">
        <x:v>0.2</x:v>
      </x:c>
      <x:c r="C19" s="40" t="str">
        <x:v>USD / 1M tokens</x:v>
      </x:c>
      <x:c r="D19" s="40" t="str">
        <x:v>Published model price checked 2026-09-27.</x:v>
      </x:c>
      <x:c r="E19" s="40" t="str">
        <x:v>https://developers.openai.com/api/docs/models/gpt-5.6-luna</x:v>
      </x:c>
    </x:row>
    <x:row r="20" ht="49" customHeight="1">
      <x:c r="A20" s="41" t="str">
        <x:v>Planner output price</x:v>
      </x:c>
      <x:c r="B20" s="60" t="n">
        <x:v>1.2</x:v>
      </x:c>
      <x:c r="C20" s="41" t="str">
        <x:v>USD / 1M tokens</x:v>
      </x:c>
      <x:c r="D20" s="41" t="str">
        <x:v>Published model price checked 2026-09-27.</x:v>
      </x:c>
      <x:c r="E20" s="41" t="str">
        <x:v>https://developers.openai.com/api/docs/models/gpt-5.6-luna</x:v>
      </x:c>
    </x:row>
    <x:row r="21" ht="49" customHeight="1">
      <x:c r="A21" s="40" t="str">
        <x:v>Input tokens per nominal plan</x:v>
      </x:c>
      <x:c r="B21" s="57" t="n">
        <x:v>2500</x:v>
      </x:c>
      <x:c r="C21" s="40" t="str">
        <x:v>tokens</x:v>
      </x:c>
      <x:c r="D21" s="40" t="str">
        <x:v>Unmeasured planning assumption, includes schema and bounded context.</x:v>
      </x:c>
      <x:c r="E21" s="40" t="str">
        <x:v>Analyst planning assumption; editable</x:v>
      </x:c>
    </x:row>
    <x:row r="22" ht="49" customHeight="1">
      <x:c r="A22" s="41" t="str">
        <x:v>Billed output tokens per nominal plan</x:v>
      </x:c>
      <x:c r="B22" s="57" t="n">
        <x:v>450</x:v>
      </x:c>
      <x:c r="C22" s="41" t="str">
        <x:v>tokens</x:v>
      </x:c>
      <x:c r="D22" s="41" t="str">
        <x:v>Unmeasured planning assumption, includes all billed output.</x:v>
      </x:c>
      <x:c r="E22" s="41" t="str">
        <x:v>Analyst planning assumption; editable</x:v>
      </x:c>
    </x:row>
    <x:row r="23" ht="49" customHeight="1">
      <x:c r="A23" s="40" t="str">
        <x:v>Retry / escalation cost multiplier</x:v>
      </x:c>
      <x:c r="B23" s="60" t="n">
        <x:v>1.25</x:v>
      </x:c>
      <x:c r="C23" s="40" t="str">
        <x:v>x</x:v>
      </x:c>
      <x:c r="D23" s="40" t="str">
        <x:v>25% overhead allowance; measure real cost per completed job. Not a measured retry rate.</x:v>
      </x:c>
      <x:c r="E23" s="40" t="str">
        <x:v>Analyst planning assumption; editable</x:v>
      </x:c>
    </x:row>
    <x:row r="24" ht="49" customHeight="1">
      <x:c r="A24" s="41" t="str">
        <x:v>Paid user average monthly AI jobs</x:v>
      </x:c>
      <x:c r="B24" s="57" t="n">
        <x:v>50</x:v>
      </x:c>
      <x:c r="C24" s="41" t="str">
        <x:v>jobs/user/month</x:v>
      </x:c>
      <x:c r="D24" s="41" t="str">
        <x:v>Average usage assumption, NOT the plan's maximum allowance.</x:v>
      </x:c>
      <x:c r="E24" s="41" t="str">
        <x:v>Analyst planning assumption; editable</x:v>
      </x:c>
    </x:row>
    <x:row r="25" ht="49" customHeight="1">
      <x:c r="A25" s="40" t="str">
        <x:v>Free user monthly AI jobs</x:v>
      </x:c>
      <x:c r="B25" s="57" t="n">
        <x:v>3</x:v>
      </x:c>
      <x:c r="C25" s="40" t="str">
        <x:v>jobs/user/month</x:v>
      </x:c>
      <x:c r="D25" s="40" t="str">
        <x:v>Proposed maximum per month and conservative average for this model.</x:v>
      </x:c>
      <x:c r="E25" s="40" t="str">
        <x:v>Analyst planning assumption; editable</x:v>
      </x:c>
    </x:row>
    <x:row r="26" ht="49" customHeight="1">
      <x:c r="A26" s="41" t="str">
        <x:v>Active free users per paying subscriber</x:v>
      </x:c>
      <x:c r="B26" s="57" t="n">
        <x:v>20</x:v>
      </x:c>
      <x:c r="C26" s="41" t="str">
        <x:v>free MAU / paid sub</x:v>
      </x:c>
      <x:c r="D26" s="41" t="str">
        <x:v>Working assumption; counts monthly-active free users, not lifetime signups.</x:v>
      </x:c>
      <x:c r="E26" s="41" t="str">
        <x:v>Analyst planning assumption; editable</x:v>
      </x:c>
    </x:row>
    <x:row r="27" ht="49" customHeight="1">
      <x:c r="A27" s="40" t="str">
        <x:v>Variable support reserve per payer</x:v>
      </x:c>
      <x:c r="B27" s="57" t="n">
        <x:v>60</x:v>
      </x:c>
      <x:c r="C27" s="40" t="str">
        <x:v>INR/user/year</x:v>
      </x:c>
      <x:c r="D27" s="40" t="str">
        <x:v>Cash allowance, not payroll. Founder support time is shown separately.</x:v>
      </x:c>
      <x:c r="E27" s="40" t="str">
        <x:v>Analyst planning assumption; editable</x:v>
      </x:c>
    </x:row>
    <x:row r="28" ht="49" customHeight="1">
      <x:c r="A28" s="41" t="str">
        <x:v>India share of paying subscribers</x:v>
      </x:c>
      <x:c r="B28" s="62" t="n">
        <x:v>0.4</x:v>
      </x:c>
      <x:c r="C28" s="41" t="str">
        <x:v>%</x:v>
      </x:c>
      <x:c r="D28" s="41" t="str">
        <x:v>Illustrative sales mix, not an observed audience.</x:v>
      </x:c>
      <x:c r="E28" s="41" t="str">
        <x:v>Analyst planning assumption; editable</x:v>
      </x:c>
    </x:row>
    <x:row r="29" ht="49" customHeight="1">
      <x:c r="A29" s="40" t="str">
        <x:v>Web / direct share in each geography</x:v>
      </x:c>
      <x:c r="B29" s="62" t="n">
        <x:v>0.5</x:v>
      </x:c>
      <x:c r="C29" s="40" t="str">
        <x:v>%</x:v>
      </x:c>
      <x:c r="D29" s="40" t="str">
        <x:v>Illustrative channel mix, not a predicted result.</x:v>
      </x:c>
      <x:c r="E29" s="40" t="str">
        <x:v>Analyst planning assumption; editable</x:v>
      </x:c>
    </x:row>
    <x:row r="30" ht="49" customHeight="1">
      <x:c r="A30" s="41" t="str">
        <x:v>Target CAC / first-year contribution</x:v>
      </x:c>
      <x:c r="B30" s="62" t="n">
        <x:v>0.3</x:v>
      </x:c>
      <x:c r="C30" s="41" t="str">
        <x:v>%</x:v>
      </x:c>
      <x:c r="D30" s="41" t="str">
        <x:v>Proposed safety rule, not an industry benchmark.</x:v>
      </x:c>
      <x:c r="E30" s="41" t="str">
        <x:v>Analyst planning assumption; editable</x:v>
      </x:c>
    </x:row>
    <x:row r="31" ht="49" customHeight="1">
      <x:c r="A31" s="40" t="str">
        <x:v>Annual renewal / retention</x:v>
      </x:c>
      <x:c r="B31" s="62" t="n">
        <x:v>0.3</x:v>
      </x:c>
      <x:c r="C31" s="40" t="str">
        <x:v>%</x:v>
      </x:c>
      <x:c r="D31" s="40" t="str">
        <x:v>Conservative planning scenario; unknown until real annual cohorts mature.</x:v>
      </x:c>
      <x:c r="E31" s="40" t="str">
        <x:v>Analyst planning assumption; editable</x:v>
      </x:c>
    </x:row>
    <x:row r="32" ht="49" customHeight="1">
      <x:c r="A32" s="41" t="str">
        <x:v>Blended all-in cash CAC</x:v>
      </x:c>
      <x:c r="B32" s="57" t="n">
        <x:v>650</x:v>
      </x:c>
      <x:c r="C32" s="41" t="str">
        <x:v>INR/new payer</x:v>
      </x:c>
      <x:c r="D32" s="41" t="str">
        <x:v>Includes media, allocated creatives and affiliate cost. Unmeasured target scenario.</x:v>
      </x:c>
      <x:c r="E32" s="41" t="str">
        <x:v>Analyst planning assumption; editable</x:v>
      </x:c>
    </x:row>
    <x:row r="33" ht="49" customHeight="1">
      <x:c r="A33" s="40" t="str">
        <x:v>Lean monthly fixed operating budget</x:v>
      </x:c>
      <x:c r="B33" s="57" t="n">
        <x:v>10000</x:v>
      </x:c>
      <x:c r="C33" s="40" t="str">
        <x:v>INR/month</x:v>
      </x:c>
      <x:c r="D33" s="40" t="str">
        <x:v>Hosting/admin/test-maintenance allowance; excludes variable AI, marketing, founder salary and existing AI subscriptions.</x:v>
      </x:c>
      <x:c r="E33" s="40" t="str">
        <x:v>Analyst planning assumption; editable</x:v>
      </x:c>
    </x:row>
    <x:row r="34" ht="49" customHeight="1">
      <x:c r="A34" s="41" t="str">
        <x:v>Scaled monthly fixed operating budget</x:v>
      </x:c>
      <x:c r="B34" s="57" t="n">
        <x:v>20000</x:v>
      </x:c>
      <x:c r="C34" s="41" t="str">
        <x:v>INR/month</x:v>
      </x:c>
      <x:c r="D34" s="41" t="str">
        <x:v>Allowance once paid base reaches threshold. Not a vendor quote.</x:v>
      </x:c>
      <x:c r="E34" s="41" t="str">
        <x:v>Analyst planning assumption; editable</x:v>
      </x:c>
    </x:row>
    <x:row r="35" ht="49" customHeight="1">
      <x:c r="A35" s="40" t="str">
        <x:v>Paid base for fixed-budget step-up</x:v>
      </x:c>
      <x:c r="B35" s="57" t="n">
        <x:v>1000</x:v>
      </x:c>
      <x:c r="C35" s="40" t="str">
        <x:v>paying subscribers</x:v>
      </x:c>
      <x:c r="D35" s="40" t="str">
        <x:v>Planning switch, not a technical capacity claim.</x:v>
      </x:c>
      <x:c r="E35" s="40" t="str">
        <x:v>Analyst planning assumption; editable</x:v>
      </x:c>
    </x:row>
    <x:row r="36" ht="49" customHeight="1">
      <x:c r="A36" s="41" t="str">
        <x:v>Founder hours per month</x:v>
      </x:c>
      <x:c r="B36" s="57" t="n">
        <x:v>100</x:v>
      </x:c>
      <x:c r="C36" s="41" t="str">
        <x:v>hours/month</x:v>
      </x:c>
      <x:c r="D36" s="41" t="str">
        <x:v>Opportunity-cost sensitivity only; no employee assumed.</x:v>
      </x:c>
      <x:c r="E36" s="41" t="str">
        <x:v>Analyst planning assumption; editable</x:v>
      </x:c>
    </x:row>
    <x:row r="37" ht="49" customHeight="1">
      <x:c r="A37" s="40" t="str">
        <x:v>Imputed founder hourly value</x:v>
      </x:c>
      <x:c r="B37" s="57" t="n">
        <x:v>1000</x:v>
      </x:c>
      <x:c r="C37" s="40" t="str">
        <x:v>INR/hour</x:v>
      </x:c>
      <x:c r="D37" s="40" t="str">
        <x:v>Optional economic cost, not cash salary.</x:v>
      </x:c>
      <x:c r="E37" s="40" t="str">
        <x:v>Analyst planning assumption; editable</x:v>
      </x:c>
    </x:row>
    <x:row r="38" ht="49" customHeight="1">
      <x:c r="A38" s="41" t="str">
        <x:v>Existing dev subscriptions allocated</x:v>
      </x:c>
      <x:c r="B38" s="57" t="n">
        <x:v>0</x:v>
      </x:c>
      <x:c r="C38" s="41" t="str">
        <x:v>INR/month</x:v>
      </x:c>
      <x:c r="D38" s="41" t="str">
        <x:v>Incremental default 0. Enter product's share to view fully loaded economics.</x:v>
      </x:c>
      <x:c r="E38" s="41" t="str">
        <x:v>Analyst planning assumption; editable</x:v>
      </x:c>
    </x:row>
    <x:row r="39" ht="49" customHeight="1">
      <x:c r="A39" s="40" t="str">
        <x:v>Opening launch cash</x:v>
      </x:c>
      <x:c r="B39" s="57" t="n">
        <x:v>100000</x:v>
      </x:c>
      <x:c r="C39" s="40" t="str">
        <x:v>INR</x:v>
      </x:c>
      <x:c r="D39" s="40" t="str">
        <x:v>Proposed ring-fenced budget, NOT approved spending.</x:v>
      </x:c>
      <x:c r="E39" s="40" t="str">
        <x:v>Analyst planning assumption; editable</x:v>
      </x:c>
    </x:row>
    <x:row r="40" ht="49" customHeight="1">
      <x:c r="A40" s="41" t="str">
        <x:v>One-off setup / quality reserve</x:v>
      </x:c>
      <x:c r="B40" s="57" t="n">
        <x:v>20000</x:v>
      </x:c>
      <x:c r="C40" s="41" t="str">
        <x:v>INR</x:v>
      </x:c>
      <x:c r="D40" s="41" t="str">
        <x:v>Planning reserve for store setup, review or testing, not a quotation.</x:v>
      </x:c>
      <x:c r="E40" s="41" t="str">
        <x:v>Analyst planning assumption; editable</x:v>
      </x:c>
    </x:row>
    <x:row r="41" ht="49" customHeight="1">
      <x:c r="A41" s="40" t="str">
        <x:v>Six-week acquisition media ceiling</x:v>
      </x:c>
      <x:c r="B41" s="57" t="n">
        <x:v>24000</x:v>
      </x:c>
      <x:c r="C41" s="40" t="str">
        <x:v>INR</x:v>
      </x:c>
      <x:c r="D41" s="40" t="str">
        <x:v>Proposed staged ceiling, requires approval.</x:v>
      </x:c>
      <x:c r="E41" s="40" t="str">
        <x:v>Analyst planning assumption; editable</x:v>
      </x:c>
    </x:row>
    <x:row r="42" ht="49" customHeight="1">
      <x:c r="A42" s="41" t="str">
        <x:v>Six-week creative budget</x:v>
      </x:c>
      <x:c r="B42" s="57" t="n">
        <x:v>8000</x:v>
      </x:c>
      <x:c r="C42" s="41" t="str">
        <x:v>INR</x:v>
      </x:c>
      <x:c r="D42" s="41" t="str">
        <x:v>Optional paid demo/creator assets, not employee expense.</x:v>
      </x:c>
      <x:c r="E42" s="41" t="str">
        <x:v>Analyst planning assumption; editable</x:v>
      </x:c>
    </x:row>
    <x:row r="43" ht="49" customHeight="1">
      <x:c r="A43" s="40" t="str">
        <x:v>Six-week held acquisition reserve</x:v>
      </x:c>
      <x:c r="B43" s="57" t="n">
        <x:v>8000</x:v>
      </x:c>
      <x:c r="C43" s="40" t="str">
        <x:v>INR</x:v>
      </x:c>
      <x:c r="D43" s="40" t="str">
        <x:v>Do not treat held reserve as actual spent CAC.</x:v>
      </x:c>
      <x:c r="E43" s="40" t="str">
        <x:v>Analyst planning assumption; editable</x:v>
      </x:c>
    </x:row>
    <x:row r="44" ht="49" customHeight="1">
      <x:c r="A44" s="41" t="str">
        <x:v>Pro monthly AI job allowance</x:v>
      </x:c>
      <x:c r="B44" s="57" t="n">
        <x:v>300</x:v>
      </x:c>
      <x:c r="C44" s="41" t="str">
        <x:v>jobs/month</x:v>
      </x:c>
      <x:c r="D44" s="41" t="str">
        <x:v>Proposed allowance. All local replay / quick actions avoid a new model call.</x:v>
      </x:c>
      <x:c r="E44" s="41" t="str">
        <x:v>Analyst planning assumption; editable</x:v>
      </x:c>
    </x:row>
    <x:row r="45" ht="49" customHeight="1">
      <x:c r="A45" s="40" t="str">
        <x:v>LTV annual discount rate</x:v>
      </x:c>
      <x:c r="B45" s="62" t="n">
        <x:v>0.2</x:v>
      </x:c>
      <x:c r="C45" s="40" t="str">
        <x:v>%</x:v>
      </x:c>
      <x:c r="D45" s="40" t="str">
        <x:v>Sensitivity input for 3-year LTV, not investment advice.</x:v>
      </x:c>
      <x:c r="E45" s="40" t="str">
        <x:v>Analyst planning assumption; editable</x:v>
      </x:c>
    </x:row>
    <x:row r="46" ht="49" customHeight="1">
      <x:c r="A46" s="41" t="str">
        <x:v>Workers baseline</x:v>
      </x:c>
      <x:c r="B46" s="57" t="n">
        <x:v>5</x:v>
      </x:c>
      <x:c r="C46" s="41" t="str">
        <x:v>USD/month</x:v>
      </x:c>
      <x:c r="D46" s="41" t="str">
        <x:v>Published starting price; actual usage may add charges.</x:v>
      </x:c>
      <x:c r="E46" s="41" t="str">
        <x:v>https://developers.cloudflare.com/workers/platform/pricing/</x:v>
      </x:c>
    </x:row>
    <x:row r="47" ht="49" customHeight="1">
      <x:c r="A47" s="40" t="str">
        <x:v>Database production baseline</x:v>
      </x:c>
      <x:c r="B47" s="57" t="n">
        <x:v>25</x:v>
      </x:c>
      <x:c r="C47" s="40" t="str">
        <x:v>USD/month</x:v>
      </x:c>
      <x:c r="D47" s="40" t="str">
        <x:v>Optional Supabase Pro base; can begin lower in beta.</x:v>
      </x:c>
      <x:c r="E47" s="40" t="str">
        <x:v>https://supabase.com/pricing</x:v>
      </x:c>
    </x:row>
    <x:row r="48" ht="49" customHeight="1">
      <x:c r="A48" s="41" t="str">
        <x:v>Email monthly reserve</x:v>
      </x:c>
      <x:c r="B48" s="57" t="n">
        <x:v>10</x:v>
      </x:c>
      <x:c r="C48" s="41" t="str">
        <x:v>USD/month</x:v>
      </x:c>
      <x:c r="D48" s="41" t="str">
        <x:v>Allowance, not quoted minimum.</x:v>
      </x:c>
      <x:c r="E48" s="41" t="str">
        <x:v>Analyst planning assumption; editable</x:v>
      </x:c>
    </x:row>
    <x:row r="49" ht="49" customHeight="1">
      <x:c r="A49" s="40" t="str">
        <x:v>Monitoring / support software reserve</x:v>
      </x:c>
      <x:c r="B49" s="57" t="n">
        <x:v>15</x:v>
      </x:c>
      <x:c r="C49" s="40" t="str">
        <x:v>USD/month</x:v>
      </x:c>
      <x:c r="D49" s="40" t="str">
        <x:v>Allowance; free tiers can be used first.</x:v>
      </x:c>
      <x:c r="E49" s="40" t="str">
        <x:v>Analyst planning assumption; editable</x:v>
      </x:c>
    </x:row>
    <x:row r="50" ht="49" customHeight="1">
      <x:c r="A50" s="41" t="str">
        <x:v>Apple annual membership</x:v>
      </x:c>
      <x:c r="B50" s="57" t="n">
        <x:v>99</x:v>
      </x:c>
      <x:c r="C50" s="41" t="str">
        <x:v>USD/year</x:v>
      </x:c>
      <x:c r="D50" s="41" t="str">
        <x:v>Before regional pricing/tax; allocate once, not per app or platform.</x:v>
      </x:c>
      <x:c r="E50" s="41" t="str">
        <x:v>https://developer.apple.com/programs/whats-included/</x:v>
      </x:c>
    </x:row>
    <x:row r="51" ht="49" customHeight="1">
      <x:c r="A51" s="40" t="str">
        <x:v>Domain annual reserve</x:v>
      </x:c>
      <x:c r="B51" s="57" t="n">
        <x:v>1500</x:v>
      </x:c>
      <x:c r="C51" s="40" t="str">
        <x:v>INR/year</x:v>
      </x:c>
      <x:c r="D51" s="40" t="str">
        <x:v>Planning reserve, no domain selected.</x:v>
      </x:c>
      <x:c r="E51" s="40" t="str">
        <x:v>Analyst planning assumption; editable</x:v>
      </x:c>
    </x:row>
    <x:row r="52" ht="49" customHeight="1">
      <x:c r="A52" s="41" t="str">
        <x:v>Illustrative creative uplift over media</x:v>
      </x:c>
      <x:c r="B52" s="62" t="n">
        <x:v>0.25</x:v>
      </x:c>
      <x:c r="C52" s="41" t="str">
        <x:v>%</x:v>
      </x:c>
      <x:c r="D52" s="41" t="str">
        <x:v>Used in CAC sensitivity grid; not a benchmark.</x:v>
      </x:c>
      <x:c r="E52" s="41" t="str">
        <x:v>Analyst planning assumption; editable</x:v>
      </x:c>
    </x:row>
  </x:sheetData>
  <x:mergeCells>
    <x:mergeCell ref="A1:E1"/>
    <x:mergeCell ref="A2:E2"/>
  </x:mergeCells>
  <x:pageMargins left="0.7" right="0.7" top="0.75" bottom="0.75" header="0.3" footer="0.3"/>
  <x:legacyDrawing xmlns:r="http://schemas.openxmlformats.org/officeDocument/2006/relationships" r:id="R6558e225703d4b5d"/>
</x:worksheet>
</file>

<file path=xl/worksheets/sheet3.xml><?xml version="1.0" encoding="utf-8"?>
<x:worksheet xmlns:x="http://schemas.openxmlformats.org/spreadsheetml/2006/main">
  <x:sheetFormatPr defaultRowHeight="15"/>
  <x:cols>
    <x:col min="1" max="1" width="45" hidden="0" customWidth="1"/>
    <x:col min="2" max="2" width="23" hidden="0" customWidth="1"/>
    <x:col min="3" max="3" width="23" hidden="0" customWidth="1"/>
    <x:col min="4" max="4" width="23" hidden="0" customWidth="1"/>
    <x:col min="5" max="5" width="23" hidden="0" customWidth="1"/>
  </x:cols>
  <x:sheetData>
    <x:row r="1" ht="40" customHeight="1">
      <x:c r="A1" s="15" t="str">
        <x:v>WHAT EACH PAYING CUSTOMER CONTRIBUTES</x:v>
      </x:c>
      <x:c r="B1" s="15"/>
      <x:c r="C1" s="15"/>
      <x:c r="D1" s="15"/>
      <x:c r="E1" s="15"/>
    </x:row>
    <x:row r="2" ht="32" customHeight="1">
      <x:c r="A2" s="19" t="str">
        <x:v>First-year contribution, before acquisition, fixed overhead and founder pay.</x:v>
      </x:c>
      <x:c r="B2" s="19"/>
      <x:c r="C2" s="19"/>
      <x:c r="D2" s="19"/>
      <x:c r="E2" s="19"/>
    </x:row>
    <x:row r="3" ht="24" customHeight="1">
      <x:c r="A3" s="12"/>
      <x:c r="B3" s="12"/>
      <x:c r="C3" s="12"/>
      <x:c r="D3" s="12"/>
      <x:c r="E3" s="12"/>
    </x:row>
    <x:row r="4" ht="44" customHeight="1">
      <x:c r="A4" s="24" t="str">
        <x:v>Annual plan: INR unless stated</x:v>
      </x:c>
      <x:c r="B4" s="24" t="str">
        <x:v>India / web</x:v>
      </x:c>
      <x:c r="C4" s="24" t="str">
        <x:v>India / app store</x:v>
      </x:c>
      <x:c r="D4" s="24" t="str">
        <x:v>Global / web MoR</x:v>
      </x:c>
      <x:c r="E4" s="24" t="str">
        <x:v>Global / app store</x:v>
      </x:c>
    </x:row>
    <x:row r="5" ht="24" customHeight="1">
      <x:c r="A5" s="40" t="str">
        <x:v>Customer sticker price (INR)</x:v>
      </x:c>
      <x:c r="B5" s="104" t="n">
        <x:f>'Inputs'!$B$7</x:f>
        <x:v>1999</x:v>
      </x:c>
      <x:c r="C5" s="104" t="n">
        <x:f>'Inputs'!$B$7</x:f>
        <x:v>1999</x:v>
      </x:c>
      <x:c r="D5" s="104" t="n">
        <x:f>'Inputs'!$B$9*'Inputs'!$B$5</x:f>
        <x:v>3599.1000000000004</x:v>
      </x:c>
      <x:c r="E5" s="104" t="n">
        <x:f>'Inputs'!$B$9*'Inputs'!$B$5</x:f>
        <x:v>3599.1000000000004</x:v>
      </x:c>
    </x:row>
    <x:row r="6" ht="24" customHeight="1">
      <x:c r="A6" s="41" t="str">
        <x:v>Tax included in sticker (%)</x:v>
      </x:c>
      <x:c r="B6" s="105" t="n">
        <x:f>'Inputs'!$B$11</x:f>
        <x:v>0.18</x:v>
      </x:c>
      <x:c r="C6" s="105" t="n">
        <x:f>'Inputs'!$B$11</x:f>
        <x:v>0.18</x:v>
      </x:c>
      <x:c r="D6" s="105" t="n">
        <x:f>'Inputs'!$B$12</x:f>
        <x:v>0</x:v>
      </x:c>
      <x:c r="E6" s="105" t="n">
        <x:f>'Inputs'!$B$12</x:f>
        <x:v>0</x:v>
      </x:c>
    </x:row>
    <x:row r="7" ht="24" customHeight="1">
      <x:c r="A7" s="40" t="str">
        <x:v>Revenue excluding sales tax</x:v>
      </x:c>
      <x:c r="B7" s="64" t="n">
        <x:f>B5/(1+B6)</x:f>
        <x:v>1694.0677966101696</x:v>
      </x:c>
      <x:c r="C7" s="64" t="n">
        <x:f>C5/(1+C6)</x:f>
        <x:v>1694.0677966101696</x:v>
      </x:c>
      <x:c r="D7" s="64" t="n">
        <x:f>D5/(1+D6)</x:f>
        <x:v>3599.1000000000004</x:v>
      </x:c>
      <x:c r="E7" s="64" t="n">
        <x:f>E5/(1+E6)</x:f>
        <x:v>3599.1000000000004</x:v>
      </x:c>
    </x:row>
    <x:row r="8" ht="24" customHeight="1">
      <x:c r="A8" s="41" t="str">
        <x:v>Payment / channel fee</x:v>
      </x:c>
      <x:c r="B8" s="108" t="n">
        <x:f>B5*'Inputs'!$B$14</x:f>
        <x:v>47.1764</x:v>
      </x:c>
      <x:c r="C8" s="108" t="n">
        <x:f>C7*'Inputs'!$B$13</x:f>
        <x:v>254.11016949152543</x:v>
      </x:c>
      <x:c r="D8" s="108" t="n">
        <x:f>D5*'Inputs'!$B$15+'Inputs'!$B$16*'Inputs'!$B$5</x:f>
        <x:v>224.95500000000004</x:v>
      </x:c>
      <x:c r="E8" s="108" t="n">
        <x:f>E7*'Inputs'!$B$13</x:f>
        <x:v>539.865</x:v>
      </x:c>
    </x:row>
    <x:row r="9" ht="24" customHeight="1">
      <x:c r="A9" s="40" t="str">
        <x:v>Refund / dispute reserve</x:v>
      </x:c>
      <x:c r="B9" s="104" t="n">
        <x:f>B7*'Inputs'!$B$17</x:f>
        <x:v>50.82203389830509</x:v>
      </x:c>
      <x:c r="C9" s="104" t="n">
        <x:f>C7*'Inputs'!$B$17</x:f>
        <x:v>50.82203389830509</x:v>
      </x:c>
      <x:c r="D9" s="104" t="n">
        <x:f>D7*'Inputs'!$B$17</x:f>
        <x:v>107.97300000000001</x:v>
      </x:c>
      <x:c r="E9" s="104" t="n">
        <x:f>E7*'Inputs'!$B$17</x:f>
        <x:v>107.97300000000001</x:v>
      </x:c>
    </x:row>
    <x:row r="10" ht="24" customHeight="1">
      <x:c r="A10" s="41" t="str">
        <x:v>Subscription tooling reserve</x:v>
      </x:c>
      <x:c r="B10" s="108" t="n">
        <x:f>B5*'Inputs'!$B$18</x:f>
        <x:v>19.990000000000002</x:v>
      </x:c>
      <x:c r="C10" s="108" t="n">
        <x:f>C5*'Inputs'!$B$18</x:f>
        <x:v>19.990000000000002</x:v>
      </x:c>
      <x:c r="D10" s="108" t="n">
        <x:f>D5*'Inputs'!$B$18</x:f>
        <x:v>35.99100000000001</x:v>
      </x:c>
      <x:c r="E10" s="108" t="n">
        <x:f>E5*'Inputs'!$B$18</x:f>
        <x:v>35.99100000000001</x:v>
      </x:c>
    </x:row>
    <x:row r="11" ht="24" customHeight="1">
      <x:c r="A11" s="40" t="str">
        <x:v>Paid user's annual AI cost</x:v>
      </x:c>
      <x:c r="B11" s="104" t="n">
        <x:f>'Overview'!$B$7*'Inputs'!$B$24*'Inputs'!$B$6</x:f>
        <x:v>70.19999999999999</x:v>
      </x:c>
      <x:c r="C11" s="104" t="n">
        <x:f>'Overview'!$B$7*'Inputs'!$B$24*'Inputs'!$B$6</x:f>
        <x:v>70.19999999999999</x:v>
      </x:c>
      <x:c r="D11" s="104" t="n">
        <x:f>'Overview'!$B$7*'Inputs'!$B$24*'Inputs'!$B$6</x:f>
        <x:v>70.19999999999999</x:v>
      </x:c>
      <x:c r="E11" s="104" t="n">
        <x:f>'Overview'!$B$7*'Inputs'!$B$24*'Inputs'!$B$6</x:f>
        <x:v>70.19999999999999</x:v>
      </x:c>
    </x:row>
    <x:row r="12" ht="24" customHeight="1">
      <x:c r="A12" s="41" t="str">
        <x:v>Allocated annual free-user AI</x:v>
      </x:c>
      <x:c r="B12" s="108" t="n">
        <x:f>'Overview'!$B$7*'Inputs'!$B$25*'Inputs'!$B$26*'Inputs'!$B$6</x:f>
        <x:v>84.24</x:v>
      </x:c>
      <x:c r="C12" s="108" t="n">
        <x:f>'Overview'!$B$7*'Inputs'!$B$25*'Inputs'!$B$26*'Inputs'!$B$6</x:f>
        <x:v>84.24</x:v>
      </x:c>
      <x:c r="D12" s="108" t="n">
        <x:f>'Overview'!$B$7*'Inputs'!$B$25*'Inputs'!$B$26*'Inputs'!$B$6</x:f>
        <x:v>84.24</x:v>
      </x:c>
      <x:c r="E12" s="108" t="n">
        <x:f>'Overview'!$B$7*'Inputs'!$B$25*'Inputs'!$B$26*'Inputs'!$B$6</x:f>
        <x:v>84.24</x:v>
      </x:c>
    </x:row>
    <x:row r="13" ht="24" customHeight="1">
      <x:c r="A13" s="40" t="str">
        <x:v>Variable support reserve</x:v>
      </x:c>
      <x:c r="B13" s="104" t="n">
        <x:f>'Inputs'!$B$27</x:f>
        <x:v>60</x:v>
      </x:c>
      <x:c r="C13" s="104" t="n">
        <x:f>'Inputs'!$B$27</x:f>
        <x:v>60</x:v>
      </x:c>
      <x:c r="D13" s="104" t="n">
        <x:f>'Inputs'!$B$27</x:f>
        <x:v>60</x:v>
      </x:c>
      <x:c r="E13" s="104" t="n">
        <x:f>'Inputs'!$B$27</x:f>
        <x:v>60</x:v>
      </x:c>
    </x:row>
    <x:row r="14" ht="24" customHeight="1">
      <x:c r="A14" s="41" t="str">
        <x:v>Total variable cost</x:v>
      </x:c>
      <x:c r="B14" s="65" t="n">
        <x:f>SUM(B8:B13)</x:f>
        <x:v>332.42843389830506</x:v>
      </x:c>
      <x:c r="C14" s="65" t="n">
        <x:f>SUM(C8:C13)</x:f>
        <x:v>539.3622033898305</x:v>
      </x:c>
      <x:c r="D14" s="65" t="n">
        <x:f>SUM(D8:D13)</x:f>
        <x:v>583.359</x:v>
      </x:c>
      <x:c r="E14" s="65" t="n">
        <x:f>SUM(E8:E13)</x:f>
        <x:v>898.269</x:v>
      </x:c>
    </x:row>
    <x:row r="15" ht="30" customHeight="1">
      <x:c r="A15" s="74" t="str">
        <x:v>FIRST-YEAR CONTRIBUTION</x:v>
      </x:c>
      <x:c r="B15" s="75" t="n">
        <x:f>B7-B14</x:f>
        <x:v>1361.6393627118646</x:v>
      </x:c>
      <x:c r="C15" s="75" t="n">
        <x:f>C7-C14</x:f>
        <x:v>1154.705593220339</x:v>
      </x:c>
      <x:c r="D15" s="75" t="n">
        <x:f>D7-D14</x:f>
        <x:v>3015.7410000000004</x:v>
      </x:c>
      <x:c r="E15" s="75" t="n">
        <x:f>E7-E14</x:f>
        <x:v>2700.831</x:v>
      </x:c>
    </x:row>
    <x:row r="16" ht="24" customHeight="1">
      <x:c r="A16" s="41" t="str">
        <x:v>Contribution margin (%)</x:v>
      </x:c>
      <x:c r="B16" s="68" t="n">
        <x:f>IF(B7=0,0,B15/B7)</x:f>
        <x:v>0.8037691085542772</x:v>
      </x:c>
      <x:c r="C16" s="68" t="n">
        <x:f>IF(C7=0,0,C15/C7)</x:f>
        <x:v>0.6816171085542772</x:v>
      </x:c>
      <x:c r="D16" s="68" t="n">
        <x:f>IF(D7=0,0,D15/D7)</x:f>
        <x:v>0.8379153121613737</x:v>
      </x:c>
      <x:c r="E16" s="68" t="n">
        <x:f>IF(E7=0,0,E15/E7)</x:f>
        <x:v>0.750418437942819</x:v>
      </x:c>
    </x:row>
    <x:row r="17" ht="30" customHeight="1">
      <x:c r="A17" s="24" t="str">
        <x:v>TARGET ALL-IN CAC</x:v>
      </x:c>
      <x:c r="B17" s="81" t="n">
        <x:f>B15*'Inputs'!$B$30</x:f>
        <x:v>408.4918088135594</x:v>
      </x:c>
      <x:c r="C17" s="81" t="n">
        <x:f>C15*'Inputs'!$B$30</x:f>
        <x:v>346.4116779661017</x:v>
      </x:c>
      <x:c r="D17" s="81" t="n">
        <x:f>D15*'Inputs'!$B$30</x:f>
        <x:v>904.7223000000001</x:v>
      </x:c>
      <x:c r="E17" s="81" t="n">
        <x:f>E15*'Inputs'!$B$30</x:f>
        <x:v>810.2493000000001</x:v>
      </x:c>
    </x:row>
    <x:row r="18" ht="24" customHeight="1">
      <x:c r="A18" s="41" t="str">
        <x:v>Contribution after target CAC</x:v>
      </x:c>
      <x:c r="B18" s="65" t="n">
        <x:f>B15-B17</x:f>
        <x:v>953.1475538983052</x:v>
      </x:c>
      <x:c r="C18" s="65" t="n">
        <x:f>C15-C17</x:f>
        <x:v>808.2939152542374</x:v>
      </x:c>
      <x:c r="D18" s="65" t="n">
        <x:f>D15-D17</x:f>
        <x:v>2111.0187000000005</x:v>
      </x:c>
      <x:c r="E18" s="65" t="n">
        <x:f>E15-E17</x:f>
        <x:v>1890.5817000000002</x:v>
      </x:c>
    </x:row>
    <x:row r="19" ht="24" customHeight="1">
      <x:c r="A19" s="40" t="str">
        <x:v>Contribution / target CAC (x)</x:v>
      </x:c>
      <x:c r="B19" s="70" t="n">
        <x:f>IF(B17=0,0,B15/B17)</x:f>
        <x:v>3.3333333333333335</x:v>
      </x:c>
      <x:c r="C19" s="70" t="n">
        <x:f>IF(C17=0,0,C15/C17)</x:f>
        <x:v>3.3333333333333335</x:v>
      </x:c>
      <x:c r="D19" s="70" t="n">
        <x:f>IF(D17=0,0,D15/D17)</x:f>
        <x:v>3.3333333333333335</x:v>
      </x:c>
      <x:c r="E19" s="70" t="n">
        <x:f>IF(E17=0,0,E15/E17)</x:f>
        <x:v>3.333333333333333</x:v>
      </x:c>
    </x:row>
    <x:row r="20" ht="24" customHeight="1">
      <x:c r="A20" s="41"/>
      <x:c r="B20" s="65"/>
      <x:c r="C20" s="65"/>
      <x:c r="D20" s="65"/>
      <x:c r="E20" s="65"/>
    </x:row>
    <x:row r="21" ht="24" customHeight="1">
      <x:c r="A21" s="40"/>
      <x:c r="B21" s="64"/>
      <x:c r="C21" s="64"/>
      <x:c r="D21" s="64"/>
      <x:c r="E21" s="64"/>
    </x:row>
    <x:row r="22" ht="24" customHeight="1">
      <x:c r="A22" s="41" t="str">
        <x:v>Illustrative sales mix weight</x:v>
      </x:c>
      <x:c r="B22" s="105" t="n">
        <x:f>'Inputs'!$B$28*'Inputs'!$B$29</x:f>
        <x:v>0.2</x:v>
      </x:c>
      <x:c r="C22" s="105" t="n">
        <x:f>'Inputs'!$B$28*(1-'Inputs'!$B$29)</x:f>
        <x:v>0.2</x:v>
      </x:c>
      <x:c r="D22" s="105" t="n">
        <x:f>(1-'Inputs'!$B$28)*'Inputs'!$B$29</x:f>
        <x:v>0.3</x:v>
      </x:c>
      <x:c r="E22" s="105" t="n">
        <x:f>(1-'Inputs'!$B$28)*(1-'Inputs'!$B$29)</x:f>
        <x:v>0.3</x:v>
      </x:c>
    </x:row>
    <x:row r="23" ht="24" customHeight="1">
      <x:c r="A23" s="40"/>
      <x:c r="B23" s="64"/>
      <x:c r="C23" s="64"/>
      <x:c r="D23" s="64"/>
      <x:c r="E23" s="64"/>
    </x:row>
    <x:row r="24" ht="24" customHeight="1">
      <x:c r="A24" s="41"/>
      <x:c r="B24" s="65"/>
      <x:c r="C24" s="65"/>
      <x:c r="D24" s="65"/>
      <x:c r="E24" s="65"/>
    </x:row>
    <x:row r="25" ht="24" customHeight="1">
      <x:c r="A25" s="40" t="str">
        <x:v>Blended sticker price</x:v>
      </x:c>
      <x:c r="B25" s="64" t="n">
        <x:f>SUMPRODUCT(B5:E5,$B$22:$E$22)</x:f>
        <x:v>2959.06</x:v>
      </x:c>
      <x:c r="C25" s="64" t="str">
        <x:v>Blended figures depend heavily on country and sales-channel mix.</x:v>
      </x:c>
      <x:c r="D25" s="64"/>
      <x:c r="E25" s="64"/>
    </x:row>
    <x:row r="26" ht="24" customHeight="1">
      <x:c r="A26" s="41" t="str">
        <x:v>Blended revenue excluding tax</x:v>
      </x:c>
      <x:c r="B26" s="65" t="n">
        <x:f>SUMPRODUCT(B7:E7,$B$22:$E$22)</x:f>
        <x:v>2837.087118644068</x:v>
      </x:c>
      <x:c r="C26" s="65"/>
      <x:c r="D26" s="65"/>
      <x:c r="E26" s="65"/>
    </x:row>
    <x:row r="27" ht="24" customHeight="1">
      <x:c r="A27" s="40" t="str">
        <x:v>Blended payment / channel fee</x:v>
      </x:c>
      <x:c r="B27" s="64" t="n">
        <x:f>SUMPRODUCT(B8:E8,$B$22:$E$22)</x:f>
        <x:v>289.70331389830505</x:v>
      </x:c>
      <x:c r="C27" s="64"/>
      <x:c r="D27" s="64"/>
      <x:c r="E27" s="64"/>
    </x:row>
    <x:row r="28" ht="24" customHeight="1">
      <x:c r="A28" s="41" t="str">
        <x:v>Blended refund reserve</x:v>
      </x:c>
      <x:c r="B28" s="65" t="n">
        <x:f>SUMPRODUCT(B9:E9,$B$22:$E$22)</x:f>
        <x:v>85.11261355932203</x:v>
      </x:c>
      <x:c r="C28" s="65"/>
      <x:c r="D28" s="65"/>
      <x:c r="E28" s="65"/>
    </x:row>
    <x:row r="29" ht="24" customHeight="1">
      <x:c r="A29" s="40" t="str">
        <x:v>Blended subscription-tool reserve</x:v>
      </x:c>
      <x:c r="B29" s="64" t="n">
        <x:f>SUMPRODUCT(B10:E10,$B$22:$E$22)</x:f>
        <x:v>29.590600000000002</x:v>
      </x:c>
      <x:c r="C29" s="64"/>
      <x:c r="D29" s="64"/>
      <x:c r="E29" s="64"/>
    </x:row>
    <x:row r="30" ht="24" customHeight="1">
      <x:c r="A30" s="41" t="str">
        <x:v>Blended paid AI / year</x:v>
      </x:c>
      <x:c r="B30" s="65" t="n">
        <x:f>SUMPRODUCT(B11:E11,$B$22:$E$22)</x:f>
        <x:v>70.19999999999999</x:v>
      </x:c>
      <x:c r="C30" s="65"/>
      <x:c r="D30" s="65"/>
      <x:c r="E30" s="65"/>
    </x:row>
    <x:row r="31" ht="24" customHeight="1">
      <x:c r="A31" s="40" t="str">
        <x:v>Blended free-user AI / year</x:v>
      </x:c>
      <x:c r="B31" s="64" t="n">
        <x:f>SUMPRODUCT(B12:E12,$B$22:$E$22)</x:f>
        <x:v>84.24</x:v>
      </x:c>
      <x:c r="C31" s="64"/>
      <x:c r="D31" s="64"/>
      <x:c r="E31" s="64"/>
    </x:row>
    <x:row r="32" ht="24" customHeight="1">
      <x:c r="A32" s="41" t="str">
        <x:v>Blended support / year</x:v>
      </x:c>
      <x:c r="B32" s="65" t="n">
        <x:f>SUMPRODUCT(B13:E13,$B$22:$E$22)</x:f>
        <x:v>60</x:v>
      </x:c>
      <x:c r="C32" s="65"/>
      <x:c r="D32" s="65"/>
      <x:c r="E32" s="65"/>
    </x:row>
    <x:row r="33" ht="30" customHeight="1">
      <x:c r="A33" s="74" t="str">
        <x:v>BLENDED FIRST-YEAR CONTRIBUTION</x:v>
      </x:c>
      <x:c r="B33" s="75" t="n">
        <x:f>SUMPRODUCT(B15:E15,$B$22:$E$22)</x:f>
        <x:v>2218.2405911864407</x:v>
      </x:c>
      <x:c r="C33" s="75"/>
      <x:c r="D33" s="75"/>
      <x:c r="E33" s="75"/>
    </x:row>
    <x:row r="34" ht="30" customHeight="1">
      <x:c r="A34" s="24" t="str">
        <x:v>Blended target CAC</x:v>
      </x:c>
      <x:c r="B34" s="81" t="n">
        <x:f>SUMPRODUCT(B17:E17,$B$22:$E$22)</x:f>
        <x:v>665.4721773559322</x:v>
      </x:c>
      <x:c r="C34" s="81"/>
      <x:c r="D34" s="81"/>
      <x:c r="E34" s="81"/>
    </x:row>
    <x:row r="35" ht="24" customHeight="1">
      <x:c r="A35" s="40" t="str">
        <x:v>Modeled all-in cash CAC</x:v>
      </x:c>
      <x:c r="B35" s="104" t="n">
        <x:f>'Inputs'!$B$32</x:f>
        <x:v>650</x:v>
      </x:c>
      <x:c r="C35" s="64"/>
      <x:c r="D35" s="64"/>
      <x:c r="E35" s="64"/>
    </x:row>
    <x:row r="36" ht="24" customHeight="1">
      <x:c r="A36" s="41" t="str">
        <x:v>Three-year discounted contribution</x:v>
      </x:c>
      <x:c r="B36" s="108" t="n">
        <x:f>B33*(1+'Inputs'!$B$31/(1+'Inputs'!$B$45)+'Inputs'!$B$31^2/(1+'Inputs'!$B$45)^2)</x:f>
        <x:v>2911.4407759322035</x:v>
      </x:c>
      <x:c r="C36" s="65" t="str">
        <x:v>LTV is a scenario, not proven customer lifetime value. Launch CAC limits use first-year contribution only.</x:v>
      </x:c>
      <x:c r="D36" s="65"/>
      <x:c r="E36" s="65"/>
    </x:row>
    <x:row r="37" ht="24" customHeight="1">
      <x:c r="A37" s="40" t="str">
        <x:v>First-year contribution after modeled CAC</x:v>
      </x:c>
      <x:c r="B37" s="64" t="n">
        <x:f>B33-B35</x:f>
        <x:v>1568.2405911864407</x:v>
      </x:c>
      <x:c r="C37" s="64"/>
      <x:c r="D37" s="64"/>
      <x:c r="E37" s="64"/>
    </x:row>
    <x:row r="38" ht="24" customHeight="1">
      <x:c r="A38" s="41"/>
      <x:c r="B38" s="65"/>
      <x:c r="C38" s="65"/>
      <x:c r="D38" s="65"/>
      <x:c r="E38" s="65"/>
    </x:row>
    <x:row r="39" ht="24" customHeight="1">
      <x:c r="A39" s="40"/>
      <x:c r="B39" s="64"/>
      <x:c r="C39" s="64"/>
      <x:c r="D39" s="64"/>
      <x:c r="E39" s="64"/>
    </x:row>
    <x:row r="40" ht="40" customHeight="1">
      <x:c r="A40" s="24" t="str">
        <x:v>MONTHLY PLAN: use a shorter payback budget; do not reuse annual CAC blindly.</x:v>
      </x:c>
      <x:c r="B40" s="81"/>
      <x:c r="C40" s="81"/>
      <x:c r="D40" s="81"/>
      <x:c r="E40" s="81"/>
    </x:row>
    <x:row r="41" ht="24" customHeight="1">
      <x:c r="A41" s="40" t="str">
        <x:v>Monthly sticker price (INR)</x:v>
      </x:c>
      <x:c r="B41" s="104" t="n">
        <x:f>'Inputs'!$B$8</x:f>
        <x:v>249</x:v>
      </x:c>
      <x:c r="C41" s="104" t="n">
        <x:f>'Inputs'!$B$8</x:f>
        <x:v>249</x:v>
      </x:c>
      <x:c r="D41" s="104" t="n">
        <x:f>'Inputs'!$B$10*'Inputs'!$B$5</x:f>
        <x:v>539.1</x:v>
      </x:c>
      <x:c r="E41" s="104" t="n">
        <x:f>'Inputs'!$B$10*'Inputs'!$B$5</x:f>
        <x:v>539.1</x:v>
      </x:c>
    </x:row>
    <x:row r="42" ht="24" customHeight="1">
      <x:c r="A42" s="41" t="str">
        <x:v>Monthly revenue excluding tax</x:v>
      </x:c>
      <x:c r="B42" s="108" t="n">
        <x:f>B41/(1+B6)</x:f>
        <x:v>211.0169491525424</x:v>
      </x:c>
      <x:c r="C42" s="108" t="n">
        <x:f>C41/(1+C6)</x:f>
        <x:v>211.0169491525424</x:v>
      </x:c>
      <x:c r="D42" s="108" t="n">
        <x:f>D41/(1+D6)</x:f>
        <x:v>539.1</x:v>
      </x:c>
      <x:c r="E42" s="108" t="n">
        <x:f>E41/(1+E6)</x:f>
        <x:v>539.1</x:v>
      </x:c>
    </x:row>
    <x:row r="43" ht="24" customHeight="1">
      <x:c r="A43" s="40" t="str">
        <x:v>Payment / channel fee</x:v>
      </x:c>
      <x:c r="B43" s="104" t="n">
        <x:f>B41*'Inputs'!$B$14</x:f>
        <x:v>5.8764</x:v>
      </x:c>
      <x:c r="C43" s="104" t="n">
        <x:f>C42*'Inputs'!$B$13</x:f>
        <x:v>31.652542372881356</x:v>
      </x:c>
      <x:c r="D43" s="104" t="n">
        <x:f>D41*'Inputs'!$B$15+'Inputs'!$B$16*'Inputs'!$B$5</x:f>
        <x:v>71.955</x:v>
      </x:c>
      <x:c r="E43" s="104" t="n">
        <x:f>E42*'Inputs'!$B$13</x:f>
        <x:v>80.865</x:v>
      </x:c>
    </x:row>
    <x:row r="44" ht="24" customHeight="1">
      <x:c r="A44" s="41" t="str">
        <x:v>Refund / dispute reserve</x:v>
      </x:c>
      <x:c r="B44" s="108" t="n">
        <x:f>B42*'Inputs'!$B$17</x:f>
        <x:v>6.330508474576272</x:v>
      </x:c>
      <x:c r="C44" s="108" t="n">
        <x:f>C42*'Inputs'!$B$17</x:f>
        <x:v>6.330508474576272</x:v>
      </x:c>
      <x:c r="D44" s="108" t="n">
        <x:f>D42*'Inputs'!$B$17</x:f>
        <x:v>16.173000000000002</x:v>
      </x:c>
      <x:c r="E44" s="108" t="n">
        <x:f>E42*'Inputs'!$B$17</x:f>
        <x:v>16.173000000000002</x:v>
      </x:c>
    </x:row>
    <x:row r="45" ht="24" customHeight="1">
      <x:c r="A45" s="40" t="str">
        <x:v>Subscription tooling reserve</x:v>
      </x:c>
      <x:c r="B45" s="104" t="n">
        <x:f>B41*'Inputs'!$B$18</x:f>
        <x:v>2.49</x:v>
      </x:c>
      <x:c r="C45" s="104" t="n">
        <x:f>C41*'Inputs'!$B$18</x:f>
        <x:v>2.49</x:v>
      </x:c>
      <x:c r="D45" s="104" t="n">
        <x:f>D41*'Inputs'!$B$18</x:f>
        <x:v>5.391</x:v>
      </x:c>
      <x:c r="E45" s="104" t="n">
        <x:f>E41*'Inputs'!$B$18</x:f>
        <x:v>5.391</x:v>
      </x:c>
    </x:row>
    <x:row r="46" ht="24" customHeight="1">
      <x:c r="A46" s="41" t="str">
        <x:v>Paid user's monthly AI cost</x:v>
      </x:c>
      <x:c r="B46" s="108" t="n">
        <x:f>B11/'Inputs'!$B$6</x:f>
        <x:v>5.849999999999999</x:v>
      </x:c>
      <x:c r="C46" s="108" t="n">
        <x:f>C11/'Inputs'!$B$6</x:f>
        <x:v>5.849999999999999</x:v>
      </x:c>
      <x:c r="D46" s="108" t="n">
        <x:f>D11/'Inputs'!$B$6</x:f>
        <x:v>5.849999999999999</x:v>
      </x:c>
      <x:c r="E46" s="108" t="n">
        <x:f>E11/'Inputs'!$B$6</x:f>
        <x:v>5.849999999999999</x:v>
      </x:c>
    </x:row>
    <x:row r="47" ht="24" customHeight="1">
      <x:c r="A47" s="40" t="str">
        <x:v>Allocated monthly free-user AI</x:v>
      </x:c>
      <x:c r="B47" s="104" t="n">
        <x:f>B12/'Inputs'!$B$6</x:f>
        <x:v>7.02</x:v>
      </x:c>
      <x:c r="C47" s="104" t="n">
        <x:f>C12/'Inputs'!$B$6</x:f>
        <x:v>7.02</x:v>
      </x:c>
      <x:c r="D47" s="104" t="n">
        <x:f>D12/'Inputs'!$B$6</x:f>
        <x:v>7.02</x:v>
      </x:c>
      <x:c r="E47" s="104" t="n">
        <x:f>E12/'Inputs'!$B$6</x:f>
        <x:v>7.02</x:v>
      </x:c>
    </x:row>
    <x:row r="48" ht="24" customHeight="1">
      <x:c r="A48" s="41" t="str">
        <x:v>Monthly support reserve</x:v>
      </x:c>
      <x:c r="B48" s="108" t="n">
        <x:f>B13/'Inputs'!$B$6</x:f>
        <x:v>5</x:v>
      </x:c>
      <x:c r="C48" s="108" t="n">
        <x:f>C13/'Inputs'!$B$6</x:f>
        <x:v>5</x:v>
      </x:c>
      <x:c r="D48" s="108" t="n">
        <x:f>D13/'Inputs'!$B$6</x:f>
        <x:v>5</x:v>
      </x:c>
      <x:c r="E48" s="108" t="n">
        <x:f>E13/'Inputs'!$B$6</x:f>
        <x:v>5</x:v>
      </x:c>
    </x:row>
    <x:row r="49" ht="30" customHeight="1">
      <x:c r="A49" s="74" t="str">
        <x:v>FIRST-MONTH CONTRIBUTION</x:v>
      </x:c>
      <x:c r="B49" s="75" t="n">
        <x:f>B42-SUM(B43:B48)</x:f>
        <x:v>178.45004067796611</x:v>
      </x:c>
      <x:c r="C49" s="75" t="n">
        <x:f>C42-SUM(C43:C48)</x:f>
        <x:v>152.67389830508478</x:v>
      </x:c>
      <x:c r="D49" s="75" t="n">
        <x:f>D42-SUM(D43:D48)</x:f>
        <x:v>427.711</x:v>
      </x:c>
      <x:c r="E49" s="75" t="n">
        <x:f>E42-SUM(E43:E48)</x:f>
        <x:v>418.80100000000004</x:v>
      </x:c>
    </x:row>
    <x:row r="50" ht="30" customHeight="1">
      <x:c r="A50" s="24" t="str">
        <x:v>First-payment CAC target (30%)</x:v>
      </x:c>
      <x:c r="B50" s="81" t="n">
        <x:f>B49*'Inputs'!$B$30</x:f>
        <x:v>53.53501220338983</x:v>
      </x:c>
      <x:c r="C50" s="81" t="n">
        <x:f>C49*'Inputs'!$B$30</x:f>
        <x:v>45.80216949152543</x:v>
      </x:c>
      <x:c r="D50" s="81" t="n">
        <x:f>D49*'Inputs'!$B$30</x:f>
        <x:v>128.3133</x:v>
      </x:c>
      <x:c r="E50" s="81" t="n">
        <x:f>E49*'Inputs'!$B$30</x:f>
        <x:v>125.64030000000001</x:v>
      </x:c>
    </x:row>
    <x:row r="51" ht="24" customHeight="1">
      <x:c r="A51" s="28"/>
      <x:c r="B51" s="28"/>
      <x:c r="C51" s="28"/>
      <x:c r="D51" s="28"/>
      <x:c r="E51" s="28"/>
    </x:row>
    <x:row r="52" ht="24" customHeight="1">
      <x:c r="A52" s="12"/>
      <x:c r="B52" s="12"/>
      <x:c r="C52" s="12"/>
      <x:c r="D52" s="12"/>
      <x:c r="E52" s="12"/>
    </x:row>
  </x:sheetData>
  <x:mergeCells>
    <x:mergeCell ref="C25:E25"/>
    <x:mergeCell ref="C36:E37"/>
    <x:mergeCell ref="A40:E40"/>
    <x:mergeCell ref="A1:E1"/>
    <x:mergeCell ref="A2:E2"/>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40" customHeight="1">
      <x:c r="A1" s="15" t="str">
        <x:v>ACQUISITION COST &amp; CONVERSION</x:v>
      </x:c>
      <x:c r="B1" s="15"/>
      <x:c r="C1" s="15"/>
      <x:c r="D1" s="15"/>
      <x:c r="E1" s="15"/>
      <x:c r="F1" s="15"/>
      <x:c r="G1" s="15"/>
      <x:c r="H1" s="15"/>
    </x:row>
    <x:row r="2" ht="32" customHeight="1">
      <x:c r="A2" s="19" t="str">
        <x:v>Clicks and installs are not customers. All campaign cases are hypothetical.</x:v>
      </x:c>
      <x:c r="B2" s="19"/>
      <x:c r="C2" s="19"/>
      <x:c r="D2" s="19"/>
      <x:c r="E2" s="19"/>
      <x:c r="F2" s="19"/>
      <x:c r="G2" s="19"/>
      <x:c r="H2" s="19"/>
    </x:row>
    <x:row r="3" ht="24" customHeight="1">
      <x:c r="A3" s="12"/>
      <x:c r="B3" s="12"/>
      <x:c r="C3" s="12"/>
      <x:c r="D3" s="12"/>
      <x:c r="E3" s="12"/>
      <x:c r="F3" s="12"/>
      <x:c r="G3" s="12"/>
      <x:c r="H3" s="12"/>
    </x:row>
    <x:row r="4" ht="44" customHeight="1">
      <x:c r="A4" s="24" t="str">
        <x:v>Illustrative paid-click case</x:v>
      </x:c>
      <x:c r="B4" s="24" t="str">
        <x:v>CPC (INR)</x:v>
      </x:c>
      <x:c r="C4" s="24" t="str">
        <x:v>Click to first result</x:v>
      </x:c>
      <x:c r="D4" s="24" t="str">
        <x:v>Result to paid</x:v>
      </x:c>
      <x:c r="E4" s="24" t="str">
        <x:v>Click to paid</x:v>
      </x:c>
      <x:c r="F4" s="24" t="str">
        <x:v>Media CAC (INR)</x:v>
      </x:c>
      <x:c r="G4" s="24" t="str">
        <x:v>Cash CAC incl creatives</x:v>
      </x:c>
      <x:c r="H4" s="24" t="str">
        <x:v>Annual CAC target</x:v>
      </x:c>
    </x:row>
    <x:row r="5" ht="24" customHeight="1">
      <x:c r="A5" s="28" t="str">
        <x:v>India / efficient</x:v>
      </x:c>
      <x:c r="B5" s="38" t="n">
        <x:v>8</x:v>
      </x:c>
      <x:c r="C5" s="90" t="n">
        <x:v>0.4</x:v>
      </x:c>
      <x:c r="D5" s="90" t="n">
        <x:v>0.05</x:v>
      </x:c>
      <x:c r="E5" s="84" t="n">
        <x:f>C5*D5</x:f>
        <x:v>0.020000000000000004</x:v>
      </x:c>
      <x:c r="F5" s="28" t="n">
        <x:f>IF(E5&gt;0,B5/E5,0)</x:f>
        <x:v>399.99999999999994</x:v>
      </x:c>
      <x:c r="G5" s="28" t="n">
        <x:f>F5*(1+'Inputs'!$B$52)</x:f>
        <x:v>499.99999999999994</x:v>
      </x:c>
      <x:c r="H5" s="28" t="n">
        <x:f>'Unit Economics'!B17</x:f>
        <x:v>408.4918088135594</x:v>
      </x:c>
    </x:row>
    <x:row r="6" ht="24" customHeight="1">
      <x:c r="A6" s="12" t="str">
        <x:v>India / weak</x:v>
      </x:c>
      <x:c r="B6" s="91" t="n">
        <x:v>20</x:v>
      </x:c>
      <x:c r="C6" s="92" t="n">
        <x:v>0.4</x:v>
      </x:c>
      <x:c r="D6" s="92" t="n">
        <x:v>0.05</x:v>
      </x:c>
      <x:c r="E6" s="85" t="n">
        <x:f>C6*D6</x:f>
        <x:v>0.020000000000000004</x:v>
      </x:c>
      <x:c r="F6" s="12" t="n">
        <x:f>IF(E6&gt;0,B6/E6,0)</x:f>
        <x:v>999.9999999999998</x:v>
      </x:c>
      <x:c r="G6" s="12" t="n">
        <x:f>F6*(1+'Inputs'!$B$52)</x:f>
        <x:v>1249.9999999999998</x:v>
      </x:c>
      <x:c r="H6" s="12" t="n">
        <x:f>'Unit Economics'!B17</x:f>
        <x:v>408.4918088135594</x:v>
      </x:c>
    </x:row>
    <x:row r="7" ht="24" customHeight="1">
      <x:c r="A7" s="28" t="str">
        <x:v>Global / efficient</x:v>
      </x:c>
      <x:c r="B7" s="38" t="n">
        <x:v>20</x:v>
      </x:c>
      <x:c r="C7" s="90" t="n">
        <x:v>0.5</x:v>
      </x:c>
      <x:c r="D7" s="90" t="n">
        <x:v>0.06</x:v>
      </x:c>
      <x:c r="E7" s="84" t="n">
        <x:f>C7*D7</x:f>
        <x:v>0.03</x:v>
      </x:c>
      <x:c r="F7" s="28" t="n">
        <x:f>IF(E7&gt;0,B7/E7,0)</x:f>
        <x:v>666.6666666666667</x:v>
      </x:c>
      <x:c r="G7" s="28" t="n">
        <x:f>F7*(1+'Inputs'!$B$52)</x:f>
        <x:v>833.3333333333335</x:v>
      </x:c>
      <x:c r="H7" s="28" t="n">
        <x:f>'Unit Economics'!D17</x:f>
        <x:v>904.7223000000001</x:v>
      </x:c>
    </x:row>
    <x:row r="8" ht="24" customHeight="1">
      <x:c r="A8" s="12" t="str">
        <x:v>Global / weak</x:v>
      </x:c>
      <x:c r="B8" s="91" t="n">
        <x:v>45</x:v>
      </x:c>
      <x:c r="C8" s="92" t="n">
        <x:v>0.4</x:v>
      </x:c>
      <x:c r="D8" s="92" t="n">
        <x:v>0.05</x:v>
      </x:c>
      <x:c r="E8" s="85" t="n">
        <x:f>C8*D8</x:f>
        <x:v>0.020000000000000004</x:v>
      </x:c>
      <x:c r="F8" s="12" t="n">
        <x:f>IF(E8&gt;0,B8/E8,0)</x:f>
        <x:v>2249.9999999999995</x:v>
      </x:c>
      <x:c r="G8" s="12" t="n">
        <x:f>F8*(1+'Inputs'!$B$52)</x:f>
        <x:v>2812.4999999999995</x:v>
      </x:c>
      <x:c r="H8" s="12" t="n">
        <x:f>'Unit Economics'!D17</x:f>
        <x:v>904.7223000000001</x:v>
      </x:c>
    </x:row>
    <x:row r="9" ht="24" customHeight="1">
      <x:c r="A9" s="28"/>
      <x:c r="B9" s="28"/>
      <x:c r="C9" s="28"/>
      <x:c r="D9" s="28"/>
      <x:c r="E9" s="28"/>
      <x:c r="F9" s="28"/>
      <x:c r="G9" s="28"/>
      <x:c r="H9" s="28"/>
    </x:row>
    <x:row r="10" ht="24" customHeight="1">
      <x:c r="A10" s="41" t="str">
        <x:v>All CPC and conversion numbers above are hypotheses, not ad-platform quotes. Cheap clicks or installs are not cheap paying customers. Compare paid-attributed CAC with paid-attributed conversions; do not hide a weak campaign behind unrelated organic customers.</x:v>
      </x:c>
      <x:c r="B10" s="41"/>
      <x:c r="C10" s="41"/>
      <x:c r="D10" s="41"/>
      <x:c r="E10" s="41"/>
      <x:c r="F10" s="41"/>
      <x:c r="G10" s="41"/>
      <x:c r="H10" s="41"/>
    </x:row>
    <x:row r="11" ht="24" customHeight="1">
      <x:c r="A11" s="40"/>
      <x:c r="B11" s="40"/>
      <x:c r="C11" s="40"/>
      <x:c r="D11" s="40"/>
      <x:c r="E11" s="40"/>
      <x:c r="F11" s="40"/>
      <x:c r="G11" s="40"/>
      <x:c r="H11" s="40"/>
    </x:row>
    <x:row r="12" ht="24" customHeight="1">
      <x:c r="A12" s="12"/>
      <x:c r="B12" s="12"/>
      <x:c r="C12" s="12"/>
      <x:c r="D12" s="12"/>
      <x:c r="E12" s="12"/>
      <x:c r="F12" s="12"/>
      <x:c r="G12" s="12"/>
      <x:c r="H12" s="12"/>
    </x:row>
    <x:row r="13" ht="24" customHeight="1">
      <x:c r="A13" s="28"/>
      <x:c r="B13" s="28"/>
      <x:c r="C13" s="28"/>
      <x:c r="D13" s="28"/>
      <x:c r="E13" s="28"/>
      <x:c r="F13" s="28"/>
      <x:c r="G13" s="28"/>
      <x:c r="H13" s="28"/>
    </x:row>
    <x:row r="14" ht="24" customHeight="1">
      <x:c r="A14" s="22" t="str">
        <x:v>ALL-IN CAC GRID (INR)</x:v>
      </x:c>
      <x:c r="B14" s="88" t="n">
        <x:v>0.005</x:v>
      </x:c>
      <x:c r="C14" s="88" t="n">
        <x:v>0.01</x:v>
      </x:c>
      <x:c r="D14" s="88" t="n">
        <x:v>0.02</x:v>
      </x:c>
      <x:c r="E14" s="88" t="n">
        <x:v>0.04</x:v>
      </x:c>
      <x:c r="F14" s="88" t="n">
        <x:v>0.06</x:v>
      </x:c>
      <x:c r="G14" s="12"/>
      <x:c r="H14" s="12"/>
    </x:row>
    <x:row r="15" ht="24" customHeight="1">
      <x:c r="A15" s="28" t="n">
        <x:v>8</x:v>
      </x:c>
      <x:c r="B15" s="28" t="n">
        <x:f>($A15/B$14)*(1+'Inputs'!$B$52)</x:f>
        <x:v>2000</x:v>
      </x:c>
      <x:c r="C15" s="28" t="n">
        <x:f>($A15/C$14)*(1+'Inputs'!$B$52)</x:f>
        <x:v>1000</x:v>
      </x:c>
      <x:c r="D15" s="28" t="n">
        <x:f>($A15/D$14)*(1+'Inputs'!$B$52)</x:f>
        <x:v>500</x:v>
      </x:c>
      <x:c r="E15" s="28" t="n">
        <x:f>($A15/E$14)*(1+'Inputs'!$B$52)</x:f>
        <x:v>250</x:v>
      </x:c>
      <x:c r="F15" s="28" t="n">
        <x:f>($A15/F$14)*(1+'Inputs'!$B$52)</x:f>
        <x:v>166.66666666666669</x:v>
      </x:c>
      <x:c r="G15" s="28"/>
      <x:c r="H15" s="28"/>
    </x:row>
    <x:row r="16" ht="24" customHeight="1">
      <x:c r="A16" s="12" t="n">
        <x:v>15</x:v>
      </x:c>
      <x:c r="B16" s="12" t="n">
        <x:f>($A16/B$14)*(1+'Inputs'!$B$52)</x:f>
        <x:v>3750</x:v>
      </x:c>
      <x:c r="C16" s="12" t="n">
        <x:f>($A16/C$14)*(1+'Inputs'!$B$52)</x:f>
        <x:v>1875</x:v>
      </x:c>
      <x:c r="D16" s="12" t="n">
        <x:f>($A16/D$14)*(1+'Inputs'!$B$52)</x:f>
        <x:v>937.5</x:v>
      </x:c>
      <x:c r="E16" s="12" t="n">
        <x:f>($A16/E$14)*(1+'Inputs'!$B$52)</x:f>
        <x:v>468.75</x:v>
      </x:c>
      <x:c r="F16" s="12" t="n">
        <x:f>($A16/F$14)*(1+'Inputs'!$B$52)</x:f>
        <x:v>312.5</x:v>
      </x:c>
      <x:c r="G16" s="12"/>
      <x:c r="H16" s="12"/>
    </x:row>
    <x:row r="17" ht="24" customHeight="1">
      <x:c r="A17" s="28" t="n">
        <x:v>25</x:v>
      </x:c>
      <x:c r="B17" s="28" t="n">
        <x:f>($A17/B$14)*(1+'Inputs'!$B$52)</x:f>
        <x:v>6250</x:v>
      </x:c>
      <x:c r="C17" s="28" t="n">
        <x:f>($A17/C$14)*(1+'Inputs'!$B$52)</x:f>
        <x:v>3125</x:v>
      </x:c>
      <x:c r="D17" s="28" t="n">
        <x:f>($A17/D$14)*(1+'Inputs'!$B$52)</x:f>
        <x:v>1562.5</x:v>
      </x:c>
      <x:c r="E17" s="28" t="n">
        <x:f>($A17/E$14)*(1+'Inputs'!$B$52)</x:f>
        <x:v>781.25</x:v>
      </x:c>
      <x:c r="F17" s="28" t="n">
        <x:f>($A17/F$14)*(1+'Inputs'!$B$52)</x:f>
        <x:v>520.8333333333334</x:v>
      </x:c>
      <x:c r="G17" s="28"/>
      <x:c r="H17" s="28"/>
    </x:row>
    <x:row r="18" ht="24" customHeight="1">
      <x:c r="A18" s="12" t="n">
        <x:v>40</x:v>
      </x:c>
      <x:c r="B18" s="12" t="n">
        <x:f>($A18/B$14)*(1+'Inputs'!$B$52)</x:f>
        <x:v>10000</x:v>
      </x:c>
      <x:c r="C18" s="12" t="n">
        <x:f>($A18/C$14)*(1+'Inputs'!$B$52)</x:f>
        <x:v>5000</x:v>
      </x:c>
      <x:c r="D18" s="12" t="n">
        <x:f>($A18/D$14)*(1+'Inputs'!$B$52)</x:f>
        <x:v>2500</x:v>
      </x:c>
      <x:c r="E18" s="12" t="n">
        <x:f>($A18/E$14)*(1+'Inputs'!$B$52)</x:f>
        <x:v>1250</x:v>
      </x:c>
      <x:c r="F18" s="12" t="n">
        <x:f>($A18/F$14)*(1+'Inputs'!$B$52)</x:f>
        <x:v>833.3333333333335</x:v>
      </x:c>
      <x:c r="G18" s="12"/>
      <x:c r="H18" s="12"/>
    </x:row>
    <x:row r="19" ht="24" customHeight="1">
      <x:c r="A19" s="28" t="n">
        <x:v>80</x:v>
      </x:c>
      <x:c r="B19" s="28" t="n">
        <x:f>($A19/B$14)*(1+'Inputs'!$B$52)</x:f>
        <x:v>20000</x:v>
      </x:c>
      <x:c r="C19" s="28" t="n">
        <x:f>($A19/C$14)*(1+'Inputs'!$B$52)</x:f>
        <x:v>10000</x:v>
      </x:c>
      <x:c r="D19" s="28" t="n">
        <x:f>($A19/D$14)*(1+'Inputs'!$B$52)</x:f>
        <x:v>5000</x:v>
      </x:c>
      <x:c r="E19" s="28" t="n">
        <x:f>($A19/E$14)*(1+'Inputs'!$B$52)</x:f>
        <x:v>2500</x:v>
      </x:c>
      <x:c r="F19" s="28" t="n">
        <x:f>($A19/F$14)*(1+'Inputs'!$B$52)</x:f>
        <x:v>1666.666666666667</x:v>
      </x:c>
      <x:c r="G19" s="28"/>
      <x:c r="H19" s="28"/>
    </x:row>
    <x:row r="20" ht="24" customHeight="1">
      <x:c r="A20" s="12"/>
      <x:c r="B20" s="12"/>
      <x:c r="C20" s="12"/>
      <x:c r="D20" s="12"/>
      <x:c r="E20" s="12"/>
      <x:c r="F20" s="12"/>
      <x:c r="G20" s="12"/>
      <x:c r="H20" s="12"/>
    </x:row>
    <x:row r="21" ht="24" customHeight="1">
      <x:c r="A21" s="40" t="str">
        <x:v>Grid rows = CPC in INR; columns = click-to-paid conversion. All-in cash CAC adds the configured creative uplift. Revenue per payer must be measured by annual/monthly plan and geography.</x:v>
      </x:c>
      <x:c r="B21" s="40"/>
      <x:c r="C21" s="40"/>
      <x:c r="D21" s="40"/>
      <x:c r="E21" s="40"/>
      <x:c r="F21" s="40"/>
      <x:c r="G21" s="28"/>
      <x:c r="H21" s="28"/>
    </x:row>
    <x:row r="22" ht="24" customHeight="1">
      <x:c r="A22" s="41"/>
      <x:c r="B22" s="41"/>
      <x:c r="C22" s="41"/>
      <x:c r="D22" s="41"/>
      <x:c r="E22" s="41"/>
      <x:c r="F22" s="41"/>
      <x:c r="G22" s="12"/>
      <x:c r="H22" s="12"/>
    </x:row>
    <x:row r="23" ht="24" customHeight="1">
      <x:c r="A23" s="28"/>
      <x:c r="B23" s="28"/>
      <x:c r="C23" s="28"/>
      <x:c r="D23" s="28"/>
      <x:c r="E23" s="28"/>
      <x:c r="F23" s="28"/>
      <x:c r="G23" s="28"/>
      <x:c r="H23" s="28"/>
    </x:row>
    <x:row r="24" ht="24" customHeight="1">
      <x:c r="A24" s="12"/>
      <x:c r="B24" s="12"/>
      <x:c r="C24" s="12"/>
      <x:c r="D24" s="12"/>
      <x:c r="E24" s="12"/>
      <x:c r="F24" s="12"/>
      <x:c r="G24" s="12"/>
      <x:c r="H24" s="12"/>
    </x:row>
    <x:row r="25" ht="24" customHeight="1">
      <x:c r="A25" s="22" t="str">
        <x:v>Example pilot accounting</x:v>
      </x:c>
      <x:c r="B25" s="22" t="str">
        <x:v>Value</x:v>
      </x:c>
      <x:c r="C25" s="22" t="str">
        <x:v>Note</x:v>
      </x:c>
      <x:c r="D25" s="28"/>
      <x:c r="E25" s="28"/>
      <x:c r="F25" s="28"/>
      <x:c r="G25" s="28"/>
      <x:c r="H25" s="28"/>
    </x:row>
    <x:row r="26" ht="40" customHeight="1">
      <x:c r="A26" s="12" t="str">
        <x:v>Media spend</x:v>
      </x:c>
      <x:c r="B26" s="12" t="n">
        <x:f>'Inputs'!$B$41</x:f>
        <x:v>24000</x:v>
      </x:c>
      <x:c r="C26" s="41" t="str">
        <x:v>Proposed full staged media budget.</x:v>
      </x:c>
      <x:c r="D26" s="12"/>
      <x:c r="E26" s="12"/>
      <x:c r="F26" s="12"/>
      <x:c r="G26" s="12"/>
      <x:c r="H26" s="12"/>
    </x:row>
    <x:row r="27" ht="40" customHeight="1">
      <x:c r="A27" s="28" t="str">
        <x:v>Creative spend</x:v>
      </x:c>
      <x:c r="B27" s="28" t="n">
        <x:f>'Inputs'!$B$42</x:f>
        <x:v>8000</x:v>
      </x:c>
      <x:c r="C27" s="40" t="str">
        <x:v>Count paid assets in CAC.</x:v>
      </x:c>
      <x:c r="D27" s="28"/>
      <x:c r="E27" s="28"/>
      <x:c r="F27" s="28"/>
      <x:c r="G27" s="28"/>
      <x:c r="H27" s="28"/>
    </x:row>
    <x:row r="28" ht="40" customHeight="1">
      <x:c r="A28" s="12" t="str">
        <x:v>Held reserve</x:v>
      </x:c>
      <x:c r="B28" s="12" t="n">
        <x:f>'Inputs'!$B$43</x:f>
        <x:v>8000</x:v>
      </x:c>
      <x:c r="C28" s="41" t="str">
        <x:v>Not spent, so excluded from CAC.</x:v>
      </x:c>
      <x:c r="D28" s="12"/>
      <x:c r="E28" s="12"/>
      <x:c r="F28" s="12"/>
      <x:c r="G28" s="12"/>
      <x:c r="H28" s="12"/>
    </x:row>
    <x:row r="29" ht="40" customHeight="1">
      <x:c r="A29" s="28" t="str">
        <x:v>Attributed new paying customers</x:v>
      </x:c>
      <x:c r="B29" s="28" t="n">
        <x:v>40</x:v>
      </x:c>
      <x:c r="C29" s="40" t="str">
        <x:v>Illustration, not an observed result.</x:v>
      </x:c>
      <x:c r="D29" s="28"/>
      <x:c r="E29" s="28"/>
      <x:c r="F29" s="28"/>
      <x:c r="G29" s="28"/>
      <x:c r="H29" s="28"/>
    </x:row>
    <x:row r="30" ht="40" customHeight="1">
      <x:c r="A30" s="12" t="str">
        <x:v>Media-only CAC</x:v>
      </x:c>
      <x:c r="B30" s="12" t="n">
        <x:f>B26/B29</x:f>
        <x:v>600</x:v>
      </x:c>
      <x:c r="C30" s="41" t="str">
        <x:v>Understates all-in acquisition cost.</x:v>
      </x:c>
      <x:c r="D30" s="12"/>
      <x:c r="E30" s="12"/>
      <x:c r="F30" s="12"/>
      <x:c r="G30" s="12"/>
      <x:c r="H30" s="12"/>
    </x:row>
    <x:row r="31" ht="40" customHeight="1">
      <x:c r="A31" s="28" t="str">
        <x:v>All-in spent cash CAC</x:v>
      </x:c>
      <x:c r="B31" s="28" t="n">
        <x:f>SUM(B26:B27)/B29</x:f>
        <x:v>800</x:v>
      </x:c>
      <x:c r="C31" s="40" t="str">
        <x:v>Correct for this simple example.</x:v>
      </x:c>
      <x:c r="D31" s="28"/>
      <x:c r="E31" s="28"/>
      <x:c r="F31" s="28"/>
      <x:c r="G31" s="28"/>
      <x:c r="H31" s="28"/>
    </x:row>
    <x:row r="32" ht="24" customHeight="1">
      <x:c r="A32" s="12"/>
      <x:c r="B32" s="12"/>
      <x:c r="C32" s="12"/>
      <x:c r="D32" s="12"/>
      <x:c r="E32" s="12"/>
      <x:c r="F32" s="12"/>
      <x:c r="G32" s="12"/>
      <x:c r="H32" s="12"/>
    </x:row>
    <x:row r="33" ht="24" customHeight="1">
      <x:c r="A33" s="28"/>
      <x:c r="B33" s="28"/>
      <x:c r="C33" s="28"/>
      <x:c r="D33" s="28"/>
      <x:c r="E33" s="28"/>
      <x:c r="F33" s="28"/>
      <x:c r="G33" s="28"/>
      <x:c r="H33" s="28"/>
    </x:row>
    <x:row r="34" ht="24" customHeight="1">
      <x:c r="A34" s="12"/>
      <x:c r="B34" s="12"/>
      <x:c r="C34" s="12"/>
      <x:c r="D34" s="12"/>
      <x:c r="E34" s="12"/>
      <x:c r="F34" s="12"/>
      <x:c r="G34" s="12"/>
      <x:c r="H34" s="12"/>
    </x:row>
  </x:sheetData>
  <x:mergeCells>
    <x:mergeCell ref="A10:H11"/>
    <x:mergeCell ref="A21:F22"/>
    <x:mergeCell ref="A1:H1"/>
    <x:mergeCell ref="A2:H2"/>
  </x:mergeCells>
  <x:conditionalFormatting sqref="B15:F19">
    <x:cfRule type="colorScale" priority="1">
      <x:colorScale>
        <x:cfvo type="min"/>
        <x:cfvo type="percentile" val="50"/>
        <x:cfvo type="max"/>
        <x:color rgb="FFE7F1E9"/>
        <x:color rgb="FFFDF5DB"/>
        <x:color rgb="FFF6DDDA"/>
      </x:colorScale>
    </x:cfRule>
  </x:conditionalFormatting>
  <x:pageMargins left="0.7" right="0.7" top="0.75" bottom="0.75" header="0.3" footer="0.3"/>
  <x:legacyDrawing xmlns:r="http://schemas.openxmlformats.org/officeDocument/2006/relationships" r:id="Ra79dde3b033a47d5"/>
</x:worksheet>
</file>

<file path=xl/worksheets/sheet5.xml><?xml version="1.0" encoding="utf-8"?>
<x:worksheet xmlns:x="http://schemas.openxmlformats.org/spreadsheetml/2006/main">
  <x:sheetFormatPr defaultRowHeight="15"/>
  <x:cols>
    <x:col min="1" max="1" width="21" hidden="0" customWidth="1"/>
    <x:col min="2" max="2" width="21" hidden="0" customWidth="1"/>
    <x:col min="3" max="3" width="21" hidden="0" customWidth="1"/>
    <x:col min="4" max="4" width="21" hidden="0" customWidth="1"/>
    <x:col min="5" max="5" width="21" hidden="0" customWidth="1"/>
    <x:col min="6" max="6" width="21" hidden="0" customWidth="1"/>
    <x:col min="7" max="7" width="21" hidden="0" customWidth="1"/>
    <x:col min="8" max="8" width="21" hidden="0" customWidth="1"/>
    <x:col min="9" max="9" width="21" hidden="0" customWidth="1"/>
    <x:col min="10" max="10" width="21" hidden="0" customWidth="1"/>
  </x:cols>
  <x:sheetData>
    <x:row r="1" ht="40" customHeight="1">
      <x:c r="A1" s="15" t="str">
        <x:v>STEADY-STATE BUSINESS ECONOMICS</x:v>
      </x:c>
      <x:c r="B1" s="15"/>
      <x:c r="C1" s="15"/>
      <x:c r="D1" s="15"/>
      <x:c r="E1" s="15"/>
      <x:c r="F1" s="15"/>
      <x:c r="G1" s="15"/>
      <x:c r="H1" s="15"/>
      <x:c r="I1" s="15"/>
      <x:c r="J1" s="15"/>
    </x:row>
    <x:row r="2" ht="32" customHeight="1">
      <x:c r="A2" s="19" t="str">
        <x:v>Annual subscribers; churn replacement included; no extra growth spend.</x:v>
      </x:c>
      <x:c r="B2" s="19"/>
      <x:c r="C2" s="19"/>
      <x:c r="D2" s="19"/>
      <x:c r="E2" s="19"/>
      <x:c r="F2" s="19"/>
      <x:c r="G2" s="19"/>
      <x:c r="H2" s="19"/>
      <x:c r="I2" s="19"/>
      <x:c r="J2" s="19"/>
    </x:row>
    <x:row r="3" ht="24" customHeight="1">
      <x:c r="A3" s="12"/>
      <x:c r="B3" s="12"/>
      <x:c r="C3" s="12"/>
      <x:c r="D3" s="12"/>
      <x:c r="E3" s="12"/>
      <x:c r="F3" s="12"/>
      <x:c r="G3" s="12"/>
      <x:c r="H3" s="12"/>
      <x:c r="I3" s="12"/>
      <x:c r="J3" s="12"/>
    </x:row>
    <x:row r="4" ht="65" customHeight="1">
      <x:c r="A4" s="24" t="str">
        <x:v>Paying annual subs</x:v>
      </x:c>
      <x:c r="B4" s="24" t="str">
        <x:v>Free active users</x:v>
      </x:c>
      <x:c r="C4" s="24" t="str">
        <x:v>Sales ex-tax / month</x:v>
      </x:c>
      <x:c r="D4" s="24" t="str">
        <x:v>Variable costs / month</x:v>
      </x:c>
      <x:c r="E4" s="24" t="str">
        <x:v>Contribution / month</x:v>
      </x:c>
      <x:c r="F4" s="24" t="str">
        <x:v>New payers to replace churn</x:v>
      </x:c>
      <x:c r="G4" s="24" t="str">
        <x:v>Replacement CAC spend</x:v>
      </x:c>
      <x:c r="H4" s="24" t="str">
        <x:v>Fixed + tool allocation</x:v>
      </x:c>
      <x:c r="I4" s="24" t="str">
        <x:v>Operating surplus</x:v>
      </x:c>
      <x:c r="J4" s="24" t="str">
        <x:v>Less imputed founder time</x:v>
      </x:c>
    </x:row>
    <x:row r="5" ht="33" customHeight="1">
      <x:c r="A5" s="38" t="n">
        <x:v>100</x:v>
      </x:c>
      <x:c r="B5" s="47" t="n">
        <x:f>A5*'Inputs'!$B$26</x:f>
        <x:v>2000</x:v>
      </x:c>
      <x:c r="C5" s="47" t="n">
        <x:f>A5*'Unit Economics'!$B$26/'Inputs'!$B$6</x:f>
        <x:v>23642.392655367235</x:v>
      </x:c>
      <x:c r="D5" s="47" t="n">
        <x:f>A5*('Unit Economics'!$B$26-'Unit Economics'!$B$33)/'Inputs'!$B$6</x:f>
        <x:v>5157.054395480228</x:v>
      </x:c>
      <x:c r="E5" s="47" t="n">
        <x:f>C5-D5</x:f>
        <x:v>18485.33825988701</x:v>
      </x:c>
      <x:c r="F5" s="110" t="n">
        <x:f>A5*(1-'Inputs'!$B$31)/'Inputs'!$B$6</x:f>
        <x:v>5.833333333333333</x:v>
      </x:c>
      <x:c r="G5" s="47" t="n">
        <x:f>F5*'Inputs'!$B$32</x:f>
        <x:v>3791.6666666666665</x:v>
      </x:c>
      <x:c r="H5" s="47" t="n">
        <x:f>IF(A5&lt;'Inputs'!$B$35,'Inputs'!$B$33,'Inputs'!$B$34)+'Inputs'!$B$38</x:f>
        <x:v>10000</x:v>
      </x:c>
      <x:c r="I5" s="28" t="n">
        <x:f>E5-G5-H5</x:f>
        <x:v>4693.671593220342</x:v>
      </x:c>
      <x:c r="J5" s="28" t="n">
        <x:f>I5-'Inputs'!$B$36*'Inputs'!$B$37</x:f>
        <x:v>-95306.32840677966</x:v>
      </x:c>
    </x:row>
    <x:row r="6" ht="33" customHeight="1">
      <x:c r="A6" s="91" t="n">
        <x:v>500</x:v>
      </x:c>
      <x:c r="B6" s="46" t="n">
        <x:f>A6*'Inputs'!$B$26</x:f>
        <x:v>10000</x:v>
      </x:c>
      <x:c r="C6" s="46" t="n">
        <x:f>A6*'Unit Economics'!$B$26/'Inputs'!$B$6</x:f>
        <x:v>118211.96327683616</x:v>
      </x:c>
      <x:c r="D6" s="46" t="n">
        <x:f>A6*('Unit Economics'!$B$26-'Unit Economics'!$B$33)/'Inputs'!$B$6</x:f>
        <x:v>25785.271977401146</x:v>
      </x:c>
      <x:c r="E6" s="46" t="n">
        <x:f>C6-D6</x:f>
        <x:v>92426.69129943501</x:v>
      </x:c>
      <x:c r="F6" s="111" t="n">
        <x:f>A6*(1-'Inputs'!$B$31)/'Inputs'!$B$6</x:f>
        <x:v>29.166666666666668</x:v>
      </x:c>
      <x:c r="G6" s="46" t="n">
        <x:f>F6*'Inputs'!$B$32</x:f>
        <x:v>18958.333333333336</x:v>
      </x:c>
      <x:c r="H6" s="46" t="n">
        <x:f>IF(A6&lt;'Inputs'!$B$35,'Inputs'!$B$33,'Inputs'!$B$34)+'Inputs'!$B$38</x:f>
        <x:v>10000</x:v>
      </x:c>
      <x:c r="I6" s="12" t="n">
        <x:f>E6-G6-H6</x:f>
        <x:v>63468.35796610167</x:v>
      </x:c>
      <x:c r="J6" s="12" t="n">
        <x:f>I6-'Inputs'!$B$36*'Inputs'!$B$37</x:f>
        <x:v>-36531.64203389833</x:v>
      </x:c>
    </x:row>
    <x:row r="7" ht="33" customHeight="1">
      <x:c r="A7" s="38" t="n">
        <x:v>1500</x:v>
      </x:c>
      <x:c r="B7" s="47" t="n">
        <x:f>A7*'Inputs'!$B$26</x:f>
        <x:v>30000</x:v>
      </x:c>
      <x:c r="C7" s="47" t="n">
        <x:f>A7*'Unit Economics'!$B$26/'Inputs'!$B$6</x:f>
        <x:v>354635.8898305085</x:v>
      </x:c>
      <x:c r="D7" s="47" t="n">
        <x:f>A7*('Unit Economics'!$B$26-'Unit Economics'!$B$33)/'Inputs'!$B$6</x:f>
        <x:v>77355.81593220342</x:v>
      </x:c>
      <x:c r="E7" s="47" t="n">
        <x:f>C7-D7</x:f>
        <x:v>277280.07389830507</x:v>
      </x:c>
      <x:c r="F7" s="110" t="n">
        <x:f>A7*(1-'Inputs'!$B$31)/'Inputs'!$B$6</x:f>
        <x:v>87.5</x:v>
      </x:c>
      <x:c r="G7" s="47" t="n">
        <x:f>F7*'Inputs'!$B$32</x:f>
        <x:v>56875</x:v>
      </x:c>
      <x:c r="H7" s="47" t="n">
        <x:f>IF(A7&lt;'Inputs'!$B$35,'Inputs'!$B$33,'Inputs'!$B$34)+'Inputs'!$B$38</x:f>
        <x:v>20000</x:v>
      </x:c>
      <x:c r="I7" s="28" t="n">
        <x:f>E7-G7-H7</x:f>
        <x:v>200405.07389830507</x:v>
      </x:c>
      <x:c r="J7" s="28" t="n">
        <x:f>I7-'Inputs'!$B$36*'Inputs'!$B$37</x:f>
        <x:v>100405.07389830507</x:v>
      </x:c>
    </x:row>
    <x:row r="8" ht="24" customHeight="1">
      <x:c r="A8" s="12"/>
      <x:c r="B8" s="12"/>
      <x:c r="C8" s="12"/>
      <x:c r="D8" s="12"/>
      <x:c r="E8" s="12"/>
      <x:c r="F8" s="12"/>
      <x:c r="G8" s="12"/>
      <x:c r="H8" s="12"/>
      <x:c r="I8" s="12"/>
      <x:c r="J8" s="12"/>
    </x:row>
    <x:row r="9" ht="24" customHeight="1">
      <x:c r="A9" s="28"/>
      <x:c r="B9" s="28"/>
      <x:c r="C9" s="28"/>
      <x:c r="D9" s="28"/>
      <x:c r="E9" s="28"/>
      <x:c r="F9" s="28"/>
      <x:c r="G9" s="28"/>
      <x:c r="H9" s="28"/>
      <x:c r="I9" s="28"/>
      <x:c r="J9" s="28"/>
    </x:row>
    <x:row r="10" ht="24" customHeight="1">
      <x:c r="A10" s="41" t="str">
        <x:v>Steady-state annual subscriptions spread through the year. Expected replacements = paid base x (1 - annual renewal) / 12. Revenue is monthly-equivalent, NOT cash collected this month. Surplus is before income tax, extra growth spend and founder pay. All volumes, mixes and retention are scenarios.</x:v>
      </x:c>
      <x:c r="B10" s="41"/>
      <x:c r="C10" s="41"/>
      <x:c r="D10" s="41"/>
      <x:c r="E10" s="41"/>
      <x:c r="F10" s="41"/>
      <x:c r="G10" s="41"/>
      <x:c r="H10" s="41"/>
      <x:c r="I10" s="41"/>
      <x:c r="J10" s="41"/>
    </x:row>
    <x:row r="11" ht="24" customHeight="1">
      <x:c r="A11" s="40"/>
      <x:c r="B11" s="40"/>
      <x:c r="C11" s="40"/>
      <x:c r="D11" s="40"/>
      <x:c r="E11" s="40"/>
      <x:c r="F11" s="40"/>
      <x:c r="G11" s="40"/>
      <x:c r="H11" s="40"/>
      <x:c r="I11" s="40"/>
      <x:c r="J11" s="40"/>
    </x:row>
    <x:row r="12" ht="24" customHeight="1">
      <x:c r="A12" s="12"/>
      <x:c r="B12" s="12"/>
      <x:c r="C12" s="12"/>
      <x:c r="D12" s="12"/>
      <x:c r="E12" s="12"/>
      <x:c r="F12" s="12"/>
      <x:c r="G12" s="12"/>
      <x:c r="H12" s="12"/>
      <x:c r="I12" s="12"/>
      <x:c r="J12" s="12"/>
    </x:row>
    <x:row r="13" ht="24" customHeight="1">
      <x:c r="A13" s="28"/>
      <x:c r="B13" s="28"/>
      <x:c r="C13" s="28"/>
      <x:c r="D13" s="28"/>
      <x:c r="E13" s="28"/>
      <x:c r="F13" s="28"/>
      <x:c r="G13" s="28"/>
      <x:c r="H13" s="28"/>
      <x:c r="I13" s="28"/>
      <x:c r="J13" s="28"/>
    </x:row>
    <x:row r="14" ht="50" customHeight="1">
      <x:c r="A14" s="101" t="str">
        <x:v>Retention sensitivity at 500 subs</x:v>
      </x:c>
      <x:c r="B14" s="101" t="str">
        <x:v>Annual renewal</x:v>
      </x:c>
      <x:c r="C14" s="101" t="str">
        <x:v>Replacement CAC / month</x:v>
      </x:c>
      <x:c r="D14" s="101" t="str">
        <x:v>Surplus / month</x:v>
      </x:c>
      <x:c r="E14" s="101" t="str">
        <x:v>Assumption</x:v>
      </x:c>
      <x:c r="F14" s="12"/>
      <x:c r="G14" s="12"/>
      <x:c r="H14" s="12"/>
      <x:c r="I14" s="12"/>
      <x:c r="J14" s="12"/>
    </x:row>
    <x:row r="15" ht="24" customHeight="1">
      <x:c r="A15" s="28" t="n">
        <x:v>500</x:v>
      </x:c>
      <x:c r="B15" s="84" t="n">
        <x:v>0</x:v>
      </x:c>
      <x:c r="C15" s="28" t="n">
        <x:f>A15*(1-B15)/'Inputs'!$B$6*'Inputs'!$B$32</x:f>
        <x:v>27083.333333333332</x:v>
      </x:c>
      <x:c r="D15" s="28" t="n">
        <x:f>A15*'Unit Economics'!$B$33/'Inputs'!$B$6-C15-'Inputs'!$B$33-'Inputs'!$B$38</x:f>
        <x:v>55343.3579661017</x:v>
      </x:c>
      <x:c r="E15" s="40" t="str">
        <x:v>Unmeasured retention scenario</x:v>
      </x:c>
      <x:c r="F15" s="28"/>
      <x:c r="G15" s="28"/>
      <x:c r="H15" s="28"/>
      <x:c r="I15" s="28"/>
      <x:c r="J15" s="28"/>
    </x:row>
    <x:row r="16" ht="24" customHeight="1">
      <x:c r="A16" s="12" t="n">
        <x:v>500</x:v>
      </x:c>
      <x:c r="B16" s="85" t="n">
        <x:v>0.15</x:v>
      </x:c>
      <x:c r="C16" s="12" t="n">
        <x:f>A16*(1-B16)/'Inputs'!$B$6*'Inputs'!$B$32</x:f>
        <x:v>23020.833333333332</x:v>
      </x:c>
      <x:c r="D16" s="12" t="n">
        <x:f>A16*'Unit Economics'!$B$33/'Inputs'!$B$6-C16-'Inputs'!$B$33-'Inputs'!$B$38</x:f>
        <x:v>59405.8579661017</x:v>
      </x:c>
      <x:c r="E16" s="41" t="str">
        <x:v>Unmeasured retention scenario</x:v>
      </x:c>
      <x:c r="F16" s="12"/>
      <x:c r="G16" s="12"/>
      <x:c r="H16" s="12"/>
      <x:c r="I16" s="12"/>
      <x:c r="J16" s="12"/>
    </x:row>
    <x:row r="17" ht="24" customHeight="1">
      <x:c r="A17" s="28" t="n">
        <x:v>500</x:v>
      </x:c>
      <x:c r="B17" s="84" t="n">
        <x:v>0.3</x:v>
      </x:c>
      <x:c r="C17" s="28" t="n">
        <x:f>A17*(1-B17)/'Inputs'!$B$6*'Inputs'!$B$32</x:f>
        <x:v>18958.333333333336</x:v>
      </x:c>
      <x:c r="D17" s="28" t="n">
        <x:f>A17*'Unit Economics'!$B$33/'Inputs'!$B$6-C17-'Inputs'!$B$33-'Inputs'!$B$38</x:f>
        <x:v>63468.3579661017</x:v>
      </x:c>
      <x:c r="E17" s="40" t="str">
        <x:v>Unmeasured retention scenario</x:v>
      </x:c>
      <x:c r="F17" s="28"/>
      <x:c r="G17" s="28"/>
      <x:c r="H17" s="28"/>
      <x:c r="I17" s="28"/>
      <x:c r="J17" s="28"/>
    </x:row>
    <x:row r="18" ht="24" customHeight="1">
      <x:c r="A18" s="12" t="n">
        <x:v>500</x:v>
      </x:c>
      <x:c r="B18" s="85" t="n">
        <x:v>0.5</x:v>
      </x:c>
      <x:c r="C18" s="12" t="n">
        <x:f>A18*(1-B18)/'Inputs'!$B$6*'Inputs'!$B$32</x:f>
        <x:v>13541.666666666666</x:v>
      </x:c>
      <x:c r="D18" s="12" t="n">
        <x:f>A18*'Unit Economics'!$B$33/'Inputs'!$B$6-C18-'Inputs'!$B$33-'Inputs'!$B$38</x:f>
        <x:v>68885.02463276836</x:v>
      </x:c>
      <x:c r="E18" s="41" t="str">
        <x:v>Unmeasured retention scenario</x:v>
      </x:c>
      <x:c r="F18" s="12"/>
      <x:c r="G18" s="12"/>
      <x:c r="H18" s="12"/>
      <x:c r="I18" s="12"/>
      <x:c r="J18" s="12"/>
    </x:row>
    <x:row r="19" ht="24" customHeight="1">
      <x:c r="A19" s="28" t="n">
        <x:v>500</x:v>
      </x:c>
      <x:c r="B19" s="84" t="n">
        <x:v>0.7</x:v>
      </x:c>
      <x:c r="C19" s="28" t="n">
        <x:f>A19*(1-B19)/'Inputs'!$B$6*'Inputs'!$B$32</x:f>
        <x:v>8125.000000000001</x:v>
      </x:c>
      <x:c r="D19" s="28" t="n">
        <x:f>A19*'Unit Economics'!$B$33/'Inputs'!$B$6-C19-'Inputs'!$B$33-'Inputs'!$B$38</x:f>
        <x:v>74301.69129943503</x:v>
      </x:c>
      <x:c r="E19" s="40" t="str">
        <x:v>Unmeasured retention scenario</x:v>
      </x:c>
      <x:c r="F19" s="28"/>
      <x:c r="G19" s="28"/>
      <x:c r="H19" s="28"/>
      <x:c r="I19" s="28"/>
      <x:c r="J19" s="28"/>
    </x:row>
    <x:row r="20" ht="24" customHeight="1">
      <x:c r="A20" s="12"/>
      <x:c r="B20" s="12"/>
      <x:c r="C20" s="12"/>
      <x:c r="D20" s="12"/>
      <x:c r="E20" s="12"/>
      <x:c r="F20" s="12"/>
      <x:c r="G20" s="12"/>
      <x:c r="H20" s="12"/>
      <x:c r="I20" s="12"/>
      <x:c r="J20" s="12"/>
    </x:row>
    <x:row r="21" ht="24" customHeight="1">
      <x:c r="A21" s="28"/>
      <x:c r="B21" s="28"/>
      <x:c r="C21" s="28"/>
      <x:c r="D21" s="28"/>
      <x:c r="E21" s="28"/>
      <x:c r="F21" s="28"/>
      <x:c r="G21" s="28"/>
      <x:c r="H21" s="28"/>
      <x:c r="I21" s="28"/>
      <x:c r="J21" s="28"/>
    </x:row>
    <x:row r="22" ht="50" customHeight="1">
      <x:c r="A22" s="101" t="str">
        <x:v>Desired monthly surplus (INR)</x:v>
      </x:c>
      <x:c r="B22" s="101" t="str">
        <x:v>Required annual subscribers</x:v>
      </x:c>
      <x:c r="C22" s="101" t="str">
        <x:v>Model, not a forecast</x:v>
      </x:c>
      <x:c r="D22" s="12"/>
      <x:c r="E22" s="12"/>
      <x:c r="F22" s="12"/>
      <x:c r="G22" s="12"/>
      <x:c r="H22" s="12"/>
      <x:c r="I22" s="12"/>
      <x:c r="J22" s="12"/>
    </x:row>
    <x:row r="23" ht="42" customHeight="1">
      <x:c r="A23" s="38" t="n">
        <x:v>0</x:v>
      </x:c>
      <x:c r="B23" s="28" t="n">
        <x:f>IF(ROUNDUP((A23+'Inputs'!$B$33+'Inputs'!$B$38)/('Unit Economics'!$B$33/'Inputs'!$B$6-(1-'Inputs'!$B$31)*'Inputs'!$B$32/'Inputs'!$B$6),0)&lt;'Inputs'!$B$35,ROUNDUP((A23+'Inputs'!$B$33+'Inputs'!$B$38)/('Unit Economics'!$B$33/'Inputs'!$B$6-(1-'Inputs'!$B$31)*'Inputs'!$B$32/'Inputs'!$B$6),0),ROUNDUP((A23+'Inputs'!$B$34+'Inputs'!$B$38)/('Unit Economics'!$B$33/'Inputs'!$B$6-(1-'Inputs'!$B$31)*'Inputs'!$B$32/'Inputs'!$B$6),0))</x:f>
        <x:v>69</x:v>
      </x:c>
      <x:c r="C23" s="40" t="str">
        <x:v>No extra growth; founder wage excluded</x:v>
      </x:c>
      <x:c r="D23" s="28"/>
      <x:c r="E23" s="28"/>
      <x:c r="F23" s="28"/>
      <x:c r="G23" s="28"/>
      <x:c r="H23" s="28"/>
      <x:c r="I23" s="28"/>
      <x:c r="J23" s="28"/>
    </x:row>
    <x:row r="24" ht="42" customHeight="1">
      <x:c r="A24" s="91" t="n">
        <x:v>100000</x:v>
      </x:c>
      <x:c r="B24" s="12" t="n">
        <x:f>IF(ROUNDUP((A24+'Inputs'!$B$33+'Inputs'!$B$38)/('Unit Economics'!$B$33/'Inputs'!$B$6-(1-'Inputs'!$B$31)*'Inputs'!$B$32/'Inputs'!$B$6),0)&lt;'Inputs'!$B$35,ROUNDUP((A24+'Inputs'!$B$33+'Inputs'!$B$38)/('Unit Economics'!$B$33/'Inputs'!$B$6-(1-'Inputs'!$B$31)*'Inputs'!$B$32/'Inputs'!$B$6),0),ROUNDUP((A24+'Inputs'!$B$34+'Inputs'!$B$38)/('Unit Economics'!$B$33/'Inputs'!$B$6-(1-'Inputs'!$B$31)*'Inputs'!$B$32/'Inputs'!$B$6),0))</x:f>
        <x:v>749</x:v>
      </x:c>
      <x:c r="C24" s="41" t="str">
        <x:v>No extra growth; founder wage excluded</x:v>
      </x:c>
      <x:c r="D24" s="12"/>
      <x:c r="E24" s="12"/>
      <x:c r="F24" s="12"/>
      <x:c r="G24" s="12"/>
      <x:c r="H24" s="12"/>
      <x:c r="I24" s="12"/>
      <x:c r="J24" s="12"/>
    </x:row>
    <x:row r="25" ht="42" customHeight="1">
      <x:c r="A25" s="38" t="n">
        <x:v>300000</x:v>
      </x:c>
      <x:c r="B25" s="28" t="n">
        <x:f>IF(ROUNDUP((A25+'Inputs'!$B$33+'Inputs'!$B$38)/('Unit Economics'!$B$33/'Inputs'!$B$6-(1-'Inputs'!$B$31)*'Inputs'!$B$32/'Inputs'!$B$6),0)&lt;'Inputs'!$B$35,ROUNDUP((A25+'Inputs'!$B$33+'Inputs'!$B$38)/('Unit Economics'!$B$33/'Inputs'!$B$6-(1-'Inputs'!$B$31)*'Inputs'!$B$32/'Inputs'!$B$6),0),ROUNDUP((A25+'Inputs'!$B$34+'Inputs'!$B$38)/('Unit Economics'!$B$33/'Inputs'!$B$6-(1-'Inputs'!$B$31)*'Inputs'!$B$32/'Inputs'!$B$6),0))</x:f>
        <x:v>2178</x:v>
      </x:c>
      <x:c r="C25" s="40" t="str">
        <x:v>No extra growth; founder wage excluded</x:v>
      </x:c>
      <x:c r="D25" s="28"/>
      <x:c r="E25" s="28"/>
      <x:c r="F25" s="28"/>
      <x:c r="G25" s="28"/>
      <x:c r="H25" s="28"/>
      <x:c r="I25" s="28"/>
      <x:c r="J25" s="28"/>
    </x:row>
    <x:row r="26" ht="42" customHeight="1">
      <x:c r="A26" s="91" t="n">
        <x:v>500000</x:v>
      </x:c>
      <x:c r="B26" s="12" t="n">
        <x:f>IF(ROUNDUP((A26+'Inputs'!$B$33+'Inputs'!$B$38)/('Unit Economics'!$B$33/'Inputs'!$B$6-(1-'Inputs'!$B$31)*'Inputs'!$B$32/'Inputs'!$B$6),0)&lt;'Inputs'!$B$35,ROUNDUP((A26+'Inputs'!$B$33+'Inputs'!$B$38)/('Unit Economics'!$B$33/'Inputs'!$B$6-(1-'Inputs'!$B$31)*'Inputs'!$B$32/'Inputs'!$B$6),0),ROUNDUP((A26+'Inputs'!$B$34+'Inputs'!$B$38)/('Unit Economics'!$B$33/'Inputs'!$B$6-(1-'Inputs'!$B$31)*'Inputs'!$B$32/'Inputs'!$B$6),0))</x:f>
        <x:v>3539</x:v>
      </x:c>
      <x:c r="C26" s="41" t="str">
        <x:v>No extra growth; founder wage excluded</x:v>
      </x:c>
      <x:c r="D26" s="12"/>
      <x:c r="E26" s="12"/>
      <x:c r="F26" s="12"/>
      <x:c r="G26" s="12"/>
      <x:c r="H26" s="12"/>
      <x:c r="I26" s="12"/>
      <x:c r="J26" s="12"/>
    </x:row>
    <x:row r="27" ht="24" customHeight="1">
      <x:c r="A27" s="28"/>
      <x:c r="B27" s="28"/>
      <x:c r="C27" s="28"/>
      <x:c r="D27" s="28"/>
      <x:c r="E27" s="28"/>
      <x:c r="F27" s="28"/>
      <x:c r="G27" s="28"/>
      <x:c r="H27" s="28"/>
      <x:c r="I27" s="28"/>
      <x:c r="J27" s="28"/>
    </x:row>
    <x:row r="28" ht="24" customHeight="1">
      <x:c r="A28" s="12"/>
      <x:c r="B28" s="12"/>
      <x:c r="C28" s="12"/>
      <x:c r="D28" s="12"/>
      <x:c r="E28" s="12"/>
      <x:c r="F28" s="12"/>
      <x:c r="G28" s="12"/>
      <x:c r="H28" s="12"/>
      <x:c r="I28" s="12"/>
      <x:c r="J28" s="12"/>
    </x:row>
  </x:sheetData>
  <x:mergeCells>
    <x:mergeCell ref="A10:J11"/>
    <x:mergeCell ref="A1:J1"/>
    <x:mergeCell ref="A2:J2"/>
  </x:mergeCells>
  <x:conditionalFormatting sqref="I5:J7">
    <x:cfRule type="cellIs" dxfId="0" priority="1" operator="lessThan">
      <x:formula>0</x:formula>
    </x:cfRule>
  </x:conditionalFormatting>
  <x:pageMargins left="0.7" right="0.7" top="0.75" bottom="0.75" header="0.3" footer="0.3"/>
  <x:legacyDrawing xmlns:r="http://schemas.openxmlformats.org/officeDocument/2006/relationships" r:id="R1908fd0604b447bf"/>
</x:worksheet>
</file>

<file path=xl/worksheets/sheet6.xml><?xml version="1.0" encoding="utf-8"?>
<x:worksheet xmlns:x="http://schemas.openxmlformats.org/spreadsheetml/2006/main">
  <x:sheetFormatPr defaultRowHeight="15"/>
  <x:cols>
    <x:col min="1" max="1" width="44" hidden="0" customWidth="1"/>
    <x:col min="2" max="2" width="1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 min="13" max="13" width="15" hidden="0" customWidth="1"/>
    <x:col min="14" max="14" width="15" hidden="0" customWidth="1"/>
  </x:cols>
  <x:sheetData>
    <x:row r="1" ht="40" customHeight="1">
      <x:c r="A1" s="15" t="str">
        <x:v>12-MONTH CASH &amp; EARNED REVENUE</x:v>
      </x:c>
      <x:c r="B1" s="15"/>
      <x:c r="C1" s="15"/>
      <x:c r="D1" s="15"/>
      <x:c r="E1" s="15"/>
      <x:c r="F1" s="15"/>
      <x:c r="G1" s="15"/>
      <x:c r="H1" s="15"/>
      <x:c r="I1" s="15"/>
      <x:c r="J1" s="15"/>
      <x:c r="K1" s="15"/>
      <x:c r="L1" s="15"/>
      <x:c r="M1" s="15"/>
      <x:c r="N1" s="15"/>
    </x:row>
    <x:row r="2" ht="32" customHeight="1">
      <x:c r="A2" s="19" t="str">
        <x:v>Annual-only worked illustration. Change new subscribers in row 6.</x:v>
      </x:c>
      <x:c r="B2" s="19"/>
      <x:c r="C2" s="19"/>
      <x:c r="D2" s="19"/>
      <x:c r="E2" s="19"/>
      <x:c r="F2" s="19"/>
      <x:c r="G2" s="19"/>
      <x:c r="H2" s="19"/>
      <x:c r="I2" s="19"/>
      <x:c r="J2" s="19"/>
      <x:c r="K2" s="19"/>
      <x:c r="L2" s="19"/>
      <x:c r="M2" s="19"/>
      <x:c r="N2" s="19"/>
    </x:row>
    <x:row r="3" ht="24" customHeight="1">
      <x:c r="A3" s="12"/>
      <x:c r="B3" s="12"/>
      <x:c r="C3" s="12"/>
      <x:c r="D3" s="12"/>
      <x:c r="E3" s="12"/>
      <x:c r="F3" s="12"/>
      <x:c r="G3" s="12"/>
      <x:c r="H3" s="12"/>
      <x:c r="I3" s="12"/>
      <x:c r="J3" s="12"/>
      <x:c r="K3" s="12"/>
      <x:c r="L3" s="12"/>
      <x:c r="M3" s="12"/>
      <x:c r="N3" s="12"/>
    </x:row>
    <x:row r="4" ht="44" customHeight="1">
      <x:c r="A4" s="24" t="str">
        <x:v>ANNUAL-ONLY ILLUSTRATION</x:v>
      </x:c>
      <x:c r="B4" s="24" t="str">
        <x:v>Units</x:v>
      </x:c>
      <x:c r="C4" s="24" t="str">
        <x:v>Month 1</x:v>
      </x:c>
      <x:c r="D4" s="24" t="str">
        <x:v>Month 2</x:v>
      </x:c>
      <x:c r="E4" s="24" t="str">
        <x:v>Month 3</x:v>
      </x:c>
      <x:c r="F4" s="24" t="str">
        <x:v>Month 4</x:v>
      </x:c>
      <x:c r="G4" s="24" t="str">
        <x:v>Month 5</x:v>
      </x:c>
      <x:c r="H4" s="24" t="str">
        <x:v>Month 6</x:v>
      </x:c>
      <x:c r="I4" s="24" t="str">
        <x:v>Month 7</x:v>
      </x:c>
      <x:c r="J4" s="24" t="str">
        <x:v>Month 8</x:v>
      </x:c>
      <x:c r="K4" s="24" t="str">
        <x:v>Month 9</x:v>
      </x:c>
      <x:c r="L4" s="24" t="str">
        <x:v>Month 10</x:v>
      </x:c>
      <x:c r="M4" s="24" t="str">
        <x:v>Month 11</x:v>
      </x:c>
      <x:c r="N4" s="24" t="str">
        <x:v>Month 12</x:v>
      </x:c>
    </x:row>
    <x:row r="5" ht="24" customHeight="1">
      <x:c r="A5" s="28"/>
      <x:c r="B5" s="28"/>
      <x:c r="C5" s="28"/>
      <x:c r="D5" s="28"/>
      <x:c r="E5" s="28"/>
      <x:c r="F5" s="28"/>
      <x:c r="G5" s="28"/>
      <x:c r="H5" s="28"/>
      <x:c r="I5" s="28"/>
      <x:c r="J5" s="28"/>
      <x:c r="K5" s="28"/>
      <x:c r="L5" s="28"/>
      <x:c r="M5" s="28"/>
      <x:c r="N5" s="28"/>
    </x:row>
    <x:row r="6" ht="24" customHeight="1">
      <x:c r="A6" s="12" t="str">
        <x:v>New annual subscribers</x:v>
      </x:c>
      <x:c r="B6" s="12" t="str">
        <x:v>users</x:v>
      </x:c>
      <x:c r="C6" s="36" t="n">
        <x:v>10</x:v>
      </x:c>
      <x:c r="D6" s="36" t="n">
        <x:v>15</x:v>
      </x:c>
      <x:c r="E6" s="36" t="n">
        <x:v>25</x:v>
      </x:c>
      <x:c r="F6" s="36" t="n">
        <x:v>35</x:v>
      </x:c>
      <x:c r="G6" s="36" t="n">
        <x:v>45</x:v>
      </x:c>
      <x:c r="H6" s="36" t="n">
        <x:v>55</x:v>
      </x:c>
      <x:c r="I6" s="36" t="n">
        <x:v>65</x:v>
      </x:c>
      <x:c r="J6" s="36" t="n">
        <x:v>75</x:v>
      </x:c>
      <x:c r="K6" s="36" t="n">
        <x:v>90</x:v>
      </x:c>
      <x:c r="L6" s="36" t="n">
        <x:v>105</x:v>
      </x:c>
      <x:c r="M6" s="36" t="n">
        <x:v>120</x:v>
      </x:c>
      <x:c r="N6" s="36" t="n">
        <x:v>140</x:v>
      </x:c>
    </x:row>
    <x:row r="7" ht="24" customHeight="1">
      <x:c r="A7" s="28" t="str">
        <x:v>Active annual subscriptions</x:v>
      </x:c>
      <x:c r="B7" s="28" t="str">
        <x:v>users</x:v>
      </x:c>
      <x:c r="C7" s="28" t="n">
        <x:f>C6</x:f>
        <x:v>10</x:v>
      </x:c>
      <x:c r="D7" s="28" t="n">
        <x:f>C7+D6</x:f>
        <x:v>25</x:v>
      </x:c>
      <x:c r="E7" s="28" t="n">
        <x:f>D7+E6</x:f>
        <x:v>50</x:v>
      </x:c>
      <x:c r="F7" s="28" t="n">
        <x:f>E7+F6</x:f>
        <x:v>85</x:v>
      </x:c>
      <x:c r="G7" s="28" t="n">
        <x:f>F7+G6</x:f>
        <x:v>130</x:v>
      </x:c>
      <x:c r="H7" s="28" t="n">
        <x:f>G7+H6</x:f>
        <x:v>185</x:v>
      </x:c>
      <x:c r="I7" s="28" t="n">
        <x:f>H7+I6</x:f>
        <x:v>250</x:v>
      </x:c>
      <x:c r="J7" s="28" t="n">
        <x:f>I7+J6</x:f>
        <x:v>325</x:v>
      </x:c>
      <x:c r="K7" s="28" t="n">
        <x:f>J7+K6</x:f>
        <x:v>415</x:v>
      </x:c>
      <x:c r="L7" s="28" t="n">
        <x:f>K7+L6</x:f>
        <x:v>520</x:v>
      </x:c>
      <x:c r="M7" s="28" t="n">
        <x:f>L7+M6</x:f>
        <x:v>640</x:v>
      </x:c>
      <x:c r="N7" s="28" t="n">
        <x:f>M7+N6</x:f>
        <x:v>780</x:v>
      </x:c>
    </x:row>
    <x:row r="8" ht="24" customHeight="1">
      <x:c r="A8" s="12"/>
      <x:c r="B8" s="12"/>
      <x:c r="C8" s="12"/>
      <x:c r="D8" s="12"/>
      <x:c r="E8" s="12"/>
      <x:c r="F8" s="12"/>
      <x:c r="G8" s="12"/>
      <x:c r="H8" s="12"/>
      <x:c r="I8" s="12"/>
      <x:c r="J8" s="12"/>
      <x:c r="K8" s="12"/>
      <x:c r="L8" s="12"/>
      <x:c r="M8" s="12"/>
      <x:c r="N8" s="12"/>
    </x:row>
    <x:row r="9" ht="24" customHeight="1">
      <x:c r="A9" s="28" t="str">
        <x:v>Customer sticker billings</x:v>
      </x:c>
      <x:c r="B9" s="28" t="str">
        <x:v>INR</x:v>
      </x:c>
      <x:c r="C9" s="47" t="n">
        <x:f>C6*'Unit Economics'!$B$25</x:f>
        <x:v>29590.6</x:v>
      </x:c>
      <x:c r="D9" s="47" t="n">
        <x:f>D6*'Unit Economics'!$B$25</x:f>
        <x:v>44385.9</x:v>
      </x:c>
      <x:c r="E9" s="47" t="n">
        <x:f>E6*'Unit Economics'!$B$25</x:f>
        <x:v>73976.5</x:v>
      </x:c>
      <x:c r="F9" s="47" t="n">
        <x:f>F6*'Unit Economics'!$B$25</x:f>
        <x:v>103567.09999999999</x:v>
      </x:c>
      <x:c r="G9" s="47" t="n">
        <x:f>G6*'Unit Economics'!$B$25</x:f>
        <x:v>133157.7</x:v>
      </x:c>
      <x:c r="H9" s="47" t="n">
        <x:f>H6*'Unit Economics'!$B$25</x:f>
        <x:v>162748.3</x:v>
      </x:c>
      <x:c r="I9" s="47" t="n">
        <x:f>I6*'Unit Economics'!$B$25</x:f>
        <x:v>192338.9</x:v>
      </x:c>
      <x:c r="J9" s="47" t="n">
        <x:f>J6*'Unit Economics'!$B$25</x:f>
        <x:v>221929.5</x:v>
      </x:c>
      <x:c r="K9" s="47" t="n">
        <x:f>K6*'Unit Economics'!$B$25</x:f>
        <x:v>266315.4</x:v>
      </x:c>
      <x:c r="L9" s="47" t="n">
        <x:f>L6*'Unit Economics'!$B$25</x:f>
        <x:v>310701.3</x:v>
      </x:c>
      <x:c r="M9" s="47" t="n">
        <x:f>M6*'Unit Economics'!$B$25</x:f>
        <x:v>355087.2</x:v>
      </x:c>
      <x:c r="N9" s="47" t="n">
        <x:f>N6*'Unit Economics'!$B$25</x:f>
        <x:v>414268.39999999997</x:v>
      </x:c>
    </x:row>
    <x:row r="10" ht="24" customHeight="1">
      <x:c r="A10" s="12" t="str">
        <x:v>Included tax reserve</x:v>
      </x:c>
      <x:c r="B10" s="12" t="str">
        <x:v>INR</x:v>
      </x:c>
      <x:c r="C10" s="46" t="n">
        <x:f>C6*('Unit Economics'!$B$25-'Unit Economics'!$B$26)</x:f>
        <x:v>1219.728813559318</x:v>
      </x:c>
      <x:c r="D10" s="46" t="n">
        <x:f>D6*('Unit Economics'!$B$25-'Unit Economics'!$B$26)</x:f>
        <x:v>1829.593220338977</x:v>
      </x:c>
      <x:c r="E10" s="46" t="n">
        <x:f>E6*('Unit Economics'!$B$25-'Unit Economics'!$B$26)</x:f>
        <x:v>3049.322033898295</x:v>
      </x:c>
      <x:c r="F10" s="46" t="n">
        <x:f>F6*('Unit Economics'!$B$25-'Unit Economics'!$B$26)</x:f>
        <x:v>4269.050847457613</x:v>
      </x:c>
      <x:c r="G10" s="46" t="n">
        <x:f>G6*('Unit Economics'!$B$25-'Unit Economics'!$B$26)</x:f>
        <x:v>5488.779661016932</x:v>
      </x:c>
      <x:c r="H10" s="46" t="n">
        <x:f>H6*('Unit Economics'!$B$25-'Unit Economics'!$B$26)</x:f>
        <x:v>6708.508474576249</x:v>
      </x:c>
      <x:c r="I10" s="46" t="n">
        <x:f>I6*('Unit Economics'!$B$25-'Unit Economics'!$B$26)</x:f>
        <x:v>7928.237288135568</x:v>
      </x:c>
      <x:c r="J10" s="46" t="n">
        <x:f>J6*('Unit Economics'!$B$25-'Unit Economics'!$B$26)</x:f>
        <x:v>9147.966101694885</x:v>
      </x:c>
      <x:c r="K10" s="46" t="n">
        <x:f>K6*('Unit Economics'!$B$25-'Unit Economics'!$B$26)</x:f>
        <x:v>10977.559322033863</x:v>
      </x:c>
      <x:c r="L10" s="46" t="n">
        <x:f>L6*('Unit Economics'!$B$25-'Unit Economics'!$B$26)</x:f>
        <x:v>12807.15254237284</x:v>
      </x:c>
      <x:c r="M10" s="46" t="n">
        <x:f>M6*('Unit Economics'!$B$25-'Unit Economics'!$B$26)</x:f>
        <x:v>14636.745762711816</x:v>
      </x:c>
      <x:c r="N10" s="46" t="n">
        <x:f>N6*('Unit Economics'!$B$25-'Unit Economics'!$B$26)</x:f>
        <x:v>17076.20338983045</x:v>
      </x:c>
    </x:row>
    <x:row r="11" ht="24" customHeight="1">
      <x:c r="A11" s="28" t="str">
        <x:v>Billings excluding tax</x:v>
      </x:c>
      <x:c r="B11" s="28" t="str">
        <x:v>INR</x:v>
      </x:c>
      <x:c r="C11" s="47" t="n">
        <x:f>C9-C10</x:f>
        <x:v>28370.87118644068</x:v>
      </x:c>
      <x:c r="D11" s="47" t="n">
        <x:f>D9-D10</x:f>
        <x:v>42556.30677966103</x:v>
      </x:c>
      <x:c r="E11" s="47" t="n">
        <x:f>E9-E10</x:f>
        <x:v>70927.1779661017</x:v>
      </x:c>
      <x:c r="F11" s="47" t="n">
        <x:f>F9-F10</x:f>
        <x:v>99298.04915254237</x:v>
      </x:c>
      <x:c r="G11" s="47" t="n">
        <x:f>G9-G10</x:f>
        <x:v>127668.92033898308</x:v>
      </x:c>
      <x:c r="H11" s="47" t="n">
        <x:f>H9-H10</x:f>
        <x:v>156039.79152542373</x:v>
      </x:c>
      <x:c r="I11" s="47" t="n">
        <x:f>I9-I10</x:f>
        <x:v>184410.66271186442</x:v>
      </x:c>
      <x:c r="J11" s="47" t="n">
        <x:f>J9-J10</x:f>
        <x:v>212781.53389830512</x:v>
      </x:c>
      <x:c r="K11" s="47" t="n">
        <x:f>K9-K10</x:f>
        <x:v>255337.84067796616</x:v>
      </x:c>
      <x:c r="L11" s="47" t="n">
        <x:f>L9-L10</x:f>
        <x:v>297894.1474576272</x:v>
      </x:c>
      <x:c r="M11" s="47" t="n">
        <x:f>M9-M10</x:f>
        <x:v>340450.4542372882</x:v>
      </x:c>
      <x:c r="N11" s="47" t="n">
        <x:f>N9-N10</x:f>
        <x:v>397192.1966101695</x:v>
      </x:c>
    </x:row>
    <x:row r="12" ht="24" customHeight="1">
      <x:c r="A12" s="12" t="str">
        <x:v>Refund / dispute reserve</x:v>
      </x:c>
      <x:c r="B12" s="12" t="str">
        <x:v>INR</x:v>
      </x:c>
      <x:c r="C12" s="46" t="n">
        <x:f>C6*'Unit Economics'!$B$28</x:f>
        <x:v>851.1261355932203</x:v>
      </x:c>
      <x:c r="D12" s="46" t="n">
        <x:f>D6*'Unit Economics'!$B$28</x:f>
        <x:v>1276.6892033898305</x:v>
      </x:c>
      <x:c r="E12" s="46" t="n">
        <x:f>E6*'Unit Economics'!$B$28</x:f>
        <x:v>2127.815338983051</x:v>
      </x:c>
      <x:c r="F12" s="46" t="n">
        <x:f>F6*'Unit Economics'!$B$28</x:f>
        <x:v>2978.941474576271</x:v>
      </x:c>
      <x:c r="G12" s="46" t="n">
        <x:f>G6*'Unit Economics'!$B$28</x:f>
        <x:v>3830.067610169491</x:v>
      </x:c>
      <x:c r="H12" s="46" t="n">
        <x:f>H6*'Unit Economics'!$B$28</x:f>
        <x:v>4681.193745762712</x:v>
      </x:c>
      <x:c r="I12" s="46" t="n">
        <x:f>I6*'Unit Economics'!$B$28</x:f>
        <x:v>5532.319881355932</x:v>
      </x:c>
      <x:c r="J12" s="46" t="n">
        <x:f>J6*'Unit Economics'!$B$28</x:f>
        <x:v>6383.446016949152</x:v>
      </x:c>
      <x:c r="K12" s="46" t="n">
        <x:f>K6*'Unit Economics'!$B$28</x:f>
        <x:v>7660.135220338982</x:v>
      </x:c>
      <x:c r="L12" s="46" t="n">
        <x:f>L6*'Unit Economics'!$B$28</x:f>
        <x:v>8936.824423728813</x:v>
      </x:c>
      <x:c r="M12" s="46" t="n">
        <x:f>M6*'Unit Economics'!$B$28</x:f>
        <x:v>10213.513627118644</x:v>
      </x:c>
      <x:c r="N12" s="46" t="n">
        <x:f>N6*'Unit Economics'!$B$28</x:f>
        <x:v>11915.765898305084</x:v>
      </x:c>
    </x:row>
    <x:row r="13" ht="24" customHeight="1">
      <x:c r="A13" s="28" t="str">
        <x:v>Payment / channel fees</x:v>
      </x:c>
      <x:c r="B13" s="28" t="str">
        <x:v>INR</x:v>
      </x:c>
      <x:c r="C13" s="47" t="n">
        <x:f>C6*'Unit Economics'!$B$27</x:f>
        <x:v>2897.033138983051</x:v>
      </x:c>
      <x:c r="D13" s="47" t="n">
        <x:f>D6*'Unit Economics'!$B$27</x:f>
        <x:v>4345.549708474576</x:v>
      </x:c>
      <x:c r="E13" s="47" t="n">
        <x:f>E6*'Unit Economics'!$B$27</x:f>
        <x:v>7242.5828474576265</x:v>
      </x:c>
      <x:c r="F13" s="47" t="n">
        <x:f>F6*'Unit Economics'!$B$27</x:f>
        <x:v>10139.615986440676</x:v>
      </x:c>
      <x:c r="G13" s="47" t="n">
        <x:f>G6*'Unit Economics'!$B$27</x:f>
        <x:v>13036.649125423728</x:v>
      </x:c>
      <x:c r="H13" s="47" t="n">
        <x:f>H6*'Unit Economics'!$B$27</x:f>
        <x:v>15933.682264406778</x:v>
      </x:c>
      <x:c r="I13" s="47" t="n">
        <x:f>I6*'Unit Economics'!$B$27</x:f>
        <x:v>18830.71540338983</x:v>
      </x:c>
      <x:c r="J13" s="47" t="n">
        <x:f>J6*'Unit Economics'!$B$27</x:f>
        <x:v>21727.74854237288</x:v>
      </x:c>
      <x:c r="K13" s="47" t="n">
        <x:f>K6*'Unit Economics'!$B$27</x:f>
        <x:v>26073.298250847456</x:v>
      </x:c>
      <x:c r="L13" s="47" t="n">
        <x:f>L6*'Unit Economics'!$B$27</x:f>
        <x:v>30418.84795932203</x:v>
      </x:c>
      <x:c r="M13" s="47" t="n">
        <x:f>M6*'Unit Economics'!$B$27</x:f>
        <x:v>34764.397667796606</x:v>
      </x:c>
      <x:c r="N13" s="47" t="n">
        <x:f>N6*'Unit Economics'!$B$27</x:f>
        <x:v>40558.463945762705</x:v>
      </x:c>
    </x:row>
    <x:row r="14" ht="24" customHeight="1">
      <x:c r="A14" s="12" t="str">
        <x:v>Subscription tooling reserve</x:v>
      </x:c>
      <x:c r="B14" s="12" t="str">
        <x:v>INR</x:v>
      </x:c>
      <x:c r="C14" s="46" t="n">
        <x:f>C6*'Unit Economics'!$B$29</x:f>
        <x:v>295.906</x:v>
      </x:c>
      <x:c r="D14" s="46" t="n">
        <x:f>D6*'Unit Economics'!$B$29</x:f>
        <x:v>443.85900000000004</x:v>
      </x:c>
      <x:c r="E14" s="46" t="n">
        <x:f>E6*'Unit Economics'!$B$29</x:f>
        <x:v>739.7650000000001</x:v>
      </x:c>
      <x:c r="F14" s="46" t="n">
        <x:f>F6*'Unit Economics'!$B$29</x:f>
        <x:v>1035.671</x:v>
      </x:c>
      <x:c r="G14" s="46" t="n">
        <x:f>G6*'Unit Economics'!$B$29</x:f>
        <x:v>1331.577</x:v>
      </x:c>
      <x:c r="H14" s="46" t="n">
        <x:f>H6*'Unit Economics'!$B$29</x:f>
        <x:v>1627.4830000000002</x:v>
      </x:c>
      <x:c r="I14" s="46" t="n">
        <x:f>I6*'Unit Economics'!$B$29</x:f>
        <x:v>1923.3890000000001</x:v>
      </x:c>
      <x:c r="J14" s="46" t="n">
        <x:f>J6*'Unit Economics'!$B$29</x:f>
        <x:v>2219.295</x:v>
      </x:c>
      <x:c r="K14" s="46" t="n">
        <x:f>K6*'Unit Economics'!$B$29</x:f>
        <x:v>2663.154</x:v>
      </x:c>
      <x:c r="L14" s="46" t="n">
        <x:f>L6*'Unit Economics'!$B$29</x:f>
        <x:v>3107.0130000000004</x:v>
      </x:c>
      <x:c r="M14" s="46" t="n">
        <x:f>M6*'Unit Economics'!$B$29</x:f>
        <x:v>3550.8720000000003</x:v>
      </x:c>
      <x:c r="N14" s="46" t="n">
        <x:f>N6*'Unit Economics'!$B$29</x:f>
        <x:v>4142.684</x:v>
      </x:c>
    </x:row>
    <x:row r="15" ht="29" customHeight="1">
      <x:c r="A15" s="23" t="str">
        <x:v>NET COLLECTIONS AFTER RESERVES</x:v>
      </x:c>
      <x:c r="B15" s="23" t="str">
        <x:v>INR</x:v>
      </x:c>
      <x:c r="C15" s="23" t="n">
        <x:f>C11-SUM(C12:C14)</x:f>
        <x:v>24326.80591186441</x:v>
      </x:c>
      <x:c r="D15" s="23" t="n">
        <x:f>D11-SUM(D12:D14)</x:f>
        <x:v>36490.208867796624</x:v>
      </x:c>
      <x:c r="E15" s="23" t="n">
        <x:f>E11-SUM(E12:E14)</x:f>
        <x:v>60817.014779661025</x:v>
      </x:c>
      <x:c r="F15" s="23" t="n">
        <x:f>F11-SUM(F12:F14)</x:f>
        <x:v>85143.82069152543</x:v>
      </x:c>
      <x:c r="G15" s="23" t="n">
        <x:f>G11-SUM(G12:G14)</x:f>
        <x:v>109470.62660338986</x:v>
      </x:c>
      <x:c r="H15" s="23" t="n">
        <x:f>H11-SUM(H12:H14)</x:f>
        <x:v>133797.43251525424</x:v>
      </x:c>
      <x:c r="I15" s="23" t="n">
        <x:f>I11-SUM(I12:I14)</x:f>
        <x:v>158124.23842711866</x:v>
      </x:c>
      <x:c r="J15" s="23" t="n">
        <x:f>J11-SUM(J12:J14)</x:f>
        <x:v>182451.04433898308</x:v>
      </x:c>
      <x:c r="K15" s="23" t="n">
        <x:f>K11-SUM(K12:K14)</x:f>
        <x:v>218941.25320677971</x:v>
      </x:c>
      <x:c r="L15" s="23" t="n">
        <x:f>L11-SUM(L12:L14)</x:f>
        <x:v>255431.46207457632</x:v>
      </x:c>
      <x:c r="M15" s="23" t="n">
        <x:f>M11-SUM(M12:M14)</x:f>
        <x:v>291921.670942373</x:v>
      </x:c>
      <x:c r="N15" s="23" t="n">
        <x:f>N11-SUM(N12:N14)</x:f>
        <x:v>340575.2827661017</x:v>
      </x:c>
    </x:row>
    <x:row r="16" ht="24" customHeight="1">
      <x:c r="A16" s="12"/>
      <x:c r="B16" s="12"/>
      <x:c r="C16" s="12"/>
      <x:c r="D16" s="12"/>
      <x:c r="E16" s="12"/>
      <x:c r="F16" s="12"/>
      <x:c r="G16" s="12"/>
      <x:c r="H16" s="12"/>
      <x:c r="I16" s="12"/>
      <x:c r="J16" s="12"/>
      <x:c r="K16" s="12"/>
      <x:c r="L16" s="12"/>
      <x:c r="M16" s="12"/>
      <x:c r="N16" s="12"/>
    </x:row>
    <x:row r="17" ht="24" customHeight="1">
      <x:c r="A17" s="28" t="str">
        <x:v>Paid-user AI costs</x:v>
      </x:c>
      <x:c r="B17" s="28" t="str">
        <x:v>INR</x:v>
      </x:c>
      <x:c r="C17" s="47" t="n">
        <x:f>C7*'Unit Economics'!$B$30/'Inputs'!$B$6</x:f>
        <x:v>58.49999999999999</x:v>
      </x:c>
      <x:c r="D17" s="47" t="n">
        <x:f>D7*'Unit Economics'!$B$30/'Inputs'!$B$6</x:f>
        <x:v>146.24999999999997</x:v>
      </x:c>
      <x:c r="E17" s="47" t="n">
        <x:f>E7*'Unit Economics'!$B$30/'Inputs'!$B$6</x:f>
        <x:v>292.49999999999994</x:v>
      </x:c>
      <x:c r="F17" s="47" t="n">
        <x:f>F7*'Unit Economics'!$B$30/'Inputs'!$B$6</x:f>
        <x:v>497.24999999999994</x:v>
      </x:c>
      <x:c r="G17" s="47" t="n">
        <x:f>G7*'Unit Economics'!$B$30/'Inputs'!$B$6</x:f>
        <x:v>760.4999999999999</x:v>
      </x:c>
      <x:c r="H17" s="47" t="n">
        <x:f>H7*'Unit Economics'!$B$30/'Inputs'!$B$6</x:f>
        <x:v>1082.2499999999998</x:v>
      </x:c>
      <x:c r="I17" s="47" t="n">
        <x:f>I7*'Unit Economics'!$B$30/'Inputs'!$B$6</x:f>
        <x:v>1462.4999999999998</x:v>
      </x:c>
      <x:c r="J17" s="47" t="n">
        <x:f>J7*'Unit Economics'!$B$30/'Inputs'!$B$6</x:f>
        <x:v>1901.2499999999998</x:v>
      </x:c>
      <x:c r="K17" s="47" t="n">
        <x:f>K7*'Unit Economics'!$B$30/'Inputs'!$B$6</x:f>
        <x:v>2427.7499999999995</x:v>
      </x:c>
      <x:c r="L17" s="47" t="n">
        <x:f>L7*'Unit Economics'!$B$30/'Inputs'!$B$6</x:f>
        <x:v>3041.9999999999995</x:v>
      </x:c>
      <x:c r="M17" s="47" t="n">
        <x:f>M7*'Unit Economics'!$B$30/'Inputs'!$B$6</x:f>
        <x:v>3743.9999999999995</x:v>
      </x:c>
      <x:c r="N17" s="47" t="n">
        <x:f>N7*'Unit Economics'!$B$30/'Inputs'!$B$6</x:f>
        <x:v>4562.999999999999</x:v>
      </x:c>
    </x:row>
    <x:row r="18" ht="24" customHeight="1">
      <x:c r="A18" s="12" t="str">
        <x:v>Free-user AI subsidy</x:v>
      </x:c>
      <x:c r="B18" s="12" t="str">
        <x:v>INR</x:v>
      </x:c>
      <x:c r="C18" s="46" t="n">
        <x:f>C7*'Unit Economics'!$B$31/'Inputs'!$B$6</x:f>
        <x:v>70.2</x:v>
      </x:c>
      <x:c r="D18" s="46" t="n">
        <x:f>D7*'Unit Economics'!$B$31/'Inputs'!$B$6</x:f>
        <x:v>175.5</x:v>
      </x:c>
      <x:c r="E18" s="46" t="n">
        <x:f>E7*'Unit Economics'!$B$31/'Inputs'!$B$6</x:f>
        <x:v>351</x:v>
      </x:c>
      <x:c r="F18" s="46" t="n">
        <x:f>F7*'Unit Economics'!$B$31/'Inputs'!$B$6</x:f>
        <x:v>596.6999999999999</x:v>
      </x:c>
      <x:c r="G18" s="46" t="n">
        <x:f>G7*'Unit Economics'!$B$31/'Inputs'!$B$6</x:f>
        <x:v>912.5999999999999</x:v>
      </x:c>
      <x:c r="H18" s="46" t="n">
        <x:f>H7*'Unit Economics'!$B$31/'Inputs'!$B$6</x:f>
        <x:v>1298.7</x:v>
      </x:c>
      <x:c r="I18" s="46" t="n">
        <x:f>I7*'Unit Economics'!$B$31/'Inputs'!$B$6</x:f>
        <x:v>1755</x:v>
      </x:c>
      <x:c r="J18" s="46" t="n">
        <x:f>J7*'Unit Economics'!$B$31/'Inputs'!$B$6</x:f>
        <x:v>2281.5</x:v>
      </x:c>
      <x:c r="K18" s="46" t="n">
        <x:f>K7*'Unit Economics'!$B$31/'Inputs'!$B$6</x:f>
        <x:v>2913.2999999999997</x:v>
      </x:c>
      <x:c r="L18" s="46" t="n">
        <x:f>L7*'Unit Economics'!$B$31/'Inputs'!$B$6</x:f>
        <x:v>3650.3999999999996</x:v>
      </x:c>
      <x:c r="M18" s="46" t="n">
        <x:f>M7*'Unit Economics'!$B$31/'Inputs'!$B$6</x:f>
        <x:v>4492.8</x:v>
      </x:c>
      <x:c r="N18" s="46" t="n">
        <x:f>N7*'Unit Economics'!$B$31/'Inputs'!$B$6</x:f>
        <x:v>5475.599999999999</x:v>
      </x:c>
    </x:row>
    <x:row r="19" ht="24" customHeight="1">
      <x:c r="A19" s="28" t="str">
        <x:v>Variable support reserve</x:v>
      </x:c>
      <x:c r="B19" s="28" t="str">
        <x:v>INR</x:v>
      </x:c>
      <x:c r="C19" s="47" t="n">
        <x:f>C7*'Unit Economics'!$B$32/'Inputs'!$B$6</x:f>
        <x:v>50</x:v>
      </x:c>
      <x:c r="D19" s="47" t="n">
        <x:f>D7*'Unit Economics'!$B$32/'Inputs'!$B$6</x:f>
        <x:v>125</x:v>
      </x:c>
      <x:c r="E19" s="47" t="n">
        <x:f>E7*'Unit Economics'!$B$32/'Inputs'!$B$6</x:f>
        <x:v>250</x:v>
      </x:c>
      <x:c r="F19" s="47" t="n">
        <x:f>F7*'Unit Economics'!$B$32/'Inputs'!$B$6</x:f>
        <x:v>425</x:v>
      </x:c>
      <x:c r="G19" s="47" t="n">
        <x:f>G7*'Unit Economics'!$B$32/'Inputs'!$B$6</x:f>
        <x:v>650</x:v>
      </x:c>
      <x:c r="H19" s="47" t="n">
        <x:f>H7*'Unit Economics'!$B$32/'Inputs'!$B$6</x:f>
        <x:v>925</x:v>
      </x:c>
      <x:c r="I19" s="47" t="n">
        <x:f>I7*'Unit Economics'!$B$32/'Inputs'!$B$6</x:f>
        <x:v>1250</x:v>
      </x:c>
      <x:c r="J19" s="47" t="n">
        <x:f>J7*'Unit Economics'!$B$32/'Inputs'!$B$6</x:f>
        <x:v>1625</x:v>
      </x:c>
      <x:c r="K19" s="47" t="n">
        <x:f>K7*'Unit Economics'!$B$32/'Inputs'!$B$6</x:f>
        <x:v>2075</x:v>
      </x:c>
      <x:c r="L19" s="47" t="n">
        <x:f>L7*'Unit Economics'!$B$32/'Inputs'!$B$6</x:f>
        <x:v>2600</x:v>
      </x:c>
      <x:c r="M19" s="47" t="n">
        <x:f>M7*'Unit Economics'!$B$32/'Inputs'!$B$6</x:f>
        <x:v>3200</x:v>
      </x:c>
      <x:c r="N19" s="47" t="n">
        <x:f>N7*'Unit Economics'!$B$32/'Inputs'!$B$6</x:f>
        <x:v>3900</x:v>
      </x:c>
    </x:row>
    <x:row r="20" ht="24" customHeight="1">
      <x:c r="A20" s="12" t="str">
        <x:v>Fixed operating costs</x:v>
      </x:c>
      <x:c r="B20" s="12" t="str">
        <x:v>INR</x:v>
      </x:c>
      <x:c r="C20" s="46" t="n">
        <x:f>IF(C7&lt;'Inputs'!$B$35,'Inputs'!$B$33,'Inputs'!$B$34)</x:f>
        <x:v>10000</x:v>
      </x:c>
      <x:c r="D20" s="46" t="n">
        <x:f>IF(D7&lt;'Inputs'!$B$35,'Inputs'!$B$33,'Inputs'!$B$34)</x:f>
        <x:v>10000</x:v>
      </x:c>
      <x:c r="E20" s="46" t="n">
        <x:f>IF(E7&lt;'Inputs'!$B$35,'Inputs'!$B$33,'Inputs'!$B$34)</x:f>
        <x:v>10000</x:v>
      </x:c>
      <x:c r="F20" s="46" t="n">
        <x:f>IF(F7&lt;'Inputs'!$B$35,'Inputs'!$B$33,'Inputs'!$B$34)</x:f>
        <x:v>10000</x:v>
      </x:c>
      <x:c r="G20" s="46" t="n">
        <x:f>IF(G7&lt;'Inputs'!$B$35,'Inputs'!$B$33,'Inputs'!$B$34)</x:f>
        <x:v>10000</x:v>
      </x:c>
      <x:c r="H20" s="46" t="n">
        <x:f>IF(H7&lt;'Inputs'!$B$35,'Inputs'!$B$33,'Inputs'!$B$34)</x:f>
        <x:v>10000</x:v>
      </x:c>
      <x:c r="I20" s="46" t="n">
        <x:f>IF(I7&lt;'Inputs'!$B$35,'Inputs'!$B$33,'Inputs'!$B$34)</x:f>
        <x:v>10000</x:v>
      </x:c>
      <x:c r="J20" s="46" t="n">
        <x:f>IF(J7&lt;'Inputs'!$B$35,'Inputs'!$B$33,'Inputs'!$B$34)</x:f>
        <x:v>10000</x:v>
      </x:c>
      <x:c r="K20" s="46" t="n">
        <x:f>IF(K7&lt;'Inputs'!$B$35,'Inputs'!$B$33,'Inputs'!$B$34)</x:f>
        <x:v>10000</x:v>
      </x:c>
      <x:c r="L20" s="46" t="n">
        <x:f>IF(L7&lt;'Inputs'!$B$35,'Inputs'!$B$33,'Inputs'!$B$34)</x:f>
        <x:v>10000</x:v>
      </x:c>
      <x:c r="M20" s="46" t="n">
        <x:f>IF(M7&lt;'Inputs'!$B$35,'Inputs'!$B$33,'Inputs'!$B$34)</x:f>
        <x:v>10000</x:v>
      </x:c>
      <x:c r="N20" s="46" t="n">
        <x:f>IF(N7&lt;'Inputs'!$B$35,'Inputs'!$B$33,'Inputs'!$B$34)</x:f>
        <x:v>10000</x:v>
      </x:c>
    </x:row>
    <x:row r="21" ht="24" customHeight="1">
      <x:c r="A21" s="28" t="str">
        <x:v>Existing dev tool allocation</x:v>
      </x:c>
      <x:c r="B21" s="28" t="str">
        <x:v>INR</x:v>
      </x:c>
      <x:c r="C21" s="47" t="n">
        <x:f>'Inputs'!$B$38</x:f>
        <x:v>0</x:v>
      </x:c>
      <x:c r="D21" s="47" t="n">
        <x:f>'Inputs'!$B$38</x:f>
        <x:v>0</x:v>
      </x:c>
      <x:c r="E21" s="47" t="n">
        <x:f>'Inputs'!$B$38</x:f>
        <x:v>0</x:v>
      </x:c>
      <x:c r="F21" s="47" t="n">
        <x:f>'Inputs'!$B$38</x:f>
        <x:v>0</x:v>
      </x:c>
      <x:c r="G21" s="47" t="n">
        <x:f>'Inputs'!$B$38</x:f>
        <x:v>0</x:v>
      </x:c>
      <x:c r="H21" s="47" t="n">
        <x:f>'Inputs'!$B$38</x:f>
        <x:v>0</x:v>
      </x:c>
      <x:c r="I21" s="47" t="n">
        <x:f>'Inputs'!$B$38</x:f>
        <x:v>0</x:v>
      </x:c>
      <x:c r="J21" s="47" t="n">
        <x:f>'Inputs'!$B$38</x:f>
        <x:v>0</x:v>
      </x:c>
      <x:c r="K21" s="47" t="n">
        <x:f>'Inputs'!$B$38</x:f>
        <x:v>0</x:v>
      </x:c>
      <x:c r="L21" s="47" t="n">
        <x:f>'Inputs'!$B$38</x:f>
        <x:v>0</x:v>
      </x:c>
      <x:c r="M21" s="47" t="n">
        <x:f>'Inputs'!$B$38</x:f>
        <x:v>0</x:v>
      </x:c>
      <x:c r="N21" s="47" t="n">
        <x:f>'Inputs'!$B$38</x:f>
        <x:v>0</x:v>
      </x:c>
    </x:row>
    <x:row r="22" ht="24" customHeight="1">
      <x:c r="A22" s="12" t="str">
        <x:v>All-in acquisition expense</x:v>
      </x:c>
      <x:c r="B22" s="12" t="str">
        <x:v>INR</x:v>
      </x:c>
      <x:c r="C22" s="46" t="n">
        <x:f>C6*'Inputs'!$B$32</x:f>
        <x:v>6500</x:v>
      </x:c>
      <x:c r="D22" s="46" t="n">
        <x:f>D6*'Inputs'!$B$32</x:f>
        <x:v>9750</x:v>
      </x:c>
      <x:c r="E22" s="46" t="n">
        <x:f>E6*'Inputs'!$B$32</x:f>
        <x:v>16250</x:v>
      </x:c>
      <x:c r="F22" s="46" t="n">
        <x:f>F6*'Inputs'!$B$32</x:f>
        <x:v>22750</x:v>
      </x:c>
      <x:c r="G22" s="46" t="n">
        <x:f>G6*'Inputs'!$B$32</x:f>
        <x:v>29250</x:v>
      </x:c>
      <x:c r="H22" s="46" t="n">
        <x:f>H6*'Inputs'!$B$32</x:f>
        <x:v>35750</x:v>
      </x:c>
      <x:c r="I22" s="46" t="n">
        <x:f>I6*'Inputs'!$B$32</x:f>
        <x:v>42250</x:v>
      </x:c>
      <x:c r="J22" s="46" t="n">
        <x:f>J6*'Inputs'!$B$32</x:f>
        <x:v>48750</x:v>
      </x:c>
      <x:c r="K22" s="46" t="n">
        <x:f>K6*'Inputs'!$B$32</x:f>
        <x:v>58500</x:v>
      </x:c>
      <x:c r="L22" s="46" t="n">
        <x:f>L6*'Inputs'!$B$32</x:f>
        <x:v>68250</x:v>
      </x:c>
      <x:c r="M22" s="46" t="n">
        <x:f>M6*'Inputs'!$B$32</x:f>
        <x:v>78000</x:v>
      </x:c>
      <x:c r="N22" s="46" t="n">
        <x:f>N6*'Inputs'!$B$32</x:f>
        <x:v>91000</x:v>
      </x:c>
    </x:row>
    <x:row r="23" ht="24" customHeight="1">
      <x:c r="A23" s="28" t="str">
        <x:v>One-off setup / review</x:v>
      </x:c>
      <x:c r="B23" s="28" t="str">
        <x:v>INR</x:v>
      </x:c>
      <x:c r="C23" s="47" t="n">
        <x:f>'Inputs'!$B$40</x:f>
        <x:v>20000</x:v>
      </x:c>
      <x:c r="D23" s="47" t="n">
        <x:f>0</x:f>
        <x:v>0</x:v>
      </x:c>
      <x:c r="E23" s="47" t="n">
        <x:f>0</x:f>
        <x:v>0</x:v>
      </x:c>
      <x:c r="F23" s="47" t="n">
        <x:f>0</x:f>
        <x:v>0</x:v>
      </x:c>
      <x:c r="G23" s="47" t="n">
        <x:f>0</x:f>
        <x:v>0</x:v>
      </x:c>
      <x:c r="H23" s="47" t="n">
        <x:f>0</x:f>
        <x:v>0</x:v>
      </x:c>
      <x:c r="I23" s="47" t="n">
        <x:f>0</x:f>
        <x:v>0</x:v>
      </x:c>
      <x:c r="J23" s="47" t="n">
        <x:f>0</x:f>
        <x:v>0</x:v>
      </x:c>
      <x:c r="K23" s="47" t="n">
        <x:f>0</x:f>
        <x:v>0</x:v>
      </x:c>
      <x:c r="L23" s="47" t="n">
        <x:f>0</x:f>
        <x:v>0</x:v>
      </x:c>
      <x:c r="M23" s="47" t="n">
        <x:f>0</x:f>
        <x:v>0</x:v>
      </x:c>
      <x:c r="N23" s="47" t="n">
        <x:f>0</x:f>
        <x:v>0</x:v>
      </x:c>
    </x:row>
    <x:row r="24" ht="29" customHeight="1">
      <x:c r="A24" s="23" t="str">
        <x:v>TOTAL OPERATING CASH OUT</x:v>
      </x:c>
      <x:c r="B24" s="23" t="str">
        <x:v>INR</x:v>
      </x:c>
      <x:c r="C24" s="23" t="n">
        <x:f>SUM(C17:C23)</x:f>
        <x:v>36678.7</x:v>
      </x:c>
      <x:c r="D24" s="23" t="n">
        <x:f>SUM(D17:D23)</x:f>
        <x:v>20196.75</x:v>
      </x:c>
      <x:c r="E24" s="23" t="n">
        <x:f>SUM(E17:E23)</x:f>
        <x:v>27143.5</x:v>
      </x:c>
      <x:c r="F24" s="23" t="n">
        <x:f>SUM(F17:F23)</x:f>
        <x:v>34268.95</x:v>
      </x:c>
      <x:c r="G24" s="23" t="n">
        <x:f>SUM(G17:G23)</x:f>
        <x:v>41573.1</x:v>
      </x:c>
      <x:c r="H24" s="23" t="n">
        <x:f>SUM(H17:H23)</x:f>
        <x:v>49055.95</x:v>
      </x:c>
      <x:c r="I24" s="23" t="n">
        <x:f>SUM(I17:I23)</x:f>
        <x:v>56717.5</x:v>
      </x:c>
      <x:c r="J24" s="23" t="n">
        <x:f>SUM(J17:J23)</x:f>
        <x:v>64557.75</x:v>
      </x:c>
      <x:c r="K24" s="23" t="n">
        <x:f>SUM(K17:K23)</x:f>
        <x:v>75916.05</x:v>
      </x:c>
      <x:c r="L24" s="23" t="n">
        <x:f>SUM(L17:L23)</x:f>
        <x:v>87542.4</x:v>
      </x:c>
      <x:c r="M24" s="23" t="n">
        <x:f>SUM(M17:M23)</x:f>
        <x:v>99436.8</x:v>
      </x:c>
      <x:c r="N24" s="23" t="n">
        <x:f>SUM(N17:N23)</x:f>
        <x:v>114938.6</x:v>
      </x:c>
    </x:row>
    <x:row r="25" ht="29" customHeight="1">
      <x:c r="A25" s="23" t="str">
        <x:v>NET CASH MOVEMENT</x:v>
      </x:c>
      <x:c r="B25" s="23" t="str">
        <x:v>INR</x:v>
      </x:c>
      <x:c r="C25" s="23" t="n">
        <x:f>C15-C24</x:f>
        <x:v>-12351.894088135588</x:v>
      </x:c>
      <x:c r="D25" s="23" t="n">
        <x:f>D15-D24</x:f>
        <x:v>16293.458867796624</x:v>
      </x:c>
      <x:c r="E25" s="23" t="n">
        <x:f>E15-E24</x:f>
        <x:v>33673.514779661025</x:v>
      </x:c>
      <x:c r="F25" s="23" t="n">
        <x:f>F15-F24</x:f>
        <x:v>50874.87069152543</x:v>
      </x:c>
      <x:c r="G25" s="23" t="n">
        <x:f>G15-G24</x:f>
        <x:v>67897.52660338985</x:v>
      </x:c>
      <x:c r="H25" s="23" t="n">
        <x:f>H15-H24</x:f>
        <x:v>84741.48251525425</x:v>
      </x:c>
      <x:c r="I25" s="23" t="n">
        <x:f>I15-I24</x:f>
        <x:v>101406.73842711866</x:v>
      </x:c>
      <x:c r="J25" s="23" t="n">
        <x:f>J15-J24</x:f>
        <x:v>117893.29433898308</x:v>
      </x:c>
      <x:c r="K25" s="23" t="n">
        <x:f>K15-K24</x:f>
        <x:v>143025.20320677973</x:v>
      </x:c>
      <x:c r="L25" s="23" t="n">
        <x:f>L15-L24</x:f>
        <x:v>167889.06207457633</x:v>
      </x:c>
      <x:c r="M25" s="23" t="n">
        <x:f>M15-M24</x:f>
        <x:v>192484.870942373</x:v>
      </x:c>
      <x:c r="N25" s="23" t="n">
        <x:f>N15-N24</x:f>
        <x:v>225636.6827661017</x:v>
      </x:c>
    </x:row>
    <x:row r="26" ht="29" customHeight="1">
      <x:c r="A26" s="54" t="str">
        <x:v>CLOSING CASH</x:v>
      </x:c>
      <x:c r="B26" s="54" t="str">
        <x:v>INR</x:v>
      </x:c>
      <x:c r="C26" s="54" t="n">
        <x:f>'Inputs'!$B$39+C25</x:f>
        <x:v>87648.1059118644</x:v>
      </x:c>
      <x:c r="D26" s="54" t="n">
        <x:f>C26+D25</x:f>
        <x:v>103941.56477966103</x:v>
      </x:c>
      <x:c r="E26" s="54" t="n">
        <x:f>D26+E25</x:f>
        <x:v>137615.07955932204</x:v>
      </x:c>
      <x:c r="F26" s="54" t="n">
        <x:f>E26+F25</x:f>
        <x:v>188489.95025084747</x:v>
      </x:c>
      <x:c r="G26" s="54" t="n">
        <x:f>F26+G25</x:f>
        <x:v>256387.47685423732</x:v>
      </x:c>
      <x:c r="H26" s="54" t="n">
        <x:f>G26+H25</x:f>
        <x:v>341128.95936949155</x:v>
      </x:c>
      <x:c r="I26" s="54" t="n">
        <x:f>H26+I25</x:f>
        <x:v>442535.6977966102</x:v>
      </x:c>
      <x:c r="J26" s="54" t="n">
        <x:f>I26+J25</x:f>
        <x:v>560428.9921355932</x:v>
      </x:c>
      <x:c r="K26" s="54" t="n">
        <x:f>J26+K25</x:f>
        <x:v>703454.1953423729</x:v>
      </x:c>
      <x:c r="L26" s="54" t="n">
        <x:f>K26+L25</x:f>
        <x:v>871343.2574169491</x:v>
      </x:c>
      <x:c r="M26" s="54" t="n">
        <x:f>L26+M25</x:f>
        <x:v>1063828.1283593222</x:v>
      </x:c>
      <x:c r="N26" s="54" t="n">
        <x:f>M26+N25</x:f>
        <x:v>1289464.811125424</x:v>
      </x:c>
    </x:row>
    <x:row r="27" ht="24" customHeight="1">
      <x:c r="A27" s="28"/>
      <x:c r="B27" s="28"/>
      <x:c r="C27" s="28"/>
      <x:c r="D27" s="28"/>
      <x:c r="E27" s="28"/>
      <x:c r="F27" s="28"/>
      <x:c r="G27" s="28"/>
      <x:c r="H27" s="28"/>
      <x:c r="I27" s="28"/>
      <x:c r="J27" s="28"/>
      <x:c r="K27" s="28"/>
      <x:c r="L27" s="28"/>
      <x:c r="M27" s="28"/>
      <x:c r="N27" s="28"/>
    </x:row>
    <x:row r="28" ht="24" customHeight="1">
      <x:c r="A28" s="12" t="str">
        <x:v>Monthly earned revenue, net refunds</x:v>
      </x:c>
      <x:c r="B28" s="12" t="str">
        <x:v>INR</x:v>
      </x:c>
      <x:c r="C28" s="46" t="n">
        <x:f>C7*('Unit Economics'!$B$26-'Unit Economics'!$B$28)/'Inputs'!$B$6</x:f>
        <x:v>2293.3120875706213</x:v>
      </x:c>
      <x:c r="D28" s="46" t="n">
        <x:f>D7*('Unit Economics'!$B$26-'Unit Economics'!$B$28)/'Inputs'!$B$6</x:f>
        <x:v>5733.280218926554</x:v>
      </x:c>
      <x:c r="E28" s="46" t="n">
        <x:f>E7*('Unit Economics'!$B$26-'Unit Economics'!$B$28)/'Inputs'!$B$6</x:f>
        <x:v>11466.560437853108</x:v>
      </x:c>
      <x:c r="F28" s="46" t="n">
        <x:f>F7*('Unit Economics'!$B$26-'Unit Economics'!$B$28)/'Inputs'!$B$6</x:f>
        <x:v>19493.152744350282</x:v>
      </x:c>
      <x:c r="G28" s="46" t="n">
        <x:f>G7*('Unit Economics'!$B$26-'Unit Economics'!$B$28)/'Inputs'!$B$6</x:f>
        <x:v>29813.05713841808</x:v>
      </x:c>
      <x:c r="H28" s="46" t="n">
        <x:f>H7*('Unit Economics'!$B$26-'Unit Economics'!$B$28)/'Inputs'!$B$6</x:f>
        <x:v>42426.2736200565</x:v>
      </x:c>
      <x:c r="I28" s="46" t="n">
        <x:f>I7*('Unit Economics'!$B$26-'Unit Economics'!$B$28)/'Inputs'!$B$6</x:f>
        <x:v>57332.802189265545</x:v>
      </x:c>
      <x:c r="J28" s="46" t="n">
        <x:f>J7*('Unit Economics'!$B$26-'Unit Economics'!$B$28)/'Inputs'!$B$6</x:f>
        <x:v>74532.6428460452</x:v>
      </x:c>
      <x:c r="K28" s="46" t="n">
        <x:f>K7*('Unit Economics'!$B$26-'Unit Economics'!$B$28)/'Inputs'!$B$6</x:f>
        <x:v>95172.45163418079</x:v>
      </x:c>
      <x:c r="L28" s="46" t="n">
        <x:f>L7*('Unit Economics'!$B$26-'Unit Economics'!$B$28)/'Inputs'!$B$6</x:f>
        <x:v>119252.22855367232</x:v>
      </x:c>
      <x:c r="M28" s="46" t="n">
        <x:f>M7*('Unit Economics'!$B$26-'Unit Economics'!$B$28)/'Inputs'!$B$6</x:f>
        <x:v>146771.97360451976</x:v>
      </x:c>
      <x:c r="N28" s="46" t="n">
        <x:f>N7*('Unit Economics'!$B$26-'Unit Economics'!$B$28)/'Inputs'!$B$6</x:f>
        <x:v>178878.34283050848</x:v>
      </x:c>
    </x:row>
    <x:row r="29" ht="24" customHeight="1">
      <x:c r="A29" s="28" t="str">
        <x:v>Annualized fees/tooling allocation</x:v>
      </x:c>
      <x:c r="B29" s="28" t="str">
        <x:v>INR</x:v>
      </x:c>
      <x:c r="C29" s="47" t="n">
        <x:f>C7*('Unit Economics'!$B$27+'Unit Economics'!$B$29)/'Inputs'!$B$6</x:f>
        <x:v>266.0782615819209</x:v>
      </x:c>
      <x:c r="D29" s="47" t="n">
        <x:f>D7*('Unit Economics'!$B$27+'Unit Economics'!$B$29)/'Inputs'!$B$6</x:f>
        <x:v>665.1956539548022</x:v>
      </x:c>
      <x:c r="E29" s="47" t="n">
        <x:f>E7*('Unit Economics'!$B$27+'Unit Economics'!$B$29)/'Inputs'!$B$6</x:f>
        <x:v>1330.3913079096044</x:v>
      </x:c>
      <x:c r="F29" s="47" t="n">
        <x:f>F7*('Unit Economics'!$B$27+'Unit Economics'!$B$29)/'Inputs'!$B$6</x:f>
        <x:v>2261.6652234463277</x:v>
      </x:c>
      <x:c r="G29" s="47" t="n">
        <x:f>G7*('Unit Economics'!$B$27+'Unit Economics'!$B$29)/'Inputs'!$B$6</x:f>
        <x:v>3459.0174005649715</x:v>
      </x:c>
      <x:c r="H29" s="47" t="n">
        <x:f>H7*('Unit Economics'!$B$27+'Unit Economics'!$B$29)/'Inputs'!$B$6</x:f>
        <x:v>4922.4478392655365</x:v>
      </x:c>
      <x:c r="I29" s="47" t="n">
        <x:f>I7*('Unit Economics'!$B$27+'Unit Economics'!$B$29)/'Inputs'!$B$6</x:f>
        <x:v>6651.956539548021</x:v>
      </x:c>
      <x:c r="J29" s="47" t="n">
        <x:f>J7*('Unit Economics'!$B$27+'Unit Economics'!$B$29)/'Inputs'!$B$6</x:f>
        <x:v>8647.543501412429</x:v>
      </x:c>
      <x:c r="K29" s="47" t="n">
        <x:f>K7*('Unit Economics'!$B$27+'Unit Economics'!$B$29)/'Inputs'!$B$6</x:f>
        <x:v>11042.247855649715</x:v>
      </x:c>
      <x:c r="L29" s="47" t="n">
        <x:f>L7*('Unit Economics'!$B$27+'Unit Economics'!$B$29)/'Inputs'!$B$6</x:f>
        <x:v>13836.069602259886</x:v>
      </x:c>
      <x:c r="M29" s="47" t="n">
        <x:f>M7*('Unit Economics'!$B$27+'Unit Economics'!$B$29)/'Inputs'!$B$6</x:f>
        <x:v>17029.00874124294</x:v>
      </x:c>
      <x:c r="N29" s="47" t="n">
        <x:f>N7*('Unit Economics'!$B$27+'Unit Economics'!$B$29)/'Inputs'!$B$6</x:f>
        <x:v>20754.10440338983</x:v>
      </x:c>
    </x:row>
    <x:row r="30" ht="24" customHeight="1">
      <x:c r="A30" s="12" t="str">
        <x:v>Paid-user AI cost</x:v>
      </x:c>
      <x:c r="B30" s="12" t="str">
        <x:v>INR</x:v>
      </x:c>
      <x:c r="C30" s="12" t="n">
        <x:f>C17</x:f>
        <x:v>58.49999999999999</x:v>
      </x:c>
      <x:c r="D30" s="12" t="n">
        <x:f>D17</x:f>
        <x:v>146.24999999999997</x:v>
      </x:c>
      <x:c r="E30" s="12" t="n">
        <x:f>E17</x:f>
        <x:v>292.49999999999994</x:v>
      </x:c>
      <x:c r="F30" s="12" t="n">
        <x:f>F17</x:f>
        <x:v>497.24999999999994</x:v>
      </x:c>
      <x:c r="G30" s="12" t="n">
        <x:f>G17</x:f>
        <x:v>760.4999999999999</x:v>
      </x:c>
      <x:c r="H30" s="12" t="n">
        <x:f>H17</x:f>
        <x:v>1082.2499999999998</x:v>
      </x:c>
      <x:c r="I30" s="12" t="n">
        <x:f>I17</x:f>
        <x:v>1462.4999999999998</x:v>
      </x:c>
      <x:c r="J30" s="12" t="n">
        <x:f>J17</x:f>
        <x:v>1901.2499999999998</x:v>
      </x:c>
      <x:c r="K30" s="12" t="n">
        <x:f>K17</x:f>
        <x:v>2427.7499999999995</x:v>
      </x:c>
      <x:c r="L30" s="12" t="n">
        <x:f>L17</x:f>
        <x:v>3041.9999999999995</x:v>
      </x:c>
      <x:c r="M30" s="12" t="n">
        <x:f>M17</x:f>
        <x:v>3743.9999999999995</x:v>
      </x:c>
      <x:c r="N30" s="12" t="n">
        <x:f>N17</x:f>
        <x:v>4562.999999999999</x:v>
      </x:c>
    </x:row>
    <x:row r="31" ht="24" customHeight="1">
      <x:c r="A31" s="28" t="str">
        <x:v>Free-user AI subsidy</x:v>
      </x:c>
      <x:c r="B31" s="28" t="str">
        <x:v>INR</x:v>
      </x:c>
      <x:c r="C31" s="28" t="n">
        <x:f>C18</x:f>
        <x:v>70.2</x:v>
      </x:c>
      <x:c r="D31" s="28" t="n">
        <x:f>D18</x:f>
        <x:v>175.5</x:v>
      </x:c>
      <x:c r="E31" s="28" t="n">
        <x:f>E18</x:f>
        <x:v>351</x:v>
      </x:c>
      <x:c r="F31" s="28" t="n">
        <x:f>F18</x:f>
        <x:v>596.6999999999999</x:v>
      </x:c>
      <x:c r="G31" s="28" t="n">
        <x:f>G18</x:f>
        <x:v>912.5999999999999</x:v>
      </x:c>
      <x:c r="H31" s="28" t="n">
        <x:f>H18</x:f>
        <x:v>1298.7</x:v>
      </x:c>
      <x:c r="I31" s="28" t="n">
        <x:f>I18</x:f>
        <x:v>1755</x:v>
      </x:c>
      <x:c r="J31" s="28" t="n">
        <x:f>J18</x:f>
        <x:v>2281.5</x:v>
      </x:c>
      <x:c r="K31" s="28" t="n">
        <x:f>K18</x:f>
        <x:v>2913.2999999999997</x:v>
      </x:c>
      <x:c r="L31" s="28" t="n">
        <x:f>L18</x:f>
        <x:v>3650.3999999999996</x:v>
      </x:c>
      <x:c r="M31" s="28" t="n">
        <x:f>M18</x:f>
        <x:v>4492.8</x:v>
      </x:c>
      <x:c r="N31" s="28" t="n">
        <x:f>N18</x:f>
        <x:v>5475.599999999999</x:v>
      </x:c>
    </x:row>
    <x:row r="32" ht="24" customHeight="1">
      <x:c r="A32" s="12" t="str">
        <x:v>Support reserve</x:v>
      </x:c>
      <x:c r="B32" s="12" t="str">
        <x:v>INR</x:v>
      </x:c>
      <x:c r="C32" s="12" t="n">
        <x:f>C19</x:f>
        <x:v>50</x:v>
      </x:c>
      <x:c r="D32" s="12" t="n">
        <x:f>D19</x:f>
        <x:v>125</x:v>
      </x:c>
      <x:c r="E32" s="12" t="n">
        <x:f>E19</x:f>
        <x:v>250</x:v>
      </x:c>
      <x:c r="F32" s="12" t="n">
        <x:f>F19</x:f>
        <x:v>425</x:v>
      </x:c>
      <x:c r="G32" s="12" t="n">
        <x:f>G19</x:f>
        <x:v>650</x:v>
      </x:c>
      <x:c r="H32" s="12" t="n">
        <x:f>H19</x:f>
        <x:v>925</x:v>
      </x:c>
      <x:c r="I32" s="12" t="n">
        <x:f>I19</x:f>
        <x:v>1250</x:v>
      </x:c>
      <x:c r="J32" s="12" t="n">
        <x:f>J19</x:f>
        <x:v>1625</x:v>
      </x:c>
      <x:c r="K32" s="12" t="n">
        <x:f>K19</x:f>
        <x:v>2075</x:v>
      </x:c>
      <x:c r="L32" s="12" t="n">
        <x:f>L19</x:f>
        <x:v>2600</x:v>
      </x:c>
      <x:c r="M32" s="12" t="n">
        <x:f>M19</x:f>
        <x:v>3200</x:v>
      </x:c>
      <x:c r="N32" s="12" t="n">
        <x:f>N19</x:f>
        <x:v>3900</x:v>
      </x:c>
    </x:row>
    <x:row r="33" ht="24" customHeight="1">
      <x:c r="A33" s="28" t="str">
        <x:v>Fixed operations</x:v>
      </x:c>
      <x:c r="B33" s="28" t="str">
        <x:v>INR</x:v>
      </x:c>
      <x:c r="C33" s="28" t="n">
        <x:f>C20</x:f>
        <x:v>10000</x:v>
      </x:c>
      <x:c r="D33" s="28" t="n">
        <x:f>D20</x:f>
        <x:v>10000</x:v>
      </x:c>
      <x:c r="E33" s="28" t="n">
        <x:f>E20</x:f>
        <x:v>10000</x:v>
      </x:c>
      <x:c r="F33" s="28" t="n">
        <x:f>F20</x:f>
        <x:v>10000</x:v>
      </x:c>
      <x:c r="G33" s="28" t="n">
        <x:f>G20</x:f>
        <x:v>10000</x:v>
      </x:c>
      <x:c r="H33" s="28" t="n">
        <x:f>H20</x:f>
        <x:v>10000</x:v>
      </x:c>
      <x:c r="I33" s="28" t="n">
        <x:f>I20</x:f>
        <x:v>10000</x:v>
      </x:c>
      <x:c r="J33" s="28" t="n">
        <x:f>J20</x:f>
        <x:v>10000</x:v>
      </x:c>
      <x:c r="K33" s="28" t="n">
        <x:f>K20</x:f>
        <x:v>10000</x:v>
      </x:c>
      <x:c r="L33" s="28" t="n">
        <x:f>L20</x:f>
        <x:v>10000</x:v>
      </x:c>
      <x:c r="M33" s="28" t="n">
        <x:f>M20</x:f>
        <x:v>10000</x:v>
      </x:c>
      <x:c r="N33" s="28" t="n">
        <x:f>N20</x:f>
        <x:v>10000</x:v>
      </x:c>
    </x:row>
    <x:row r="34" ht="24" customHeight="1">
      <x:c r="A34" s="12" t="str">
        <x:v>Existing tool allocation</x:v>
      </x:c>
      <x:c r="B34" s="12" t="str">
        <x:v>INR</x:v>
      </x:c>
      <x:c r="C34" s="12" t="n">
        <x:f>C21</x:f>
        <x:v>0</x:v>
      </x:c>
      <x:c r="D34" s="12" t="n">
        <x:f>D21</x:f>
        <x:v>0</x:v>
      </x:c>
      <x:c r="E34" s="12" t="n">
        <x:f>E21</x:f>
        <x:v>0</x:v>
      </x:c>
      <x:c r="F34" s="12" t="n">
        <x:f>F21</x:f>
        <x:v>0</x:v>
      </x:c>
      <x:c r="G34" s="12" t="n">
        <x:f>G21</x:f>
        <x:v>0</x:v>
      </x:c>
      <x:c r="H34" s="12" t="n">
        <x:f>H21</x:f>
        <x:v>0</x:v>
      </x:c>
      <x:c r="I34" s="12" t="n">
        <x:f>I21</x:f>
        <x:v>0</x:v>
      </x:c>
      <x:c r="J34" s="12" t="n">
        <x:f>J21</x:f>
        <x:v>0</x:v>
      </x:c>
      <x:c r="K34" s="12" t="n">
        <x:f>K21</x:f>
        <x:v>0</x:v>
      </x:c>
      <x:c r="L34" s="12" t="n">
        <x:f>L21</x:f>
        <x:v>0</x:v>
      </x:c>
      <x:c r="M34" s="12" t="n">
        <x:f>M21</x:f>
        <x:v>0</x:v>
      </x:c>
      <x:c r="N34" s="12" t="n">
        <x:f>N21</x:f>
        <x:v>0</x:v>
      </x:c>
    </x:row>
    <x:row r="35" ht="24" customHeight="1">
      <x:c r="A35" s="28" t="str">
        <x:v>Growth acquisition expense</x:v>
      </x:c>
      <x:c r="B35" s="28" t="str">
        <x:v>INR</x:v>
      </x:c>
      <x:c r="C35" s="28" t="n">
        <x:f>C22</x:f>
        <x:v>6500</x:v>
      </x:c>
      <x:c r="D35" s="28" t="n">
        <x:f>D22</x:f>
        <x:v>9750</x:v>
      </x:c>
      <x:c r="E35" s="28" t="n">
        <x:f>E22</x:f>
        <x:v>16250</x:v>
      </x:c>
      <x:c r="F35" s="28" t="n">
        <x:f>F22</x:f>
        <x:v>22750</x:v>
      </x:c>
      <x:c r="G35" s="28" t="n">
        <x:f>G22</x:f>
        <x:v>29250</x:v>
      </x:c>
      <x:c r="H35" s="28" t="n">
        <x:f>H22</x:f>
        <x:v>35750</x:v>
      </x:c>
      <x:c r="I35" s="28" t="n">
        <x:f>I22</x:f>
        <x:v>42250</x:v>
      </x:c>
      <x:c r="J35" s="28" t="n">
        <x:f>J22</x:f>
        <x:v>48750</x:v>
      </x:c>
      <x:c r="K35" s="28" t="n">
        <x:f>K22</x:f>
        <x:v>58500</x:v>
      </x:c>
      <x:c r="L35" s="28" t="n">
        <x:f>L22</x:f>
        <x:v>68250</x:v>
      </x:c>
      <x:c r="M35" s="28" t="n">
        <x:f>M22</x:f>
        <x:v>78000</x:v>
      </x:c>
      <x:c r="N35" s="28" t="n">
        <x:f>N22</x:f>
        <x:v>91000</x:v>
      </x:c>
    </x:row>
    <x:row r="36" ht="24" customHeight="1">
      <x:c r="A36" s="12" t="str">
        <x:v>One-off setup / review</x:v>
      </x:c>
      <x:c r="B36" s="12" t="str">
        <x:v>INR</x:v>
      </x:c>
      <x:c r="C36" s="12" t="n">
        <x:f>C23</x:f>
        <x:v>20000</x:v>
      </x:c>
      <x:c r="D36" s="12" t="n">
        <x:f>D23</x:f>
        <x:v>0</x:v>
      </x:c>
      <x:c r="E36" s="12" t="n">
        <x:f>E23</x:f>
        <x:v>0</x:v>
      </x:c>
      <x:c r="F36" s="12" t="n">
        <x:f>F23</x:f>
        <x:v>0</x:v>
      </x:c>
      <x:c r="G36" s="12" t="n">
        <x:f>G23</x:f>
        <x:v>0</x:v>
      </x:c>
      <x:c r="H36" s="12" t="n">
        <x:f>H23</x:f>
        <x:v>0</x:v>
      </x:c>
      <x:c r="I36" s="12" t="n">
        <x:f>I23</x:f>
        <x:v>0</x:v>
      </x:c>
      <x:c r="J36" s="12" t="n">
        <x:f>J23</x:f>
        <x:v>0</x:v>
      </x:c>
      <x:c r="K36" s="12" t="n">
        <x:f>K23</x:f>
        <x:v>0</x:v>
      </x:c>
      <x:c r="L36" s="12" t="n">
        <x:f>L23</x:f>
        <x:v>0</x:v>
      </x:c>
      <x:c r="M36" s="12" t="n">
        <x:f>M23</x:f>
        <x:v>0</x:v>
      </x:c>
      <x:c r="N36" s="12" t="n">
        <x:f>N23</x:f>
        <x:v>0</x:v>
      </x:c>
    </x:row>
    <x:row r="37" ht="29" customHeight="1">
      <x:c r="A37" s="54" t="str">
        <x:v>NORMALIZED OPERATING SURPLUS</x:v>
      </x:c>
      <x:c r="B37" s="54" t="str">
        <x:v>INR</x:v>
      </x:c>
      <x:c r="C37" s="54" t="n">
        <x:f>C28-SUM(C29:C36)</x:f>
        <x:v>-34651.4661740113</x:v>
      </x:c>
      <x:c r="D37" s="54" t="n">
        <x:f>D28-SUM(D29:D36)</x:f>
        <x:v>-15128.665435028252</x:v>
      </x:c>
      <x:c r="E37" s="54" t="n">
        <x:f>E28-SUM(E29:E36)</x:f>
        <x:v>-17007.330870056496</x:v>
      </x:c>
      <x:c r="F37" s="54" t="n">
        <x:f>F28-SUM(F29:F36)</x:f>
        <x:v>-17037.462479096048</x:v>
      </x:c>
      <x:c r="G37" s="54" t="n">
        <x:f>G28-SUM(G29:G36)</x:f>
        <x:v>-15219.060262146893</x:v>
      </x:c>
      <x:c r="H37" s="54" t="n">
        <x:f>H28-SUM(H29:H36)</x:f>
        <x:v>-11552.124219209043</x:v>
      </x:c>
      <x:c r="I37" s="54" t="n">
        <x:f>I28-SUM(I29:I36)</x:f>
        <x:v>-6036.654350282472</x:v>
      </x:c>
      <x:c r="J37" s="54" t="n">
        <x:f>J28-SUM(J29:J36)</x:f>
        <x:v>1327.349344632763</x:v>
      </x:c>
      <x:c r="K37" s="54" t="n">
        <x:f>K28-SUM(K29:K36)</x:f>
        <x:v>8214.15377853108</x:v>
      </x:c>
      <x:c r="L37" s="54" t="n">
        <x:f>L28-SUM(L29:L36)</x:f>
        <x:v>17873.758951412427</x:v>
      </x:c>
      <x:c r="M37" s="54" t="n">
        <x:f>M28-SUM(M29:M36)</x:f>
        <x:v>30306.16486327682</x:v>
      </x:c>
      <x:c r="N37" s="54" t="n">
        <x:f>N28-SUM(N29:N36)</x:f>
        <x:v>43185.638427118654</x:v>
      </x:c>
    </x:row>
    <x:row r="38" ht="24" customHeight="1">
      <x:c r="A38" s="12"/>
      <x:c r="B38" s="12"/>
      <x:c r="C38" s="12"/>
      <x:c r="D38" s="12"/>
      <x:c r="E38" s="12"/>
      <x:c r="F38" s="12"/>
      <x:c r="G38" s="12"/>
      <x:c r="H38" s="12"/>
      <x:c r="I38" s="12"/>
      <x:c r="J38" s="12"/>
      <x:c r="K38" s="12"/>
      <x:c r="L38" s="12"/>
      <x:c r="M38" s="12"/>
      <x:c r="N38" s="12"/>
    </x:row>
    <x:row r="39" ht="29" customHeight="1">
      <x:c r="A39" s="23" t="str">
        <x:v>Unearned subscription receipts</x:v>
      </x:c>
      <x:c r="B39" s="23" t="str">
        <x:v>INR</x:v>
      </x:c>
      <x:c r="C39" s="23" t="n">
        <x:f>SUM($C11:C11)-SUM($C12:C12)-SUM($C28:C28)</x:f>
        <x:v>25226.432963276835</x:v>
      </x:c>
      <x:c r="D39" s="23" t="n">
        <x:f>SUM($C11:D11)-SUM($C12:D12)-SUM($C28:D28)</x:f>
        <x:v>60772.77032062148</x:v>
      </x:c>
      <x:c r="E39" s="23" t="n">
        <x:f>SUM($C11:E11)-SUM($C12:E12)-SUM($C28:E28)</x:f>
        <x:v>118105.57250988702</x:v>
      </x:c>
      <x:c r="F39" s="23" t="n">
        <x:f>SUM($C11:F11)-SUM($C12:F12)-SUM($C28:F28)</x:f>
        <x:v>194931.52744350286</x:v>
      </x:c>
      <x:c r="G39" s="23" t="n">
        <x:f>SUM($C11:G11)-SUM($C12:G12)-SUM($C28:G28)</x:f>
        <x:v>288957.3230338983</x:v>
      </x:c>
      <x:c r="H39" s="23" t="n">
        <x:f>SUM($C11:H11)-SUM($C12:H12)-SUM($C28:H28)</x:f>
        <x:v>397889.6471935028</x:v>
      </x:c>
      <x:c r="I39" s="23" t="n">
        <x:f>SUM($C11:I11)-SUM($C12:I12)-SUM($C28:I28)</x:f>
        <x:v>519435.18783474586</x:v>
      </x:c>
      <x:c r="J39" s="23" t="n">
        <x:f>SUM($C11:J11)-SUM($C12:J12)-SUM($C28:J28)</x:f>
        <x:v>651300.6328700567</x:v>
      </x:c>
      <x:c r="K39" s="23" t="n">
        <x:f>SUM($C11:K11)-SUM($C12:K12)-SUM($C28:K28)</x:f>
        <x:v>803805.886693503</x:v>
      </x:c>
      <x:c r="L39" s="23" t="n">
        <x:f>SUM($C11:L11)-SUM($C12:L12)-SUM($C28:L28)</x:f>
        <x:v>973510.9811737288</x:v>
      </x:c>
      <x:c r="M39" s="23" t="n">
        <x:f>SUM($C11:M11)-SUM($C12:M12)-SUM($C28:M28)</x:f>
        <x:v>1156975.9481793786</x:v>
      </x:c>
      <x:c r="N39" s="23" t="n">
        <x:f>SUM($C11:N11)-SUM($C12:N12)-SUM($C28:N28)</x:f>
        <x:v>1363374.0360607347</x:v>
      </x:c>
    </x:row>
    <x:row r="40" ht="29" customHeight="1">
      <x:c r="A40" s="23" t="str">
        <x:v>Remaining variable service reserve</x:v>
      </x:c>
      <x:c r="B40" s="23" t="str">
        <x:v>INR</x:v>
      </x:c>
      <x:c r="C40" s="23" t="n">
        <x:f>C39/('Unit Economics'!$B$26-'Unit Economics'!$B$28)*SUM('Unit Economics'!$B$30:$B$32)</x:f>
        <x:v>1965.6999999999998</x:v>
      </x:c>
      <x:c r="D40" s="23" t="n">
        <x:f>D39/('Unit Economics'!$B$26-'Unit Economics'!$B$28)*SUM('Unit Economics'!$B$30:$B$32)</x:f>
        <x:v>4735.55</x:v>
      </x:c>
      <x:c r="E40" s="23" t="n">
        <x:f>E39/('Unit Economics'!$B$26-'Unit Economics'!$B$28)*SUM('Unit Economics'!$B$30:$B$32)</x:f>
        <x:v>9203.050000000001</x:v>
      </x:c>
      <x:c r="F40" s="23" t="n">
        <x:f>F39/('Unit Economics'!$B$26-'Unit Economics'!$B$28)*SUM('Unit Economics'!$B$30:$B$32)</x:f>
        <x:v>15189.500000000002</x:v>
      </x:c>
      <x:c r="G40" s="23" t="n">
        <x:f>G39/('Unit Economics'!$B$26-'Unit Economics'!$B$28)*SUM('Unit Economics'!$B$30:$B$32)</x:f>
        <x:v>22516.2</x:v>
      </x:c>
      <x:c r="H40" s="23" t="n">
        <x:f>H39/('Unit Economics'!$B$26-'Unit Economics'!$B$28)*SUM('Unit Economics'!$B$30:$B$32)</x:f>
        <x:v>31004.449999999997</x:v>
      </x:c>
      <x:c r="I40" s="23" t="n">
        <x:f>I39/('Unit Economics'!$B$26-'Unit Economics'!$B$28)*SUM('Unit Economics'!$B$30:$B$32)</x:f>
        <x:v>40475.55</x:v>
      </x:c>
      <x:c r="J40" s="23" t="n">
        <x:f>J39/('Unit Economics'!$B$26-'Unit Economics'!$B$28)*SUM('Unit Economics'!$B$30:$B$32)</x:f>
        <x:v>50750.80000000001</x:v>
      </x:c>
      <x:c r="K40" s="23" t="n">
        <x:f>K39/('Unit Economics'!$B$26-'Unit Economics'!$B$28)*SUM('Unit Economics'!$B$30:$B$32)</x:f>
        <x:v>62634.350000000006</x:v>
      </x:c>
      <x:c r="L40" s="23" t="n">
        <x:f>L39/('Unit Economics'!$B$26-'Unit Economics'!$B$28)*SUM('Unit Economics'!$B$30:$B$32)</x:f>
        <x:v>75858.15</x:v>
      </x:c>
      <x:c r="M40" s="23" t="n">
        <x:f>M39/('Unit Economics'!$B$26-'Unit Economics'!$B$28)*SUM('Unit Economics'!$B$30:$B$32)</x:f>
        <x:v>90154.15000000001</x:v>
      </x:c>
      <x:c r="N40" s="23" t="n">
        <x:f>N39/('Unit Economics'!$B$26-'Unit Economics'!$B$28)*SUM('Unit Economics'!$B$30:$B$32)</x:f>
        <x:v>106237.15000000001</x:v>
      </x:c>
    </x:row>
    <x:row r="41" ht="29" customHeight="1">
      <x:c r="A41" s="23" t="str">
        <x:v>Cash less future variable service reserve</x:v>
      </x:c>
      <x:c r="B41" s="23" t="str">
        <x:v>INR</x:v>
      </x:c>
      <x:c r="C41" s="23" t="n">
        <x:f>C26-C40</x:f>
        <x:v>85682.4059118644</x:v>
      </x:c>
      <x:c r="D41" s="23" t="n">
        <x:f>D26-D40</x:f>
        <x:v>99206.01477966103</x:v>
      </x:c>
      <x:c r="E41" s="23" t="n">
        <x:f>E26-E40</x:f>
        <x:v>128412.02955932204</x:v>
      </x:c>
      <x:c r="F41" s="23" t="n">
        <x:f>F26-F40</x:f>
        <x:v>173300.45025084747</x:v>
      </x:c>
      <x:c r="G41" s="23" t="n">
        <x:f>G26-G40</x:f>
        <x:v>233871.2768542373</x:v>
      </x:c>
      <x:c r="H41" s="23" t="n">
        <x:f>H26-H40</x:f>
        <x:v>310124.50936949154</x:v>
      </x:c>
      <x:c r="I41" s="23" t="n">
        <x:f>I26-I40</x:f>
        <x:v>402060.1477966102</x:v>
      </x:c>
      <x:c r="J41" s="23" t="n">
        <x:f>J26-J40</x:f>
        <x:v>509678.1921355932</x:v>
      </x:c>
      <x:c r="K41" s="23" t="n">
        <x:f>K26-K40</x:f>
        <x:v>640819.8453423729</x:v>
      </x:c>
      <x:c r="L41" s="23" t="n">
        <x:f>L26-L40</x:f>
        <x:v>795485.1074169491</x:v>
      </x:c>
      <x:c r="M41" s="23" t="n">
        <x:f>M26-M40</x:f>
        <x:v>973673.9783593222</x:v>
      </x:c>
      <x:c r="N41" s="23" t="n">
        <x:f>N26-N40</x:f>
        <x:v>1183227.661125424</x:v>
      </x:c>
    </x:row>
    <x:row r="42" ht="24" customHeight="1">
      <x:c r="A42" s="12"/>
      <x:c r="B42" s="12"/>
      <x:c r="C42" s="12"/>
      <x:c r="D42" s="12"/>
      <x:c r="E42" s="12"/>
      <x:c r="F42" s="12"/>
      <x:c r="G42" s="12"/>
      <x:c r="H42" s="12"/>
      <x:c r="I42" s="12"/>
      <x:c r="J42" s="12"/>
      <x:c r="K42" s="12"/>
      <x:c r="L42" s="12"/>
      <x:c r="M42" s="12"/>
      <x:c r="N42" s="12"/>
    </x:row>
    <x:row r="43" ht="24" customHeight="1">
      <x:c r="A43" s="28"/>
      <x:c r="B43" s="28"/>
      <x:c r="C43" s="28"/>
      <x:c r="D43" s="28"/>
      <x:c r="E43" s="28"/>
      <x:c r="F43" s="28"/>
      <x:c r="G43" s="28"/>
      <x:c r="H43" s="28"/>
      <x:c r="I43" s="28"/>
      <x:c r="J43" s="28"/>
      <x:c r="K43" s="28"/>
      <x:c r="L43" s="28"/>
      <x:c r="M43" s="28"/>
      <x:c r="N43" s="28"/>
    </x:row>
    <x:row r="44" ht="29" customHeight="1">
      <x:c r="A44" s="41" t="str">
        <x:v>ILLUSTRATION ONLY. Editable new-subscriber counts, not a sales forecast. Every customer here buys annual; first-month revenue is recognized for a full month. No second-year renewals occur inside this view. Cash deducts reserves immediately and ignores payout lags. Normalized surplus spreads annual fees over the year for decision-use, not statutory accounts. No income tax or employee salaries.</x:v>
      </x:c>
      <x:c r="B44" s="41"/>
      <x:c r="C44" s="41"/>
      <x:c r="D44" s="41"/>
      <x:c r="E44" s="41"/>
      <x:c r="F44" s="41"/>
      <x:c r="G44" s="41"/>
      <x:c r="H44" s="41"/>
      <x:c r="I44" s="41"/>
      <x:c r="J44" s="41"/>
      <x:c r="K44" s="41"/>
      <x:c r="L44" s="41"/>
      <x:c r="M44" s="41"/>
      <x:c r="N44" s="41"/>
    </x:row>
    <x:row r="45" ht="29" customHeight="1">
      <x:c r="A45" s="40"/>
      <x:c r="B45" s="40"/>
      <x:c r="C45" s="40"/>
      <x:c r="D45" s="40"/>
      <x:c r="E45" s="40"/>
      <x:c r="F45" s="40"/>
      <x:c r="G45" s="40"/>
      <x:c r="H45" s="40"/>
      <x:c r="I45" s="40"/>
      <x:c r="J45" s="40"/>
      <x:c r="K45" s="40"/>
      <x:c r="L45" s="40"/>
      <x:c r="M45" s="40"/>
      <x:c r="N45" s="40"/>
    </x:row>
    <x:row r="46" ht="29" customHeight="1">
      <x:c r="A46" s="41"/>
      <x:c r="B46" s="41"/>
      <x:c r="C46" s="41"/>
      <x:c r="D46" s="41"/>
      <x:c r="E46" s="41"/>
      <x:c r="F46" s="41"/>
      <x:c r="G46" s="41"/>
      <x:c r="H46" s="41"/>
      <x:c r="I46" s="41"/>
      <x:c r="J46" s="41"/>
      <x:c r="K46" s="41"/>
      <x:c r="L46" s="41"/>
      <x:c r="M46" s="41"/>
      <x:c r="N46" s="41"/>
    </x:row>
    <x:row r="47" ht="29" customHeight="1">
      <x:c r="A47" s="40" t="str">
        <x:v>Remaining service reserve covers modeled future AI, free-user subsidy and variable support only. It does not fund all future fixed expenses or repay annual customers on demand. Keep a separate fixed-cost and refund liquidity buffer. Sales tax and RevenueCat/payment fees must be reconciled to actual channel reports.</x:v>
      </x:c>
      <x:c r="B47" s="40"/>
      <x:c r="C47" s="40"/>
      <x:c r="D47" s="40"/>
      <x:c r="E47" s="40"/>
      <x:c r="F47" s="40"/>
      <x:c r="G47" s="40"/>
      <x:c r="H47" s="40"/>
      <x:c r="I47" s="40"/>
      <x:c r="J47" s="40"/>
      <x:c r="K47" s="40"/>
      <x:c r="L47" s="40"/>
      <x:c r="M47" s="40"/>
      <x:c r="N47" s="40"/>
    </x:row>
    <x:row r="48" ht="29" customHeight="1">
      <x:c r="A48" s="41"/>
      <x:c r="B48" s="41"/>
      <x:c r="C48" s="41"/>
      <x:c r="D48" s="41"/>
      <x:c r="E48" s="41"/>
      <x:c r="F48" s="41"/>
      <x:c r="G48" s="41"/>
      <x:c r="H48" s="41"/>
      <x:c r="I48" s="41"/>
      <x:c r="J48" s="41"/>
      <x:c r="K48" s="41"/>
      <x:c r="L48" s="41"/>
      <x:c r="M48" s="41"/>
      <x:c r="N48" s="41"/>
    </x:row>
  </x:sheetData>
  <x:mergeCells>
    <x:mergeCell ref="A44:N45"/>
    <x:mergeCell ref="A47:N48"/>
    <x:mergeCell ref="A1:N1"/>
    <x:mergeCell ref="A2:N2"/>
  </x:mergeCells>
  <x:conditionalFormatting sqref="C25:N26">
    <x:cfRule type="cellIs" dxfId="1" priority="1" operator="lessThan">
      <x:formula>0</x:formula>
    </x:cfRule>
  </x:conditionalFormatting>
  <x:conditionalFormatting sqref="C37:N37">
    <x:cfRule type="cellIs" dxfId="2" priority="2" operator="lessThan">
      <x:formula>0</x:formula>
    </x:cfRule>
  </x:conditionalFormatting>
  <x:pageMargins left="0.7" right="0.7" top="0.75" bottom="0.75" header="0.3" footer="0.3"/>
  <x:legacyDrawing xmlns:r="http://schemas.openxmlformats.org/officeDocument/2006/relationships" r:id="Rdb6daf782e764a48"/>
</x:worksheet>
</file>

<file path=xl/worksheets/sheet7.xml><?xml version="1.0" encoding="utf-8"?>
<x:worksheet xmlns:x="http://schemas.openxmlformats.org/spreadsheetml/2006/main">
  <x:sheetFormatPr defaultRowHeight="15"/>
  <x:cols>
    <x:col min="1" max="1" width="23" hidden="0" customWidth="1"/>
    <x:col min="2" max="2" width="40" hidden="0" customWidth="1"/>
    <x:col min="3" max="3" width="19" hidden="0" customWidth="1"/>
    <x:col min="4" max="4" width="43" hidden="0" customWidth="1"/>
    <x:col min="5" max="5" width="53" hidden="0" customWidth="1"/>
    <x:col min="6" max="6" width="36" hidden="0" customWidth="1"/>
    <x:col min="7" max="7" width="19" hidden="0" customWidth="1"/>
  </x:cols>
  <x:sheetData>
    <x:row r="1" ht="40" customHeight="1">
      <x:c r="A1" s="15" t="str">
        <x:v>SIX-WEEK COMMERCIAL EXPERIMENT</x:v>
      </x:c>
      <x:c r="B1" s="15"/>
      <x:c r="C1" s="15"/>
      <x:c r="D1" s="15"/>
      <x:c r="E1" s="15"/>
      <x:c r="F1" s="15"/>
      <x:c r="G1" s="15"/>
    </x:row>
    <x:row r="2" ht="32" customHeight="1">
      <x:c r="A2" s="19" t="str">
        <x:v>Budget proposals only. No ads, prices or provider contracts are authorized.</x:v>
      </x:c>
      <x:c r="B2" s="19"/>
      <x:c r="C2" s="19"/>
      <x:c r="D2" s="19"/>
      <x:c r="E2" s="19"/>
      <x:c r="F2" s="19"/>
      <x:c r="G2" s="19"/>
    </x:row>
    <x:row r="3" ht="24" customHeight="1">
      <x:c r="A3" s="12"/>
      <x:c r="B3" s="12"/>
      <x:c r="C3" s="12"/>
      <x:c r="D3" s="12"/>
      <x:c r="E3" s="12"/>
      <x:c r="F3" s="12"/>
      <x:c r="G3" s="12"/>
    </x:row>
    <x:row r="4" ht="44" customHeight="1">
      <x:c r="A4" s="24" t="str">
        <x:v>Stage</x:v>
      </x:c>
      <x:c r="B4" s="24" t="str">
        <x:v>Purpose</x:v>
      </x:c>
      <x:c r="C4" s="24" t="str">
        <x:v>Cash ceiling (INR)</x:v>
      </x:c>
      <x:c r="D4" s="24" t="str">
        <x:v>Release condition</x:v>
      </x:c>
      <x:c r="E4" s="24" t="str">
        <x:v>Pass / pause rule</x:v>
      </x:c>
      <x:c r="F4" s="24" t="str">
        <x:v>Owner action</x:v>
      </x:c>
      <x:c r="G4" s="24" t="str">
        <x:v>Status</x:v>
      </x:c>
    </x:row>
    <x:row r="5" ht="64" customHeight="1">
      <x:c r="A5" s="40" t="str">
        <x:v>0. Product readiness</x:v>
      </x:c>
      <x:c r="B5" s="40" t="str">
        <x:v>15-20 observed first jobs</x:v>
      </x:c>
      <x:c r="C5" s="40" t="n">
        <x:v>0</x:v>
      </x:c>
      <x:c r="D5" s="40" t="str">
        <x:v>Real local merge + OCR + compress works</x:v>
      </x:c>
      <x:c r="E5" s="40" t="str">
        <x:v>Fix failures before traffic. Seek 90% supported-job completion as a target.</x:v>
      </x:c>
      <x:c r="F5" s="40" t="str">
        <x:v>Founder approves readiness</x:v>
      </x:c>
      <x:c r="G5" s="40" t="str">
        <x:v>Not started</x:v>
      </x:c>
    </x:row>
    <x:row r="6" ht="64" customHeight="1">
      <x:c r="A6" s="41" t="str">
        <x:v>1. Creative</x:v>
      </x:c>
      <x:c r="B6" s="41" t="str">
        <x:v>Three real product demo variations</x:v>
      </x:c>
      <x:c r="C6" s="41" t="n">
        <x:v>8000</x:v>
      </x:c>
      <x:c r="D6" s="41" t="str">
        <x:v>Synthetic files; honest on-device claim</x:v>
      </x:c>
      <x:c r="E6" s="41" t="str">
        <x:v>Show outcome, not a generic AI pitch. No fake testimonials.</x:v>
      </x:c>
      <x:c r="F6" s="41" t="str">
        <x:v>Approve any paid creator spend</x:v>
      </x:c>
      <x:c r="G6" s="41" t="str">
        <x:v>Not started</x:v>
      </x:c>
    </x:row>
    <x:row r="7" ht="64" customHeight="1">
      <x:c r="A7" s="40" t="str">
        <x:v>2. Paid discovery</x:v>
      </x:c>
      <x:c r="B7" s="40" t="str">
        <x:v>One channel, one audience, one geography</x:v>
      </x:c>
      <x:c r="C7" s="40" t="n">
        <x:v>4000</x:v>
      </x:c>
      <x:c r="D7" s="40" t="str">
        <x:v>Attribution and verified purchases reconcile</x:v>
      </x:c>
      <x:c r="E7" s="40" t="str">
        <x:v>Diagnostic pause at 3x target CAC with zero buyers after conversion lag.</x:v>
      </x:c>
      <x:c r="F7" s="40" t="str">
        <x:v>Approve campaign + cap + expiry</x:v>
      </x:c>
      <x:c r="G7" s="40" t="str">
        <x:v>Not started</x:v>
      </x:c>
    </x:row>
    <x:row r="8" ht="64" customHeight="1">
      <x:c r="A8" s="41" t="str">
        <x:v>3. Replication</x:v>
      </x:c>
      <x:c r="B8" s="41" t="str">
        <x:v>Repeat the best message</x:v>
      </x:c>
      <x:c r="C8" s="41" t="n">
        <x:v>8000</x:v>
      </x:c>
      <x:c r="D8" s="41" t="str">
        <x:v>Result quality and funnel intact</x:v>
      </x:c>
      <x:c r="E8" s="41" t="str">
        <x:v>Compare all-in cohort CAC; do not call ten purchases proof.</x:v>
      </x:c>
      <x:c r="F8" s="41" t="str">
        <x:v>Approve second tranche</x:v>
      </x:c>
      <x:c r="G8" s="41" t="str">
        <x:v>Not started</x:v>
      </x:c>
    </x:row>
    <x:row r="9" ht="64" customHeight="1">
      <x:c r="A9" s="40" t="str">
        <x:v>4. Controlled expansion</x:v>
      </x:c>
      <x:c r="B9" s="40" t="str">
        <x:v>Confirm economics in a new cohort</x:v>
      </x:c>
      <x:c r="C9" s="40" t="n">
        <x:v>12000</x:v>
      </x:c>
      <x:c r="D9" s="40" t="str">
        <x:v>At least directional CAC evidence</x:v>
      </x:c>
      <x:c r="E9" s="40" t="str">
        <x:v>Aim for 30-50 paid conversions per cohort before scaling; uncertainty remains.</x:v>
      </x:c>
      <x:c r="F9" s="40" t="str">
        <x:v>Approve third tranche</x:v>
      </x:c>
      <x:c r="G9" s="40" t="str">
        <x:v>Not started</x:v>
      </x:c>
    </x:row>
    <x:row r="10" ht="64" customHeight="1">
      <x:c r="A10" s="41" t="str">
        <x:v>5. Held reserve</x:v>
      </x:c>
      <x:c r="B10" s="41" t="str">
        <x:v>Fix landing / attribution / second creative</x:v>
      </x:c>
      <x:c r="C10" s="41" t="n">
        <x:v>8000</x:v>
      </x:c>
      <x:c r="D10" s="41" t="str">
        <x:v>Specific identified problem</x:v>
      </x:c>
      <x:c r="E10" s="41" t="str">
        <x:v>Reserve is not spent until approved. No automatic budget increase.</x:v>
      </x:c>
      <x:c r="F10" s="41" t="str">
        <x:v>Approval required</x:v>
      </x:c>
      <x:c r="G10" s="41" t="str">
        <x:v>Held</x:v>
      </x:c>
    </x:row>
    <x:row r="11" ht="64" customHeight="1">
      <x:c r="A11" s="40" t="str">
        <x:v>6. Organic distribution</x:v>
      </x:c>
      <x:c r="B11" s="40" t="str">
        <x:v>6-10 useful task pages and partner outreach</x:v>
      </x:c>
      <x:c r="C11" s="40" t="n">
        <x:v>0</x:v>
      </x:c>
      <x:c r="D11" s="40" t="str">
        <x:v>Built-in tools; founder time recorded</x:v>
      </x:c>
      <x:c r="E11" s="40" t="str">
        <x:v>Count publishing/tool cash in actual CAC when incurred.</x:v>
      </x:c>
      <x:c r="F11" s="40" t="str">
        <x:v>Review generated content</x:v>
      </x:c>
      <x:c r="G11" s="40" t="str">
        <x:v>Not started</x:v>
      </x:c>
    </x:row>
    <x:row r="12" ht="64" customHeight="1">
      <x:c r="A12" s="41" t="str">
        <x:v>7. Optional distribution</x:v>
      </x:c>
      <x:c r="B12" s="41" t="str">
        <x:v>Setapp submission after product readiness</x:v>
      </x:c>
      <x:c r="C12" s="41" t="n">
        <x:v>0</x:v>
      </x:c>
      <x:c r="D12" s="41" t="str">
        <x:v>Actual eligibility and acceptance</x:v>
      </x:c>
      <x:c r="E12" s="41" t="str">
        <x:v>Zero Setapp income in base model.</x:v>
      </x:c>
      <x:c r="F12" s="41" t="str">
        <x:v>Founder submits when ready</x:v>
      </x:c>
      <x:c r="G12" s="41" t="str">
        <x:v>Not started</x:v>
      </x:c>
    </x:row>
    <x:row r="13" ht="24" customHeight="1">
      <x:c r="A13" s="28"/>
      <x:c r="B13" s="28"/>
      <x:c r="C13" s="28"/>
      <x:c r="D13" s="28"/>
      <x:c r="E13" s="28"/>
      <x:c r="F13" s="28"/>
      <x:c r="G13" s="28"/>
    </x:row>
    <x:row r="14" ht="24" customHeight="1">
      <x:c r="A14" s="12"/>
      <x:c r="B14" s="12"/>
      <x:c r="C14" s="12"/>
      <x:c r="D14" s="12"/>
      <x:c r="E14" s="12"/>
      <x:c r="F14" s="12"/>
      <x:c r="G14" s="12"/>
    </x:row>
    <x:row r="15" ht="24" customHeight="1">
      <x:c r="A15" s="54" t="str">
        <x:v>MONETIZATION RULES TO IMPLEMENT IN CODEX</x:v>
      </x:c>
      <x:c r="B15" s="54"/>
      <x:c r="C15" s="54"/>
      <x:c r="D15" s="54"/>
      <x:c r="E15" s="54"/>
      <x:c r="F15" s="54"/>
      <x:c r="G15" s="54"/>
    </x:row>
    <x:row r="16" ht="38" customHeight="1">
      <x:c r="A16" s="41" t="str">
        <x:v>Free: basic local quick actions; three AI-completed jobs/month; first job can demonstrate a full multi-step workflow. No card required.</x:v>
      </x:c>
      <x:c r="B16" s="41"/>
      <x:c r="C16" s="41"/>
      <x:c r="D16" s="41"/>
      <x:c r="E16" s="41"/>
      <x:c r="F16" s="41"/>
      <x:c r="G16" s="41"/>
    </x:row>
    <x:row r="17" ht="38" customHeight="1">
      <x:c r="A17" s="40" t="str">
        <x:v>Pro proposal: India INR 249/month or INR 1,999/year. Global USD 5.99/month or USD 39.99/year, local tax added where applicable.</x:v>
      </x:c>
      <x:c r="B17" s="40"/>
      <x:c r="C17" s="40"/>
      <x:c r="D17" s="40"/>
      <x:c r="E17" s="40"/>
      <x:c r="F17" s="40"/>
      <x:c r="G17" s="40"/>
    </x:row>
    <x:row r="18" ht="38" customHeight="1">
      <x:c r="A18" s="41" t="str">
        <x:v>Pro allowance: 300 cloud-planned jobs/month; unlimited local recipe replays within device limits. Job means completed intent, not each engine call.</x:v>
      </x:c>
      <x:c r="B18" s="41"/>
      <x:c r="C18" s="41"/>
      <x:c r="D18" s="41"/>
      <x:c r="E18" s="41"/>
      <x:c r="F18" s="41"/>
      <x:c r="G18" s="41"/>
    </x:row>
    <x:row r="19" ht="38" customHeight="1">
      <x:c r="A19" s="40" t="str">
        <x:v>Clarification, failed execution, system retry and repair of app-caused failures do not consume another user job; actual API costs remain measured.</x:v>
      </x:c>
      <x:c r="B19" s="40"/>
      <x:c r="C19" s="40"/>
      <x:c r="D19" s="40"/>
      <x:c r="E19" s="40"/>
      <x:c r="F19" s="40"/>
      <x:c r="G19" s="40"/>
    </x:row>
    <x:row r="20" ht="38" customHeight="1">
      <x:c r="A20" s="41" t="str">
        <x:v>One entitlement across supported platforms. Linking an account syncs purchase access, not documents. No document-upload storage backend.</x:v>
      </x:c>
      <x:c r="B20" s="41"/>
      <x:c r="C20" s="41"/>
      <x:c r="D20" s="41"/>
      <x:c r="E20" s="41"/>
      <x:c r="F20" s="41"/>
      <x:c r="G20" s="41"/>
    </x:row>
    <x:row r="21" ht="38" customHeight="1">
      <x:c r="A21" s="40" t="str">
        <x:v>No ads or affiliate links inside the workspace, output watermark, surprise export paywall, weekly auto-renewal trick or lifetime unlimited cloud AI.</x:v>
      </x:c>
      <x:c r="B21" s="40"/>
      <x:c r="C21" s="40"/>
      <x:c r="D21" s="40"/>
      <x:c r="E21" s="40"/>
      <x:c r="F21" s="40"/>
      <x:c r="G21" s="40"/>
    </x:row>
    <x:row r="22" ht="38" customHeight="1">
      <x:c r="A22" s="41" t="str">
        <x:v>Later experiment only: seven-day nonrenewing pass, INR 99 / USD 2.99, capped cloud jobs. Do not add before subscription funnel is understood.</x:v>
      </x:c>
      <x:c r="B22" s="41"/>
      <x:c r="C22" s="41"/>
      <x:c r="D22" s="41"/>
      <x:c r="E22" s="41"/>
      <x:c r="F22" s="41"/>
      <x:c r="G22" s="41"/>
    </x:row>
    <x:row r="23" ht="38" customHeight="1">
      <x:c r="A23" s="40" t="str">
        <x:v>Analytics collect operation/event IDs, plan SKU, price, tax, channel fees, token usage, job success and campaign IDs; never prompts, filenames or document data.</x:v>
      </x:c>
      <x:c r="B23" s="40"/>
      <x:c r="C23" s="40"/>
      <x:c r="D23" s="40"/>
      <x:c r="E23" s="40"/>
      <x:c r="F23" s="40"/>
      <x:c r="G23" s="40"/>
    </x:row>
    <x:row r="24" ht="38" customHeight="1">
      <x:c r="A24" s="41" t="str">
        <x:v>Report cash CAC, contribution by SKU/region/channel, free MAU subsidy, refunds, returning job users and acquisition cohort payback.</x:v>
      </x:c>
      <x:c r="B24" s="41"/>
      <x:c r="C24" s="41"/>
      <x:c r="D24" s="41"/>
      <x:c r="E24" s="41"/>
      <x:c r="F24" s="41"/>
      <x:c r="G24" s="41"/>
    </x:row>
    <x:row r="25" ht="38" customHeight="1">
      <x:c r="A25" s="40" t="str">
        <x:v>Paid publishing, provider purchases, ad launches, budget increases and live prices remain disabled until founder approval.</x:v>
      </x:c>
      <x:c r="B25" s="40"/>
      <x:c r="C25" s="40"/>
      <x:c r="D25" s="40"/>
      <x:c r="E25" s="40"/>
      <x:c r="F25" s="40"/>
      <x:c r="G25" s="40"/>
    </x:row>
    <x:row r="26" ht="24" customHeight="1">
      <x:c r="A26" s="12"/>
      <x:c r="B26" s="12"/>
      <x:c r="C26" s="12"/>
      <x:c r="D26" s="12"/>
      <x:c r="E26" s="12"/>
      <x:c r="F26" s="12"/>
      <x:c r="G26" s="12"/>
    </x:row>
  </x:sheetData>
  <x:mergeCells>
    <x:mergeCell ref="A15:G15"/>
    <x:mergeCell ref="A16:G16"/>
    <x:mergeCell ref="A17:G17"/>
    <x:mergeCell ref="A18:G18"/>
    <x:mergeCell ref="A19:G19"/>
    <x:mergeCell ref="A20:G20"/>
    <x:mergeCell ref="A21:G21"/>
    <x:mergeCell ref="A22:G22"/>
    <x:mergeCell ref="A23:G23"/>
    <x:mergeCell ref="A24:G24"/>
    <x:mergeCell ref="A25:G25"/>
    <x:mergeCell ref="A1:G1"/>
    <x:mergeCell ref="A2:G2"/>
  </x:mergeCells>
  <x:dataValidations count="1">
    <x:dataValidation type="list" sqref="G5:G12">
      <x:formula1>"Not started,Held,In progress,Passed,Paused"</x:formula1>
    </x:dataValidation>
  </x:dataValidations>
  <x:pageMargins left="0.7" right="0.7" top="0.75" bottom="0.75" header="0.3" footer="0.3"/>
  <x:legacyDrawing xmlns:r="http://schemas.openxmlformats.org/officeDocument/2006/relationships" r:id="R454a3629fac34db9"/>
</x:worksheet>
</file>

<file path=xl/worksheets/sheet8.xml><?xml version="1.0" encoding="utf-8"?>
<x:worksheet xmlns:x="http://schemas.openxmlformats.org/spreadsheetml/2006/main">
  <x:sheetFormatPr defaultRowHeight="15"/>
  <x:cols>
    <x:col min="1" max="1" width="33" hidden="0" customWidth="1"/>
    <x:col min="2" max="2" width="66" hidden="0" customWidth="1"/>
    <x:col min="3" max="3" width="17" hidden="0" customWidth="1"/>
    <x:col min="4" max="4" width="66" hidden="0" customWidth="1"/>
  </x:cols>
  <x:sheetData>
    <x:row r="1" ht="40" customHeight="1">
      <x:c r="A1" s="15" t="str">
        <x:v>SOURCE REGISTER &amp; MODEL BOUNDARIES</x:v>
      </x:c>
      <x:c r="B1" s="15"/>
      <x:c r="C1" s="15"/>
      <x:c r="D1" s="15"/>
    </x:row>
    <x:row r="2" ht="32" customHeight="1">
      <x:c r="A2" s="19" t="str">
        <x:v>Vendor prices checked 27 September 2026. Actual merchant terms must be confirmed.</x:v>
      </x:c>
      <x:c r="B2" s="19"/>
      <x:c r="C2" s="19"/>
      <x:c r="D2" s="19"/>
    </x:row>
    <x:row r="3" ht="24" customHeight="1">
      <x:c r="A3" s="12"/>
      <x:c r="B3" s="12"/>
      <x:c r="C3" s="12"/>
      <x:c r="D3" s="12"/>
    </x:row>
    <x:row r="4" ht="44" customHeight="1">
      <x:c r="A4" s="24" t="str">
        <x:v>Source</x:v>
      </x:c>
      <x:c r="B4" s="24" t="str">
        <x:v>URL</x:v>
      </x:c>
      <x:c r="C4" s="24" t="str">
        <x:v>Checked</x:v>
      </x:c>
      <x:c r="D4" s="24" t="str">
        <x:v>What this model uses</x:v>
      </x:c>
    </x:row>
    <x:row r="5" ht="54" customHeight="1">
      <x:c r="A5" s="40" t="str">
        <x:v>OpenAI model pricing</x:v>
      </x:c>
      <x:c r="B5" s="40" t="str">
        <x:v>https://developers.openai.com/api/docs/models/gpt-5.6-luna</x:v>
      </x:c>
      <x:c r="C5" s="40" t="str">
        <x:v>2026-09-27</x:v>
      </x:c>
      <x:c r="D5" s="40" t="str">
        <x:v>USD 0.20 / 1M input tokens; USD 1.20 / 1M output tokens.</x:v>
      </x:c>
    </x:row>
    <x:row r="6" ht="54" customHeight="1">
      <x:c r="A6" s="41" t="str">
        <x:v>Cloudflare Workers pricing</x:v>
      </x:c>
      <x:c r="B6" s="41" t="str">
        <x:v>https://developers.cloudflare.com/workers/platform/pricing/</x:v>
      </x:c>
      <x:c r="C6" s="41" t="str">
        <x:v>2026-09-27</x:v>
      </x:c>
      <x:c r="D6" s="41" t="str">
        <x:v>Paid plan starts at USD 5/month, with usage allowances and overages.</x:v>
      </x:c>
    </x:row>
    <x:row r="7" ht="54" customHeight="1">
      <x:c r="A7" s="40" t="str">
        <x:v>Supabase pricing</x:v>
      </x:c>
      <x:c r="B7" s="40" t="str">
        <x:v>https://supabase.com/pricing</x:v>
      </x:c>
      <x:c r="C7" s="40" t="str">
        <x:v>2026-09-27</x:v>
      </x:c>
      <x:c r="D7" s="40" t="str">
        <x:v>Pro starts at USD 25/month; first micro compute instance covered by credits.</x:v>
      </x:c>
    </x:row>
    <x:row r="8" ht="54" customHeight="1">
      <x:c r="A8" s="41" t="str">
        <x:v>RevenueCat pricing</x:v>
      </x:c>
      <x:c r="B8" s="41" t="str">
        <x:v>https://www.revenuecat.com/pricing</x:v>
      </x:c>
      <x:c r="C8" s="41" t="str">
        <x:v>2026-09-27</x:v>
      </x:c>
      <x:c r="D8" s="41" t="str">
        <x:v>Free below USD 2,500 monthly tracked revenue; then 1% of all tracked revenue. Model conservatively reserves 1% at every scale.</x:v>
      </x:c>
    </x:row>
    <x:row r="9" ht="54" customHeight="1">
      <x:c r="A9" s="40" t="str">
        <x:v>Apple Small Business Program</x:v>
      </x:c>
      <x:c r="B9" s="40" t="str">
        <x:v>https://developer.apple.com/app-store/small-business-program/</x:v>
      </x:c>
      <x:c r="C9" s="40" t="str">
        <x:v>2026-09-27</x:v>
      </x:c>
      <x:c r="D9" s="40" t="str">
        <x:v>15% commission conditional on enrollment and eligibility; not a universal rate.</x:v>
      </x:c>
    </x:row>
    <x:row r="10" ht="54" customHeight="1">
      <x:c r="A10" s="41" t="str">
        <x:v>Google Play service fees</x:v>
      </x:c>
      <x:c r="B10" s="41" t="str">
        <x:v>https://support.google.com/googleplay/android-developer/answer/112622?hl=en</x:v>
      </x:c>
      <x:c r="C10" s="41" t="str">
        <x:v>2026-09-27</x:v>
      </x:c>
      <x:c r="D10" s="41" t="str">
        <x:v>Subscription fee schedules vary by region and billing option; standard Play billing modeled at a combined 15%.</x:v>
      </x:c>
    </x:row>
    <x:row r="11" ht="54" customHeight="1">
      <x:c r="A11" s="40" t="str">
        <x:v>Paddle pricing</x:v>
      </x:c>
      <x:c r="B11" s="40" t="str">
        <x:v>https://www.paddle.com/pricing</x:v>
      </x:c>
      <x:c r="C11" s="40" t="str">
        <x:v>2026-09-27</x:v>
      </x:c>
      <x:c r="D11" s="40" t="str">
        <x:v>Standard pay-as-you-go: 5% + USD 0.50 per checkout; merchant approval and actual taxes/settlement terms require confirmation.</x:v>
      </x:c>
    </x:row>
    <x:row r="12" ht="54" customHeight="1">
      <x:c r="A12" s="41" t="str">
        <x:v>Razorpay published fees</x:v>
      </x:c>
      <x:c r="B12" s="41" t="str">
        <x:v>https://razorpay.com/solutions/e-commerce/</x:v>
      </x:c>
      <x:c r="C12" s="41" t="str">
        <x:v>2026-09-27</x:v>
      </x:c>
      <x:c r="D12" s="41" t="str">
        <x:v>Domestic standard 2% plus 18% GST on processing fee = 2.36% cash fee; no input-tax credit assumed.</x:v>
      </x:c>
    </x:row>
    <x:row r="13" ht="54" customHeight="1">
      <x:c r="A13" s="40" t="str">
        <x:v>Apple Developer membership</x:v>
      </x:c>
      <x:c r="B13" s="40" t="str">
        <x:v>https://developer.apple.com/programs/whats-included/</x:v>
      </x:c>
      <x:c r="C13" s="40" t="str">
        <x:v>2026-09-27</x:v>
      </x:c>
      <x:c r="D13" s="40" t="str">
        <x:v>USD 99/year or regional price, before applicable taxes.</x:v>
      </x:c>
    </x:row>
    <x:row r="14" ht="54" customHeight="1">
      <x:c r="A14" s="41" t="str">
        <x:v>iLovePDF pricing</x:v>
      </x:c>
      <x:c r="B14" s="41" t="str">
        <x:v>https://www.ilovepdf.com/pricing</x:v>
      </x:c>
      <x:c r="C14" s="41" t="str">
        <x:v>2026-09-27</x:v>
      </x:c>
      <x:c r="D14" s="41" t="str">
        <x:v>USD 60/year observed for Premium; broader feature set, not an identical product.</x:v>
      </x:c>
    </x:row>
    <x:row r="15" ht="54" customHeight="1">
      <x:c r="A15" s="40" t="str">
        <x:v>PDFgear</x:v>
      </x:c>
      <x:c r="B15" s="40" t="str">
        <x:v>https://www.pdfgear.com/</x:v>
      </x:c>
      <x:c r="C15" s="40" t="str">
        <x:v>2026-09-27</x:v>
      </x:c>
      <x:c r="D15" s="40" t="str">
        <x:v>Markets a free PDF toolkit; means price is not the only competitive consideration.</x:v>
      </x:c>
    </x:row>
    <x:row r="16" ht="54" customHeight="1">
      <x:c r="A16" s="41" t="str">
        <x:v>Smallpdf pricing</x:v>
      </x:c>
      <x:c r="B16" s="41" t="str">
        <x:v>https://smallpdf.com/pricing</x:v>
      </x:c>
      <x:c r="C16" s="41" t="str">
        <x:v>2026-09-27</x:v>
      </x:c>
      <x:c r="D16" s="41" t="str">
        <x:v>Free and Pro tiers verified. Numeric price did not render in retrieved page; not used in calculations.</x:v>
      </x:c>
    </x:row>
    <x:row r="17" ht="54" customHeight="1">
      <x:c r="A17" s="40" t="str">
        <x:v>Setapp membership revenue</x:v>
      </x:c>
      <x:c r="B17" s="40" t="str">
        <x:v>https://docs.setapp.com/docs/setapp-membership-revenue</x:v>
      </x:c>
      <x:c r="C17" s="40" t="str">
        <x:v>2026-09-27</x:v>
      </x:c>
      <x:c r="D17" s="40" t="str">
        <x:v>70% usage-weighted pool, plus eligible 20% referral share. No acceptance or revenue assumed.</x:v>
      </x:c>
    </x:row>
    <x:row r="18" ht="54" customHeight="1">
      <x:c r="A18" s="41" t="str">
        <x:v>RevenueCat subscription research</x:v>
      </x:c>
      <x:c r="B18" s="41" t="str">
        <x:v>https://www.revenuecat.com/state-of-subscription-apps</x:v>
      </x:c>
      <x:c r="C18" s="41" t="str">
        <x:v>2026-09-27</x:v>
      </x:c>
      <x:c r="D18" s="41" t="str">
        <x:v>Broad app benchmarks, not this product's cohorts. CAC, renewal, conversion and refunds here are explicit assumptions.</x:v>
      </x:c>
    </x:row>
    <x:row r="19" ht="54" customHeight="1">
      <x:c r="A19" s="40" t="str">
        <x:v>Resend pricing</x:v>
      </x:c>
      <x:c r="B19" s="40" t="str">
        <x:v>https://resend.com/pricing</x:v>
      </x:c>
      <x:c r="C19" s="40" t="str">
        <x:v>2026-09-27</x:v>
      </x:c>
      <x:c r="D19" s="40" t="str">
        <x:v>Email allowance is a planning reserve; verify selected plan before purchase.</x:v>
      </x:c>
    </x:row>
    <x:row r="20" ht="24" customHeight="1">
      <x:c r="A20" s="12"/>
      <x:c r="B20" s="12"/>
      <x:c r="C20" s="12"/>
      <x:c r="D20" s="12"/>
    </x:row>
    <x:row r="21" ht="24" customHeight="1">
      <x:c r="A21" s="28"/>
      <x:c r="B21" s="28"/>
      <x:c r="C21" s="28"/>
      <x:c r="D21" s="28"/>
    </x:row>
    <x:row r="22" ht="24" customHeight="1">
      <x:c r="A22" s="41" t="str">
        <x:v>Source-backed vendor prices are distinct from this model's assumptions. No source establishes this product's conversion rate, CAC, renewal, willingness to pay, country mix or future revenue. All such inputs remain editable hypotheses. The existing Codex plan allowed Free/Pro but left numeric pricing open.</x:v>
      </x:c>
      <x:c r="B22" s="41"/>
      <x:c r="C22" s="41"/>
      <x:c r="D22" s="41"/>
    </x:row>
    <x:row r="23" ht="24" customHeight="1">
      <x:c r="A23" s="40"/>
      <x:c r="B23" s="40"/>
      <x:c r="C23" s="40"/>
      <x:c r="D23" s="40"/>
    </x:row>
    <x:row r="24" ht="24" customHeight="1">
      <x:c r="A24" s="41"/>
      <x:c r="B24" s="41"/>
      <x:c r="C24" s="41"/>
      <x:c r="D24" s="41"/>
    </x:row>
  </x:sheetData>
  <x:mergeCells>
    <x:mergeCell ref="A22:D24"/>
    <x:mergeCell ref="A1:D1"/>
    <x:mergeCell ref="A2:D2"/>
  </x:mergeCells>
  <x:pageMargins left="0.7" right="0.7" top="0.75" bottom="0.75" header="0.3" footer="0.3"/>
</x:worksheet>
</file>