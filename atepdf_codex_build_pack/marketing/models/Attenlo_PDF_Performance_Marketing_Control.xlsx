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8266a0890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ba079d5dfea41c4"/>
    <x:sheet xmlns:r="http://schemas.openxmlformats.org/officeDocument/2006/relationships" name="Inputs" sheetId="2" r:id="R40a0be54d05b48cd"/>
    <x:sheet xmlns:r="http://schemas.openxmlformats.org/officeDocument/2006/relationships" name="Unit Economics" sheetId="3" r:id="Rfad1fb8a29954d8d"/>
    <x:sheet xmlns:r="http://schemas.openxmlformats.org/officeDocument/2006/relationships" name="Launch Budget" sheetId="4" r:id="Rc53f9ad9c8b140fe"/>
    <x:sheet xmlns:r="http://schemas.openxmlformats.org/officeDocument/2006/relationships" name="Funnel Scenarios" sheetId="5" r:id="Rec0938a728274c2c"/>
    <x:sheet xmlns:r="http://schemas.openxmlformats.org/officeDocument/2006/relationships" name="Actuals Tracker" sheetId="6" r:id="R2a5e7342f12b4cb6"/>
    <x:sheet xmlns:r="http://schemas.openxmlformats.org/officeDocument/2006/relationships" name="Creative Queue" sheetId="7" r:id="R93222357745c4219"/>
    <x:sheet xmlns:r="http://schemas.openxmlformats.org/officeDocument/2006/relationships" name="Sources" sheetId="8" r:id="R82d9e2f899b741ca"/>
  </x:sheets>
</x:workbook>
</file>

<file path=xl/comments1.xml><?xml version="1.0" encoding="utf-8"?>
<x:comments xmlns:x="http://schemas.openxmlformats.org/spreadsheetml/2006/main">
  <x:authors>
    <x:author>tc={B73C25BB-A5C4-5D93-2066-7981F518EDC6}</x:author>
    <x:author>tc={77E93168-2452-C0FC-CF84-B06E0DF8E623}</x:author>
    <x:author>tc={42502B78-CCB9-316E-919D-27DE36B5C4B8}</x:author>
    <x:author>tc={8B704F01-2101-D457-A39C-A88D6839C85A}</x:author>
    <x:author>tc={32BAA7EC-6AAE-345D-F6CA-A08696204D13}</x:author>
    <x:author>tc={BB66D71E-15CA-B4BC-B541-BDE468457CEA}</x:author>
    <x:author>tc={54D320DD-79D1-B66E-981A-938C395A32BE}</x:author>
    <x:author>tc={AB114C9B-1EF1-B387-EF5D-F4CF2EE051E5}</x:author>
    <x:author>tc={07618AA6-355D-5013-967B-D51BCEE79415}</x:author>
    <x:author>tc={94A96F9A-0F80-2783-5AB4-385FF3B81DD9}</x:author>
    <x:author>tc={4BF6A10F-3778-B07B-7EAC-665F639262BA}</x:author>
    <x:author>tc={B647F575-FABF-C9C5-DB8D-EB693BBD20F3}</x:author>
    <x:author>tc={977567E6-8D52-1BB1-DE42-681C2F3F324E}</x:author>
    <x:author>tc={B047E069-48E6-2662-A3B1-5547F3DB78ED}</x:author>
    <x:author>tc={2B8BE999-31A6-F948-893A-E66754369484}</x:author>
    <x:author>tc={13024A4A-45E5-15DF-0DCA-3315378729CA}</x:author>
    <x:author>tc={1537CCBA-8BE2-0B4F-200C-6DAFB7428EF7}</x:author>
    <x:author>tc={3674658F-8A9C-902E-67F1-7ADB7F7E52A0}</x:author>
    <x:author>tc={252F1D98-6499-2F31-B2B5-BD8C1E802338}</x:author>
    <x:author>tc={663D6442-8FB1-C018-B80F-ACBA2AB3F14F}</x:author>
    <x:author>tc={FF8268E8-21D8-2F93-7999-F150EDF9F21C}</x:author>
    <x:author>tc={11C491F0-9070-912E-440C-8FF41B889346}</x:author>
    <x:author>tc={2C5D0D2D-EE83-FEB7-29E8-D3584C57D5A2}</x:author>
    <x:author>tc={A5DD9E7D-3A6A-740D-E2B0-C9A40BBF054C}</x:author>
    <x:author>tc={CE45FE95-38EC-FDCC-F0F8-33853663B37F}</x:author>
    <x:author>tc={5EEC2086-A441-230C-7A38-612331BCA3F8}</x:author>
    <x:author>tc={E34B6659-92BD-89CD-9F76-59F1863D9733}</x:author>
    <x:author>tc={84DBCFA8-95D4-310C-81C2-BEB73126E3F1}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convention, not an exchange-rate quote. Source: Attenlo_PDF_Monetization_and_Growth_Plan_2026-09-27.md; Attenlo_PDF_36_Month_Growth_Notes.md. Unit: INR / USD</x:t>
        </x:r>
      </x:text>
    </x:comment>
    <x:comment ref="B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price, not approved live price. Source: Attenlo_PDF_Monetization_and_Growth_Plan_2026-09-27.md; Attenlo_PDF_36_Month_Growth_Notes.md. Unit: INR inclusive modeled tax</x:t>
        </x:r>
      </x:text>
    </x:comment>
    <x:comment ref="B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price. Source: Attenlo_PDF_Monetization_and_Growth_Plan_2026-09-27.md; Attenlo_PDF_36_Month_Growth_Notes.md. Unit: INR inclusive modeled tax</x:t>
        </x:r>
      </x:text>
    </x:comment>
    <x:comment ref="B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USD anchor. Source: Attenlo_PDF_Monetization_and_Growth_Plan_2026-09-27.md; Attenlo_PDF_36_Month_Growth_Notes.md. Unit: USD before local tax</x:t>
        </x:r>
      </x:text>
    </x:comment>
    <x:comment ref="B1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USD anchor. Source: Attenlo_PDF_Monetization_and_Growth_Plan_2026-09-27.md; Attenlo_PDF_36_Month_Growth_Notes.md. Unit: USD before local tax</x:t>
        </x:r>
      </x:text>
    </x:comment>
    <x:comment ref="B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Accountant-review tax assumption. Source: Attenlo_PDF_Monetization_and_Growth_Plan_2026-09-27.md; Attenlo_PDF_36_Month_Growth_Notes.md. Unit: rate</x:t>
        </x:r>
      </x:text>
    </x:comment>
    <x:comment ref="B14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reserve; replace with actual cohorts. Source: Attenlo_PDF_Monetization_and_Growth_Plan_2026-09-27.md; Attenlo_PDF_36_Month_Growth_Notes.md. Unit: rate</x:t>
        </x:r>
      </x:text>
    </x:comment>
    <x:comment ref="B1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Conservative recurring-tool reserve. Source: https://www.revenuecat.com/pricing. Unit: rate</x:t>
        </x:r>
      </x:text>
    </x:comment>
    <x:comment ref="B1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Modeled 2% fee plus fee tax; actual contract may differ. Source: https://razorpay.com/pricing/. Unit: rate of sticker price</x:t>
        </x:r>
      </x:text>
    </x:comment>
    <x:comment ref="B1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standard percentage; subject to contract. Source: https://www.paddle.com/pricing. Unit: rate of sticker price</x:t>
        </x:r>
      </x:text>
    </x:comment>
    <x:comment ref="B1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standard fixed component; subject to contract. Source: https://www.paddle.com/pricing. Unit: USD / transaction</x:t>
        </x:r>
      </x:text>
    </x:comment>
    <x:comment ref="B19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Eligibility/channel assumption, not universal. Source: Attenlo_PDF_Monetization_and_Growth_Plan_2026-09-27.md; Attenlo_PDF_36_Month_Growth_Notes.md. Unit: rate of net sales</x:t>
        </x:r>
      </x:text>
    </x:comment>
    <x:comment ref="B2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Inherited model with contingency, not measured usage. Source: Attenlo_PDF_Monetization_and_Growth_Plan_2026-09-27.md; Attenlo_PDF_36_Month_Growth_Notes.md. Unit: INR / planned job</x:t>
        </x:r>
      </x:text>
    </x:comment>
    <x:comment ref="B2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Usage hypothesis, not the allowance. Source: Attenlo_PDF_Monetization_and_Growth_Plan_2026-09-27.md; Attenlo_PDF_36_Month_Growth_Notes.md. Unit: jobs / payer / month</x:t>
        </x:r>
      </x:text>
    </x:comment>
    <x:comment ref="B2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Free population allocation hypothesis. Source: Attenlo_PDF_Monetization_and_Growth_Plan_2026-09-27.md; Attenlo_PDF_36_Month_Growth_Notes.md. Unit: active free users / payer</x:t>
        </x:r>
      </x:text>
    </x:comment>
    <x:comment ref="B2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Full modeled free allowance used. Source: Attenlo_PDF_Monetization_and_Growth_Plan_2026-09-27.md; Attenlo_PDF_36_Month_Growth_Notes.md. Unit: jobs / free user / month</x:t>
        </x:r>
      </x:text>
    </x:comment>
    <x:comment ref="B24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Variable cash reserve; founder time extra. Source: Attenlo_PDF_Monetization_and_Growth_Plan_2026-09-27.md; Attenlo_PDF_36_Month_Growth_Notes.md. Unit: INR / payer / month</x:t>
        </x:r>
      </x:text>
    </x:comment>
    <x:comment ref="B25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Contract duration. Source: Management proposal, 28 Sep 2026. Unit: months / annual term</x:t>
        </x:r>
      </x:text>
    </x:comment>
    <x:comment ref="B26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Hypothesis; replace by actual channel mix. Source: Attenlo_PDF_Monetization_and_Growth_Plan_2026-09-27.md; Attenlo_PDF_36_Month_Growth_Notes.md. Unit: annual share of new buyers</x:t>
        </x:r>
      </x:text>
    </x:comment>
    <x:comment ref="B27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Risk policy, not an observed market CAC. Source: Management proposal, 28 Sep 2026. Unit: share of committed contribution</x:t>
        </x:r>
      </x:text>
    </x:comment>
    <x:comment ref="B28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Accountant-review placeholder; included within cash cap. Source: Management proposal, 28 Sep 2026. Unit: nonrecoverable ad cash tax / fee</x:t>
        </x:r>
      </x:text>
    </x:comment>
    <x:comment ref="B29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proportional creative burden for CPC boundary. Source: Management proposal, 28 Sep 2026. Unit: share of delivered media</x:t>
        </x:r>
      </x:text>
    </x:comment>
    <x:comment ref="B30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Approval required; tax/fees inside. Source: Management proposal, 28 Sep 2026. Unit: INR gross cash media</x:t>
        </x:r>
      </x:text>
    </x:comment>
    <x:comment ref="B3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Conditional release only. Source: Management proposal, 28 Sep 2026. Unit: INR gross cash media</x:t>
        </x:r>
      </x:text>
    </x:comment>
    <x:comment ref="B32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Conditional release only. Source: Management proposal, 28 Sep 2026. Unit: INR gross cash media</x:t>
        </x:r>
      </x:text>
    </x:comment>
    <x:comment ref="B3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Production/research budget ceiling. Source: Management proposal, 28 Sep 2026. Unit: INR gross cash</x:t>
        </x:r>
      </x:text>
    </x:comment>
    <x:comment ref="B34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 expense until specifically approved and spent. Source: Management proposal, 28 Sep 2026. Unit: INR unspent contingency</x:t>
        </x:r>
      </x:text>
    </x:comment>
    <x:comment ref="B35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Hypothesis; not activation rate. Source: Management proposal, 28 Sep 2026. Unit: click-to-first-paid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&quot;-&quot;"/>
    <x:numFmt numFmtId="201" formatCode="0.0%;[Red](0.0%);&quot;-&quot;"/>
    <x:numFmt numFmtId="202" formatCode="&quot;INR &quot; #,##0;[Red](&quot;INR &quot; #,##0);&quot;-&quot;"/>
    <x:numFmt numFmtId="203" formatCode="#,##0;[Red](#,##0);&quot;-&quot;"/>
  </x:numFmts>
  <x:fonts count="11">
    <x:font>
      <x:sz val="11"/>
      <x:name val="Carlito"/>
    </x:font>
    <x:font>
      <x:sz val="11"/>
      <x:name val="Aptos"/>
    </x:font>
    <x:font>
      <x:b/>
      <x:sz val="20"/>
      <x:color rgb="FFFFFFFF"/>
      <x:name val="Aptos"/>
    </x:font>
    <x:font>
      <x:sz val="11"/>
      <x:color rgb="FF53617B"/>
      <x:name val="Aptos"/>
    </x:font>
    <x:font>
      <x:b/>
      <x:sz val="11"/>
      <x:color rgb="FFFFFFFF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sz val="11"/>
      <x:color rgb="FF000000"/>
      <x:name val="Aptos"/>
    </x:font>
    <x:font>
      <x:b/>
      <x:sz val="11"/>
      <x:name val="Aptos"/>
    </x:font>
    <x:font>
      <x:b/>
      <x:sz val="11"/>
      <x:color rgb="FF000000"/>
      <x:name val="Aptos"/>
    </x:font>
    <x:font>
      <x:b/>
      <x:sz val="11"/>
      <x:color rgb="FF008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33E"/>
      </x:patternFill>
    </x:fill>
    <x:fill>
      <x:patternFill patternType="solid">
        <x:fgColor rgb="FFFFF2CC"/>
      </x:patternFill>
    </x:fill>
    <x:fill>
      <x:patternFill patternType="solid">
        <x:fgColor rgb="FFE9F6EF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wrapText="1"/>
    </x:xf>
    <x:xf numFmtId="200" fontId="5" fillId="3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1" fontId="5" fillId="3" borderId="0" xfId="0" applyNumberFormat="1" applyFont="1" applyFill="1" applyBorder="1" applyAlignment="1">
      <x:alignment wrapText="1"/>
    </x:xf>
    <x:xf numFmtId="201" fontId="5" fillId="3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1" xfId="0" applyNumberFormat="1" applyFont="1" applyFill="1" applyBorder="1"/>
    <x:xf numFmtId="200" fontId="7" fillId="0" borderId="1" xfId="0" applyNumberFormat="1" applyFont="1" applyFill="1" applyBorder="1"/>
    <x:xf numFmtId="200" fontId="1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1" fillId="4" borderId="0" xfId="0" applyNumberFormat="1" applyFont="1" applyFill="1" applyBorder="1"/>
    <x:xf numFmtId="200" fontId="7" fillId="4" borderId="0" xfId="0" applyNumberFormat="1" applyFont="1" applyFill="1" applyBorder="1"/>
    <x:xf numFmtId="0" fontId="1" fillId="4" borderId="1" xfId="0" applyNumberFormat="1" applyFont="1" applyFill="1" applyBorder="1"/>
    <x:xf numFmtId="200" fontId="7" fillId="4" borderId="1" xfId="0" applyNumberFormat="1" applyFont="1" applyFill="1" applyBorder="1"/>
    <x:xf numFmtId="0" fontId="8" fillId="4" borderId="0" xfId="0" applyNumberFormat="1" applyFont="1" applyFill="1" applyBorder="1"/>
    <x:xf numFmtId="200" fontId="9" fillId="4" borderId="0" xfId="0" applyNumberFormat="1" applyFont="1" applyFill="1" applyBorder="1"/>
    <x:xf numFmtId="0" fontId="8" fillId="4" borderId="1" xfId="0" applyNumberFormat="1" applyFont="1" applyFill="1" applyBorder="1"/>
    <x:xf numFmtId="200" fontId="9" fillId="4" borderId="1" xfId="0" applyNumberFormat="1" applyFont="1" applyFill="1" applyBorder="1"/>
    <x:xf numFmtId="200" fontId="6" fillId="4" borderId="0" xfId="0" applyNumberFormat="1" applyFont="1" applyFill="1" applyBorder="1"/>
    <x:xf numFmtId="200" fontId="6" fillId="4" borderId="1" xfId="0" applyNumberFormat="1" applyFont="1" applyFill="1" applyBorder="1"/>
    <x:xf numFmtId="200" fontId="10" fillId="4" borderId="0" xfId="0" applyNumberFormat="1" applyFont="1" applyFill="1" applyBorder="1"/>
    <x:xf numFmtId="200" fontId="10" fillId="4" borderId="1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200" fontId="9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0" fontId="10" fillId="4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200" fontId="9" fillId="4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0" fontId="10" fillId="4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2" fontId="6" fillId="4" borderId="0" xfId="0" applyNumberFormat="1" applyFont="1" applyFill="1" applyBorder="1"/>
    <x:xf numFmtId="202" fontId="6" fillId="4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c0ad888294f39" /><Relationship Type="http://schemas.openxmlformats.org/officeDocument/2006/relationships/theme" Target="/xl/theme/theme1.xml" Id="R38598a643d404826" /><Relationship Type="http://schemas.openxmlformats.org/officeDocument/2006/relationships/sharedStrings" Target="/xl/sharedStrings.xml" Id="Ra59bb43c62f248e9" /><Relationship Type="http://schemas.openxmlformats.org/officeDocument/2006/relationships/worksheet" Target="/xl/worksheets/sheet1.xml" Id="R4ba079d5dfea41c4" /><Relationship Type="http://schemas.openxmlformats.org/officeDocument/2006/relationships/worksheet" Target="/xl/worksheets/sheet2.xml" Id="R40a0be54d05b48cd" /><Relationship Type="http://schemas.openxmlformats.org/officeDocument/2006/relationships/worksheet" Target="/xl/worksheets/sheet3.xml" Id="Rfad1fb8a29954d8d" /><Relationship Type="http://schemas.openxmlformats.org/officeDocument/2006/relationships/worksheet" Target="/xl/worksheets/sheet4.xml" Id="Rc53f9ad9c8b140fe" /><Relationship Type="http://schemas.openxmlformats.org/officeDocument/2006/relationships/worksheet" Target="/xl/worksheets/sheet5.xml" Id="Rec0938a728274c2c" /><Relationship Type="http://schemas.openxmlformats.org/officeDocument/2006/relationships/worksheet" Target="/xl/worksheets/sheet6.xml" Id="R2a5e7342f12b4cb6" /><Relationship Type="http://schemas.openxmlformats.org/officeDocument/2006/relationships/worksheet" Target="/xl/worksheets/sheet7.xml" Id="R93222357745c4219" /><Relationship Type="http://schemas.openxmlformats.org/officeDocument/2006/relationships/worksheet" Target="/xl/worksheets/sheet8.xml" Id="R82d9e2f899b741ca" /><Relationship Type="http://schemas.microsoft.com/office/2017/10/relationships/person" Target="/xl/persons/person.xml" Id="Rab9e3c007ead4d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45e27693a246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Acquisition economics: cash CAC versus target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Cash CAC INR</c:v>
          </c:tx>
          <c:cat>
            <c:strRef>
              <c:f>'Dashboard'!$A$22:$A$24</c:f>
              <c:strCache>
                <c:ptCount val="0"/>
              </c:strCache>
            </c:strRef>
          </c:cat>
          <c:val>
            <c:numRef>
              <c:f>'Dashboard'!$B$22:$B$24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Target INR</c:v>
          </c:tx>
          <c:cat>
            <c:strRef>
              <c:f>'Dashboard'!$A$22:$A$24</c:f>
              <c:strCache>
                <c:ptCount val="0"/>
              </c:strCache>
            </c:strRef>
          </c:cat>
          <c:val>
            <c:numRef>
              <c:f>'Dashboard'!$C$22:$C$24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45e27693a2466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ttenlo Planning" id="{4A9E00A4-5EF2-4FA0-BC7C-27D91451BA1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9-27T20:08:58.176" personId="{4A9E00A4-5EF2-4FA0-BC7C-27D91451BA1D}" id="{B73C25BB-A5C4-5D93-2066-7981F518EDC6}">
    <xltc:text>Planning convention, not an exchange-rate quote. Source: Attenlo_PDF_Monetization_and_Growth_Plan_2026-09-27.md; Attenlo_PDF_36_Month_Growth_Notes.md. Unit: INR / USD</xltc:text>
  </xltc:threadedComment>
  <xltc:threadedComment ref="B9" dT="2026-09-27T20:08:58.177" personId="{4A9E00A4-5EF2-4FA0-BC7C-27D91451BA1D}" id="{77E93168-2452-C0FC-CF84-B06E0DF8E623}">
    <xltc:text>Proposed price, not approved live price. Source: Attenlo_PDF_Monetization_and_Growth_Plan_2026-09-27.md; Attenlo_PDF_36_Month_Growth_Notes.md. Unit: INR inclusive modeled tax</xltc:text>
  </xltc:threadedComment>
  <xltc:threadedComment ref="B10" dT="2026-09-27T20:08:58.177" personId="{4A9E00A4-5EF2-4FA0-BC7C-27D91451BA1D}" id="{42502B78-CCB9-316E-919D-27DE36B5C4B8}">
    <xltc:text>Proposed price. Source: Attenlo_PDF_Monetization_and_Growth_Plan_2026-09-27.md; Attenlo_PDF_36_Month_Growth_Notes.md. Unit: INR inclusive modeled tax</xltc:text>
  </xltc:threadedComment>
  <xltc:threadedComment ref="B11" dT="2026-09-27T20:08:58.177" personId="{4A9E00A4-5EF2-4FA0-BC7C-27D91451BA1D}" id="{8B704F01-2101-D457-A39C-A88D6839C85A}">
    <xltc:text>Proposed USD anchor. Source: Attenlo_PDF_Monetization_and_Growth_Plan_2026-09-27.md; Attenlo_PDF_36_Month_Growth_Notes.md. Unit: USD before local tax</xltc:text>
  </xltc:threadedComment>
  <xltc:threadedComment ref="B12" dT="2026-09-27T20:08:58.177" personId="{4A9E00A4-5EF2-4FA0-BC7C-27D91451BA1D}" id="{32BAA7EC-6AAE-345D-F6CA-A08696204D13}">
    <xltc:text>Proposed USD anchor. Source: Attenlo_PDF_Monetization_and_Growth_Plan_2026-09-27.md; Attenlo_PDF_36_Month_Growth_Notes.md. Unit: USD before local tax</xltc:text>
  </xltc:threadedComment>
  <xltc:threadedComment ref="B13" dT="2026-09-27T20:08:58.177" personId="{4A9E00A4-5EF2-4FA0-BC7C-27D91451BA1D}" id="{BB66D71E-15CA-B4BC-B541-BDE468457CEA}">
    <xltc:text>Accountant-review tax assumption. Source: Attenlo_PDF_Monetization_and_Growth_Plan_2026-09-27.md; Attenlo_PDF_36_Month_Growth_Notes.md. Unit: rate</xltc:text>
  </xltc:threadedComment>
  <xltc:threadedComment ref="B14" dT="2026-09-27T20:08:58.177" personId="{4A9E00A4-5EF2-4FA0-BC7C-27D91451BA1D}" id="{54D320DD-79D1-B66E-981A-938C395A32BE}">
    <xltc:text>Planning reserve; replace with actual cohorts. Source: Attenlo_PDF_Monetization_and_Growth_Plan_2026-09-27.md; Attenlo_PDF_36_Month_Growth_Notes.md. Unit: rate</xltc:text>
  </xltc:threadedComment>
  <xltc:threadedComment ref="B15" dT="2026-09-27T20:08:58.177" personId="{4A9E00A4-5EF2-4FA0-BC7C-27D91451BA1D}" id="{AB114C9B-1EF1-B387-EF5D-F4CF2EE051E5}">
    <xltc:text>Conservative recurring-tool reserve. Source: https://www.revenuecat.com/pricing. Unit: rate</xltc:text>
  </xltc:threadedComment>
  <xltc:threadedComment ref="B16" dT="2026-09-27T20:08:58.177" personId="{4A9E00A4-5EF2-4FA0-BC7C-27D91451BA1D}" id="{07618AA6-355D-5013-967B-D51BCEE79415}">
    <xltc:text>Modeled 2% fee plus fee tax; actual contract may differ. Source: https://razorpay.com/pricing/. Unit: rate of sticker price</xltc:text>
  </xltc:threadedComment>
  <xltc:threadedComment ref="B17" dT="2026-09-27T20:08:58.177" personId="{4A9E00A4-5EF2-4FA0-BC7C-27D91451BA1D}" id="{94A96F9A-0F80-2783-5AB4-385FF3B81DD9}">
    <xltc:text>Published standard percentage; subject to contract. Source: https://www.paddle.com/pricing. Unit: rate of sticker price</xltc:text>
  </xltc:threadedComment>
  <xltc:threadedComment ref="B18" dT="2026-09-27T20:08:58.177" personId="{4A9E00A4-5EF2-4FA0-BC7C-27D91451BA1D}" id="{4BF6A10F-3778-B07B-7EAC-665F639262BA}">
    <xltc:text>Published standard fixed component; subject to contract. Source: https://www.paddle.com/pricing. Unit: USD / transaction</xltc:text>
  </xltc:threadedComment>
  <xltc:threadedComment ref="B19" dT="2026-09-27T20:08:58.177" personId="{4A9E00A4-5EF2-4FA0-BC7C-27D91451BA1D}" id="{B647F575-FABF-C9C5-DB8D-EB693BBD20F3}">
    <xltc:text>Eligibility/channel assumption, not universal. Source: Attenlo_PDF_Monetization_and_Growth_Plan_2026-09-27.md; Attenlo_PDF_36_Month_Growth_Notes.md. Unit: rate of net sales</xltc:text>
  </xltc:threadedComment>
  <xltc:threadedComment ref="B20" dT="2026-09-27T20:08:58.177" personId="{4A9E00A4-5EF2-4FA0-BC7C-27D91451BA1D}" id="{977567E6-8D52-1BB1-DE42-681C2F3F324E}">
    <xltc:text>Inherited model with contingency, not measured usage. Source: Attenlo_PDF_Monetization_and_Growth_Plan_2026-09-27.md; Attenlo_PDF_36_Month_Growth_Notes.md. Unit: INR / planned job</xltc:text>
  </xltc:threadedComment>
  <xltc:threadedComment ref="B21" dT="2026-09-27T20:08:58.177" personId="{4A9E00A4-5EF2-4FA0-BC7C-27D91451BA1D}" id="{B047E069-48E6-2662-A3B1-5547F3DB78ED}">
    <xltc:text>Usage hypothesis, not the allowance. Source: Attenlo_PDF_Monetization_and_Growth_Plan_2026-09-27.md; Attenlo_PDF_36_Month_Growth_Notes.md. Unit: jobs / payer / month</xltc:text>
  </xltc:threadedComment>
  <xltc:threadedComment ref="B22" dT="2026-09-27T20:08:58.177" personId="{4A9E00A4-5EF2-4FA0-BC7C-27D91451BA1D}" id="{2B8BE999-31A6-F948-893A-E66754369484}">
    <xltc:text>Free population allocation hypothesis. Source: Attenlo_PDF_Monetization_and_Growth_Plan_2026-09-27.md; Attenlo_PDF_36_Month_Growth_Notes.md. Unit: active free users / payer</xltc:text>
  </xltc:threadedComment>
  <xltc:threadedComment ref="B23" dT="2026-09-27T20:08:58.177" personId="{4A9E00A4-5EF2-4FA0-BC7C-27D91451BA1D}" id="{13024A4A-45E5-15DF-0DCA-3315378729CA}">
    <xltc:text>Full modeled free allowance used. Source: Attenlo_PDF_Monetization_and_Growth_Plan_2026-09-27.md; Attenlo_PDF_36_Month_Growth_Notes.md. Unit: jobs / free user / month</xltc:text>
  </xltc:threadedComment>
  <xltc:threadedComment ref="B24" dT="2026-09-27T20:08:58.177" personId="{4A9E00A4-5EF2-4FA0-BC7C-27D91451BA1D}" id="{1537CCBA-8BE2-0B4F-200C-6DAFB7428EF7}">
    <xltc:text>Variable cash reserve; founder time extra. Source: Attenlo_PDF_Monetization_and_Growth_Plan_2026-09-27.md; Attenlo_PDF_36_Month_Growth_Notes.md. Unit: INR / payer / month</xltc:text>
  </xltc:threadedComment>
  <xltc:threadedComment ref="B25" dT="2026-09-27T20:08:58.177" personId="{4A9E00A4-5EF2-4FA0-BC7C-27D91451BA1D}" id="{3674658F-8A9C-902E-67F1-7ADB7F7E52A0}">
    <xltc:text>Contract duration. Source: Management proposal, 28 Sep 2026. Unit: months / annual term</xltc:text>
  </xltc:threadedComment>
  <xltc:threadedComment ref="B26" dT="2026-09-27T20:08:58.177" personId="{4A9E00A4-5EF2-4FA0-BC7C-27D91451BA1D}" id="{252F1D98-6499-2F31-B2B5-BD8C1E802338}">
    <xltc:text>Hypothesis; replace by actual channel mix. Source: Attenlo_PDF_Monetization_and_Growth_Plan_2026-09-27.md; Attenlo_PDF_36_Month_Growth_Notes.md. Unit: annual share of new buyers</xltc:text>
  </xltc:threadedComment>
  <xltc:threadedComment ref="B27" dT="2026-09-27T20:08:58.177" personId="{4A9E00A4-5EF2-4FA0-BC7C-27D91451BA1D}" id="{663D6442-8FB1-C018-B80F-ACBA2AB3F14F}">
    <xltc:text>Risk policy, not an observed market CAC. Source: Management proposal, 28 Sep 2026. Unit: share of committed contribution</xltc:text>
  </xltc:threadedComment>
  <xltc:threadedComment ref="B28" dT="2026-09-27T20:08:58.177" personId="{4A9E00A4-5EF2-4FA0-BC7C-27D91451BA1D}" id="{FF8268E8-21D8-2F93-7999-F150EDF9F21C}">
    <xltc:text>Accountant-review placeholder; included within cash cap. Source: Management proposal, 28 Sep 2026. Unit: nonrecoverable ad cash tax / fee</xltc:text>
  </xltc:threadedComment>
  <xltc:threadedComment ref="B29" dT="2026-09-27T20:08:58.177" personId="{4A9E00A4-5EF2-4FA0-BC7C-27D91451BA1D}" id="{11C491F0-9070-912E-440C-8FF41B889346}">
    <xltc:text>Illustrative proportional creative burden for CPC boundary. Source: Management proposal, 28 Sep 2026. Unit: share of delivered media</xltc:text>
  </xltc:threadedComment>
  <xltc:threadedComment ref="B30" dT="2026-09-27T20:08:58.177" personId="{4A9E00A4-5EF2-4FA0-BC7C-27D91451BA1D}" id="{2C5D0D2D-EE83-FEB7-29E8-D3584C57D5A2}">
    <xltc:text>Approval required; tax/fees inside. Source: Management proposal, 28 Sep 2026. Unit: INR gross cash media</xltc:text>
  </xltc:threadedComment>
  <xltc:threadedComment ref="B31" dT="2026-09-27T20:08:58.177" personId="{4A9E00A4-5EF2-4FA0-BC7C-27D91451BA1D}" id="{A5DD9E7D-3A6A-740D-E2B0-C9A40BBF054C}">
    <xltc:text>Conditional release only. Source: Management proposal, 28 Sep 2026. Unit: INR gross cash media</xltc:text>
  </xltc:threadedComment>
  <xltc:threadedComment ref="B32" dT="2026-09-27T20:08:58.177" personId="{4A9E00A4-5EF2-4FA0-BC7C-27D91451BA1D}" id="{CE45FE95-38EC-FDCC-F0F8-33853663B37F}">
    <xltc:text>Conditional release only. Source: Management proposal, 28 Sep 2026. Unit: INR gross cash media</xltc:text>
  </xltc:threadedComment>
  <xltc:threadedComment ref="B33" dT="2026-09-27T20:08:58.177" personId="{4A9E00A4-5EF2-4FA0-BC7C-27D91451BA1D}" id="{5EEC2086-A441-230C-7A38-612331BCA3F8}">
    <xltc:text>Production/research budget ceiling. Source: Management proposal, 28 Sep 2026. Unit: INR gross cash</xltc:text>
  </xltc:threadedComment>
  <xltc:threadedComment ref="B34" dT="2026-09-27T20:08:58.177" personId="{4A9E00A4-5EF2-4FA0-BC7C-27D91451BA1D}" id="{E34B6659-92BD-89CD-9F76-59F1863D9733}">
    <xltc:text>Not expense until specifically approved and spent. Source: Management proposal, 28 Sep 2026. Unit: INR unspent contingency</xltc:text>
  </xltc:threadedComment>
  <xltc:threadedComment ref="B35" dT="2026-09-27T20:08:58.177" personId="{4A9E00A4-5EF2-4FA0-BC7C-27D91451BA1D}" id="{84DBCFA8-95D4-310C-81C2-BEB73126E3F1}">
    <xltc:text>Hypothesis; not activation rate. Source: Management proposal, 28 Sep 2026. Unit: click-to-first-paid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7dbb201d7940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b208419c2164d92" /><Relationship Type="http://schemas.openxmlformats.org/officeDocument/2006/relationships/vmlDrawing" Target="/xl/drawings/vmldrawing.vml" Id="R6213d400b72b4f2c" /><Relationship Type="http://schemas.microsoft.com/office/2017/10/relationships/threadedComment" Target="/xl/threadedcomments/threadedcomment.xml" Id="R59cf9dd8b29040e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5" customHeight="1">
      <x:c r="A1" s="6" t="str">
        <x:v>ATTENLO PDF / ACQUISITION CONTROL</x:v>
      </x:c>
      <x:c r="B1" s="6"/>
      <x:c r="C1" s="6"/>
      <x:c r="D1" s="6"/>
      <x:c r="E1" s="6"/>
      <x:c r="F1" s="6"/>
      <x:c r="G1" s="6"/>
      <x:c r="H1" s="6"/>
    </x:row>
    <x:row r="2" ht="25" customHeight="1">
      <x:c r="A2" s="6"/>
      <x:c r="B2" s="6"/>
      <x:c r="C2" s="6"/>
      <x:c r="D2" s="6"/>
      <x:c r="E2" s="6"/>
      <x:c r="F2" s="6"/>
      <x:c r="G2" s="6"/>
      <x:c r="H2" s="6"/>
    </x:row>
    <x:row r="3" ht="23" customHeight="1">
      <x:c r="A3" s="11" t="str">
        <x:v>Launch hypotheses, not forecasts. US web first; local PDF processing, cloud instruction interpretation. No employee payroll or live spending authorised.</x:v>
      </x:c>
      <x:c r="B3" s="11"/>
      <x:c r="C3" s="11"/>
      <x:c r="D3" s="11"/>
      <x:c r="E3" s="11"/>
      <x:c r="F3" s="11"/>
      <x:c r="G3" s="11"/>
      <x:c r="H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26" customHeight="1">
      <x:c r="A7" s="44" t="str">
        <x:v>Six-week cash ceiling</x:v>
      </x:c>
      <x:c r="B7" s="44"/>
      <x:c r="C7" s="44"/>
      <x:c r="D7" s="44"/>
      <x:c r="E7" s="84" t="n">
        <x:f>'Launch Budget'!B14</x:f>
        <x:v>40000</x:v>
      </x:c>
      <x:c r="F7" s="44"/>
      <x:c r="G7" s="2"/>
      <x:c r="H7" s="2"/>
    </x:row>
    <x:row r="8" ht="26" customHeight="1">
      <x:c r="A8" s="2" t="str">
        <x:v>Planned spend, not reserve</x:v>
      </x:c>
      <x:c r="B8" s="2"/>
      <x:c r="C8" s="2"/>
      <x:c r="D8" s="2"/>
      <x:c r="E8" s="82" t="n">
        <x:f>'Launch Budget'!B17</x:f>
        <x:v>32000</x:v>
      </x:c>
      <x:c r="F8" s="2"/>
      <x:c r="G8" s="2"/>
      <x:c r="H8" s="2"/>
    </x:row>
    <x:row r="9" ht="26" customHeight="1">
      <x:c r="A9" s="2" t="str">
        <x:v>Held contingency</x:v>
      </x:c>
      <x:c r="B9" s="2"/>
      <x:c r="C9" s="2"/>
      <x:c r="D9" s="2"/>
      <x:c r="E9" s="82" t="n">
        <x:f>'Launch Budget'!B18</x:f>
        <x:v>8000</x:v>
      </x:c>
      <x:c r="F9" s="2"/>
      <x:c r="G9" s="2"/>
      <x:c r="H9" s="2"/>
    </x:row>
    <x:row r="10" ht="26" customHeight="1">
      <x:c r="A10" s="2" t="str">
        <x:v>Delivered media after assumption</x:v>
      </x:c>
      <x:c r="B10" s="2"/>
      <x:c r="C10" s="2"/>
      <x:c r="D10" s="2"/>
      <x:c r="E10" s="82" t="n">
        <x:f>'Launch Budget'!B16</x:f>
        <x:v>20338.98305084746</x:v>
      </x:c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6" customHeight="1">
      <x:c r="A12" s="44" t="str">
        <x:v>Global web target CAC, mixed plans</x:v>
      </x:c>
      <x:c r="B12" s="44"/>
      <x:c r="C12" s="44"/>
      <x:c r="D12" s="44"/>
      <x:c r="E12" s="84" t="n">
        <x:f>'Unit Economics'!D34</x:f>
        <x:v>707.0486250000001</x:v>
      </x:c>
      <x:c r="F12" s="44"/>
      <x:c r="G12" s="2"/>
      <x:c r="H12" s="2"/>
    </x:row>
    <x:row r="13" ht="26" customHeight="1">
      <x:c r="A13" s="2" t="str">
        <x:v>Global web annual-only target</x:v>
      </x:c>
      <x:c r="B13" s="2"/>
      <x:c r="C13" s="2"/>
      <x:c r="D13" s="2"/>
      <x:c r="E13" s="82" t="n">
        <x:f>'Unit Economics'!D32</x:f>
        <x:v>900.0891000000001</x:v>
      </x:c>
      <x:c r="F13" s="2"/>
      <x:c r="G13" s="2"/>
      <x:c r="H13" s="2"/>
    </x:row>
    <x:row r="14" ht="26" customHeight="1">
      <x:c r="A14" s="44" t="str">
        <x:v>India web target CAC, mixed plans</x:v>
      </x:c>
      <x:c r="B14" s="44"/>
      <x:c r="C14" s="44"/>
      <x:c r="D14" s="44"/>
      <x:c r="E14" s="84" t="n">
        <x:f>'Unit Economics'!B34</x:f>
        <x:v>316.18118466101697</x:v>
      </x:c>
      <x:c r="F14" s="44"/>
      <x:c r="G14" s="2"/>
      <x:c r="H14" s="2"/>
    </x:row>
    <x:row r="15" ht="26" customHeight="1">
      <x:c r="A15" s="2" t="str">
        <x:v>Max CPC at current CVR</x:v>
      </x:c>
      <x:c r="B15" s="2"/>
      <x:c r="C15" s="2"/>
      <x:c r="D15" s="2"/>
      <x:c r="E15" s="82" t="n">
        <x:f>'Unit Economics'!D36</x:f>
        <x:v>9.888791958041962</x:v>
      </x:c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0" t="str">
        <x:v>The INR 900 target applies to an annual-only global web buyer. With 75% annual and 25% monthly, use approximately INR 707. A completed free task is not a paying customer. Advertising tax/fee at 18% is an editable cash assumption, not tax advice.</x:v>
      </x:c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36" customHeight="1">
      <x:c r="A21" s="15" t="str">
        <x:v>Hypothetical funnel</x:v>
      </x:c>
      <x:c r="B21" s="15" t="str">
        <x:v>Cash CAC INR</x:v>
      </x:c>
      <x:c r="C21" s="15" t="str">
        <x:v>Target INR</x:v>
      </x:c>
      <x:c r="D21" s="2"/>
      <x:c r="E21" s="2"/>
      <x:c r="F21" s="2"/>
      <x:c r="G21" s="2"/>
      <x:c r="H21" s="2"/>
    </x:row>
    <x:row r="22">
      <x:c r="A22" s="32" t="str">
        <x:f>'Funnel Scenarios'!A8</x:f>
        <x:v>Weak</x:v>
      </x:c>
      <x:c r="B22" s="86" t="n">
        <x:f>'Funnel Scenarios'!H8</x:f>
        <x:v>4720</x:v>
      </x:c>
      <x:c r="C22" s="86" t="n">
        <x:f>'Unit Economics'!D34</x:f>
        <x:v>707.0486250000001</x:v>
      </x:c>
      <x:c r="D22" s="2"/>
      <x:c r="E22" s="2"/>
      <x:c r="F22" s="2"/>
      <x:c r="G22" s="2"/>
      <x:c r="H22" s="2"/>
    </x:row>
    <x:row r="23">
      <x:c r="A23" s="32" t="str">
        <x:f>'Funnel Scenarios'!A9</x:f>
        <x:v>Learning</x:v>
      </x:c>
      <x:c r="B23" s="86" t="n">
        <x:f>'Funnel Scenarios'!H9</x:f>
        <x:v>1573.333333333333</x:v>
      </x:c>
      <x:c r="C23" s="86" t="n">
        <x:f>'Unit Economics'!D34</x:f>
        <x:v>707.0486250000001</x:v>
      </x:c>
      <x:c r="D23" s="2"/>
      <x:c r="E23" s="2"/>
      <x:c r="F23" s="2"/>
      <x:c r="G23" s="2"/>
      <x:c r="H23" s="2"/>
    </x:row>
    <x:row r="24">
      <x:c r="A24" s="32" t="str">
        <x:f>'Funnel Scenarios'!A10</x:f>
        <x:v>Promising</x:v>
      </x:c>
      <x:c r="B24" s="86" t="n">
        <x:f>'Funnel Scenarios'!H10</x:f>
        <x:v>629.3333333333333</x:v>
      </x:c>
      <x:c r="C24" s="86" t="n">
        <x:f>'Unit Economics'!D34</x:f>
        <x:v>707.0486250000001</x:v>
      </x:c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0" t="str">
        <x:v>Actuals Tracker is intentionally blank. Review real first-purchase cohorts, refunds, 30-day second jobs and founder support burden before approving another tranche. These workbook checks validate arithmetic, not demand.</x:v>
      </x:c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</x:sheetData>
  <x:mergeCells>
    <x:mergeCell ref="A1:H2"/>
    <x:mergeCell ref="A3:H4"/>
    <x:mergeCell ref="A7:D7"/>
    <x:mergeCell ref="E7:F7"/>
    <x:mergeCell ref="A8:D8"/>
    <x:mergeCell ref="E8:F8"/>
    <x:mergeCell ref="A9:D9"/>
    <x:mergeCell ref="E9:F9"/>
    <x:mergeCell ref="A10:D10"/>
    <x:mergeCell ref="E10:F10"/>
    <x:mergeCell ref="A12:D12"/>
    <x:mergeCell ref="E12:F12"/>
    <x:mergeCell ref="A13:D13"/>
    <x:mergeCell ref="E13:F13"/>
    <x:mergeCell ref="A14:D14"/>
    <x:mergeCell ref="E14:F14"/>
    <x:mergeCell ref="A15:D15"/>
    <x:mergeCell ref="E15:F15"/>
    <x:mergeCell ref="A17:H19"/>
    <x:mergeCell ref="A45:H46"/>
  </x:mergeCells>
  <x:pageMargins left="0.7" right="0.7" top="0.75" bottom="0.75" header="0.3" footer="0.3"/>
  <x:drawing xmlns:r="http://schemas.openxmlformats.org/officeDocument/2006/relationships" r:id="Rcb7dbb201d79406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25" hidden="0" customWidth="1"/>
    <x:col min="4" max="4" width="48" hidden="0" customWidth="1"/>
    <x:col min="5" max="5" width="13" hidden="0" customWidth="1"/>
    <x:col min="6" max="6" width="55" hidden="0" customWidth="1"/>
  </x:cols>
  <x:sheetData>
    <x:row r="1" ht="25" customHeight="1">
      <x:c r="A1" s="6" t="str">
        <x:v>INPUTS / EDIT THE BLUE CELLS</x:v>
      </x:c>
      <x:c r="B1" s="6"/>
      <x:c r="C1" s="6"/>
      <x:c r="D1" s="6"/>
      <x:c r="E1" s="6"/>
      <x:c r="F1" s="6"/>
    </x:row>
    <x:row r="2" ht="25" customHeight="1">
      <x:c r="A2" s="6"/>
      <x:c r="B2" s="6"/>
      <x:c r="C2" s="6"/>
      <x:c r="D2" s="6"/>
      <x:c r="E2" s="6"/>
      <x:c r="F2" s="6"/>
    </x:row>
    <x:row r="3" ht="23" customHeight="1">
      <x:c r="A3" s="11" t="str">
        <x:v>All prices, conversion and budgets are hypotheses. Sources are in the final column and cell comments.</x:v>
      </x:c>
      <x:c r="B3" s="11"/>
      <x:c r="C3" s="11"/>
      <x:c r="D3" s="11"/>
      <x:c r="E3" s="11"/>
      <x:c r="F3" s="11"/>
    </x:row>
    <x:row r="4" ht="23" customHeight="1">
      <x:c r="A4" s="11"/>
      <x:c r="B4" s="11"/>
      <x:c r="C4" s="11"/>
      <x:c r="D4" s="11"/>
      <x:c r="E4" s="11"/>
      <x:c r="F4" s="11"/>
    </x:row>
    <x:row r="5">
      <x:c r="A5" s="2"/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 ht="36" customHeight="1">
      <x:c r="A7" s="15" t="str">
        <x:v>Assumption</x:v>
      </x:c>
      <x:c r="B7" s="15" t="str">
        <x:v>Value</x:v>
      </x:c>
      <x:c r="C7" s="15" t="str">
        <x:v>Unit</x:v>
      </x:c>
      <x:c r="D7" s="15" t="str">
        <x:v>Basis / limitation</x:v>
      </x:c>
      <x:c r="E7" s="15" t="str">
        <x:v>Source ID</x:v>
      </x:c>
      <x:c r="F7" s="15" t="str">
        <x:v>Source location</x:v>
      </x:c>
    </x:row>
    <x:row r="8" ht="38" customHeight="1">
      <x:c r="A8" s="20" t="str">
        <x:v>fx</x:v>
      </x:c>
      <x:c r="B8" s="26" t="n">
        <x:v>90</x:v>
      </x:c>
      <x:c r="C8" s="20" t="str">
        <x:v>INR / USD</x:v>
      </x:c>
      <x:c r="D8" s="20" t="str">
        <x:v>Planning convention, not an exchange-rate quote.</x:v>
      </x:c>
      <x:c r="E8" s="20" t="str">
        <x:v>C04</x:v>
      </x:c>
      <x:c r="F8" s="20" t="str">
        <x:v>Attenlo_PDF_Monetization_and_Growth_Plan_2026-09-27.md; Attenlo_PDF_36_Month_Growth_Notes.md</x:v>
      </x:c>
    </x:row>
    <x:row r="9" ht="38" customHeight="1">
      <x:c r="A9" s="20" t="str">
        <x:v>india_annual</x:v>
      </x:c>
      <x:c r="B9" s="26" t="n">
        <x:v>1999</x:v>
      </x:c>
      <x:c r="C9" s="20" t="str">
        <x:v>INR inclusive modeled tax</x:v>
      </x:c>
      <x:c r="D9" s="20" t="str">
        <x:v>Proposed price, not approved live price.</x:v>
      </x:c>
      <x:c r="E9" s="20" t="str">
        <x:v>C04</x:v>
      </x:c>
      <x:c r="F9" s="20" t="str">
        <x:v>Attenlo_PDF_Monetization_and_Growth_Plan_2026-09-27.md; Attenlo_PDF_36_Month_Growth_Notes.md</x:v>
      </x:c>
    </x:row>
    <x:row r="10" ht="38" customHeight="1">
      <x:c r="A10" s="20" t="str">
        <x:v>india_monthly</x:v>
      </x:c>
      <x:c r="B10" s="26" t="n">
        <x:v>249</x:v>
      </x:c>
      <x:c r="C10" s="20" t="str">
        <x:v>INR inclusive modeled tax</x:v>
      </x:c>
      <x:c r="D10" s="20" t="str">
        <x:v>Proposed price.</x:v>
      </x:c>
      <x:c r="E10" s="20" t="str">
        <x:v>C04</x:v>
      </x:c>
      <x:c r="F10" s="20" t="str">
        <x:v>Attenlo_PDF_Monetization_and_Growth_Plan_2026-09-27.md; Attenlo_PDF_36_Month_Growth_Notes.md</x:v>
      </x:c>
    </x:row>
    <x:row r="11" ht="38" customHeight="1">
      <x:c r="A11" s="20" t="str">
        <x:v>global_annual</x:v>
      </x:c>
      <x:c r="B11" s="26" t="n">
        <x:v>39.99</x:v>
      </x:c>
      <x:c r="C11" s="20" t="str">
        <x:v>USD before local tax</x:v>
      </x:c>
      <x:c r="D11" s="20" t="str">
        <x:v>Proposed USD anchor.</x:v>
      </x:c>
      <x:c r="E11" s="20" t="str">
        <x:v>C04</x:v>
      </x:c>
      <x:c r="F11" s="20" t="str">
        <x:v>Attenlo_PDF_Monetization_and_Growth_Plan_2026-09-27.md; Attenlo_PDF_36_Month_Growth_Notes.md</x:v>
      </x:c>
    </x:row>
    <x:row r="12" ht="38" customHeight="1">
      <x:c r="A12" s="20" t="str">
        <x:v>global_monthly</x:v>
      </x:c>
      <x:c r="B12" s="26" t="n">
        <x:v>5.99</x:v>
      </x:c>
      <x:c r="C12" s="20" t="str">
        <x:v>USD before local tax</x:v>
      </x:c>
      <x:c r="D12" s="20" t="str">
        <x:v>Proposed USD anchor.</x:v>
      </x:c>
      <x:c r="E12" s="20" t="str">
        <x:v>C04</x:v>
      </x:c>
      <x:c r="F12" s="20" t="str">
        <x:v>Attenlo_PDF_Monetization_and_Growth_Plan_2026-09-27.md; Attenlo_PDF_36_Month_Growth_Notes.md</x:v>
      </x:c>
    </x:row>
    <x:row r="13" ht="38" customHeight="1">
      <x:c r="A13" s="20" t="str">
        <x:v>india_sales_tax</x:v>
      </x:c>
      <x:c r="B13" s="30" t="n">
        <x:v>0.18</x:v>
      </x:c>
      <x:c r="C13" s="20" t="str">
        <x:v>rate</x:v>
      </x:c>
      <x:c r="D13" s="20" t="str">
        <x:v>Accountant-review tax assumption.</x:v>
      </x:c>
      <x:c r="E13" s="20" t="str">
        <x:v>C04</x:v>
      </x:c>
      <x:c r="F13" s="20" t="str">
        <x:v>Attenlo_PDF_Monetization_and_Growth_Plan_2026-09-27.md; Attenlo_PDF_36_Month_Growth_Notes.md</x:v>
      </x:c>
    </x:row>
    <x:row r="14" ht="38" customHeight="1">
      <x:c r="A14" s="20" t="str">
        <x:v>refund</x:v>
      </x:c>
      <x:c r="B14" s="30" t="n">
        <x:v>0.03</x:v>
      </x:c>
      <x:c r="C14" s="20" t="str">
        <x:v>rate</x:v>
      </x:c>
      <x:c r="D14" s="20" t="str">
        <x:v>Planning reserve; replace with actual cohorts.</x:v>
      </x:c>
      <x:c r="E14" s="20" t="str">
        <x:v>C04</x:v>
      </x:c>
      <x:c r="F14" s="20" t="str">
        <x:v>Attenlo_PDF_Monetization_and_Growth_Plan_2026-09-27.md; Attenlo_PDF_36_Month_Growth_Notes.md</x:v>
      </x:c>
    </x:row>
    <x:row r="15" ht="38" customHeight="1">
      <x:c r="A15" s="20" t="str">
        <x:v>subscription_fee</x:v>
      </x:c>
      <x:c r="B15" s="28" t="n">
        <x:v>0.01</x:v>
      </x:c>
      <x:c r="C15" s="20" t="str">
        <x:v>rate</x:v>
      </x:c>
      <x:c r="D15" s="20" t="str">
        <x:v>Conservative recurring-tool reserve.</x:v>
      </x:c>
      <x:c r="E15" s="20" t="str">
        <x:v>C03</x:v>
      </x:c>
      <x:c r="F15" s="20" t="str">
        <x:v>https://www.revenuecat.com/pricing</x:v>
      </x:c>
    </x:row>
    <x:row r="16" ht="38" customHeight="1">
      <x:c r="A16" s="20" t="str">
        <x:v>india_web_fee</x:v>
      </x:c>
      <x:c r="B16" s="28" t="n">
        <x:v>0.0236</x:v>
      </x:c>
      <x:c r="C16" s="20" t="str">
        <x:v>rate of sticker price</x:v>
      </x:c>
      <x:c r="D16" s="20" t="str">
        <x:v>Modeled 2% fee plus fee tax; actual contract may differ.</x:v>
      </x:c>
      <x:c r="E16" s="20" t="str">
        <x:v>C02</x:v>
      </x:c>
      <x:c r="F16" s="20" t="str">
        <x:v>https://razorpay.com/pricing/</x:v>
      </x:c>
    </x:row>
    <x:row r="17" ht="38" customHeight="1">
      <x:c r="A17" s="20" t="str">
        <x:v>global_web_fee</x:v>
      </x:c>
      <x:c r="B17" s="28" t="n">
        <x:v>0.05</x:v>
      </x:c>
      <x:c r="C17" s="20" t="str">
        <x:v>rate of sticker price</x:v>
      </x:c>
      <x:c r="D17" s="20" t="str">
        <x:v>Published standard percentage; subject to contract.</x:v>
      </x:c>
      <x:c r="E17" s="20" t="str">
        <x:v>C01</x:v>
      </x:c>
      <x:c r="F17" s="20" t="str">
        <x:v>https://www.paddle.com/pricing</x:v>
      </x:c>
    </x:row>
    <x:row r="18" ht="38" customHeight="1">
      <x:c r="A18" s="20" t="str">
        <x:v>global_web_fixed</x:v>
      </x:c>
      <x:c r="B18" s="24" t="n">
        <x:v>0.5</x:v>
      </x:c>
      <x:c r="C18" s="20" t="str">
        <x:v>USD / transaction</x:v>
      </x:c>
      <x:c r="D18" s="20" t="str">
        <x:v>Published standard fixed component; subject to contract.</x:v>
      </x:c>
      <x:c r="E18" s="20" t="str">
        <x:v>C01</x:v>
      </x:c>
      <x:c r="F18" s="20" t="str">
        <x:v>https://www.paddle.com/pricing</x:v>
      </x:c>
    </x:row>
    <x:row r="19" ht="38" customHeight="1">
      <x:c r="A19" s="20" t="str">
        <x:v>store_fee</x:v>
      </x:c>
      <x:c r="B19" s="30" t="n">
        <x:v>0.15</x:v>
      </x:c>
      <x:c r="C19" s="20" t="str">
        <x:v>rate of net sales</x:v>
      </x:c>
      <x:c r="D19" s="20" t="str">
        <x:v>Eligibility/channel assumption, not universal.</x:v>
      </x:c>
      <x:c r="E19" s="20" t="str">
        <x:v>C04</x:v>
      </x:c>
      <x:c r="F19" s="20" t="str">
        <x:v>Attenlo_PDF_Monetization_and_Growth_Plan_2026-09-27.md; Attenlo_PDF_36_Month_Growth_Notes.md</x:v>
      </x:c>
    </x:row>
    <x:row r="20" ht="38" customHeight="1">
      <x:c r="A20" s="20" t="str">
        <x:v>job_cost</x:v>
      </x:c>
      <x:c r="B20" s="26" t="n">
        <x:v>0.1287</x:v>
      </x:c>
      <x:c r="C20" s="20" t="str">
        <x:v>INR / planned job</x:v>
      </x:c>
      <x:c r="D20" s="20" t="str">
        <x:v>Inherited model with contingency, not measured usage.</x:v>
      </x:c>
      <x:c r="E20" s="20" t="str">
        <x:v>C04</x:v>
      </x:c>
      <x:c r="F20" s="20" t="str">
        <x:v>Attenlo_PDF_Monetization_and_Growth_Plan_2026-09-27.md; Attenlo_PDF_36_Month_Growth_Notes.md</x:v>
      </x:c>
    </x:row>
    <x:row r="21" ht="38" customHeight="1">
      <x:c r="A21" s="20" t="str">
        <x:v>paid_jobs</x:v>
      </x:c>
      <x:c r="B21" s="26" t="n">
        <x:v>50</x:v>
      </x:c>
      <x:c r="C21" s="20" t="str">
        <x:v>jobs / payer / month</x:v>
      </x:c>
      <x:c r="D21" s="20" t="str">
        <x:v>Usage hypothesis, not the allowance.</x:v>
      </x:c>
      <x:c r="E21" s="20" t="str">
        <x:v>C04</x:v>
      </x:c>
      <x:c r="F21" s="20" t="str">
        <x:v>Attenlo_PDF_Monetization_and_Growth_Plan_2026-09-27.md; Attenlo_PDF_36_Month_Growth_Notes.md</x:v>
      </x:c>
    </x:row>
    <x:row r="22" ht="38" customHeight="1">
      <x:c r="A22" s="20" t="str">
        <x:v>free_per_payer</x:v>
      </x:c>
      <x:c r="B22" s="26" t="n">
        <x:v>20</x:v>
      </x:c>
      <x:c r="C22" s="20" t="str">
        <x:v>active free users / payer</x:v>
      </x:c>
      <x:c r="D22" s="20" t="str">
        <x:v>Free population allocation hypothesis.</x:v>
      </x:c>
      <x:c r="E22" s="20" t="str">
        <x:v>C04</x:v>
      </x:c>
      <x:c r="F22" s="20" t="str">
        <x:v>Attenlo_PDF_Monetization_and_Growth_Plan_2026-09-27.md; Attenlo_PDF_36_Month_Growth_Notes.md</x:v>
      </x:c>
    </x:row>
    <x:row r="23" ht="38" customHeight="1">
      <x:c r="A23" s="20" t="str">
        <x:v>free_jobs</x:v>
      </x:c>
      <x:c r="B23" s="26" t="n">
        <x:v>3</x:v>
      </x:c>
      <x:c r="C23" s="20" t="str">
        <x:v>jobs / free user / month</x:v>
      </x:c>
      <x:c r="D23" s="20" t="str">
        <x:v>Full modeled free allowance used.</x:v>
      </x:c>
      <x:c r="E23" s="20" t="str">
        <x:v>C04</x:v>
      </x:c>
      <x:c r="F23" s="20" t="str">
        <x:v>Attenlo_PDF_Monetization_and_Growth_Plan_2026-09-27.md; Attenlo_PDF_36_Month_Growth_Notes.md</x:v>
      </x:c>
    </x:row>
    <x:row r="24" ht="38" customHeight="1">
      <x:c r="A24" s="20" t="str">
        <x:v>support</x:v>
      </x:c>
      <x:c r="B24" s="26" t="n">
        <x:v>5</x:v>
      </x:c>
      <x:c r="C24" s="20" t="str">
        <x:v>INR / payer / month</x:v>
      </x:c>
      <x:c r="D24" s="20" t="str">
        <x:v>Variable cash reserve; founder time extra.</x:v>
      </x:c>
      <x:c r="E24" s="20" t="str">
        <x:v>C04</x:v>
      </x:c>
      <x:c r="F24" s="20" t="str">
        <x:v>Attenlo_PDF_Monetization_and_Growth_Plan_2026-09-27.md; Attenlo_PDF_36_Month_Growth_Notes.md</x:v>
      </x:c>
    </x:row>
    <x:row r="25" ht="38" customHeight="1">
      <x:c r="A25" s="20" t="str">
        <x:v>months</x:v>
      </x:c>
      <x:c r="B25" s="24" t="n">
        <x:v>12</x:v>
      </x:c>
      <x:c r="C25" s="20" t="str">
        <x:v>months / annual term</x:v>
      </x:c>
      <x:c r="D25" s="20" t="str">
        <x:v>Contract duration.</x:v>
      </x:c>
      <x:c r="E25" s="20" t="str">
        <x:v>Policy</x:v>
      </x:c>
      <x:c r="F25" s="20" t="str">
        <x:v>Management proposal; 28 September 2026</x:v>
      </x:c>
    </x:row>
    <x:row r="26" ht="38" customHeight="1">
      <x:c r="A26" s="20" t="str">
        <x:v>annual_mix</x:v>
      </x:c>
      <x:c r="B26" s="30" t="n">
        <x:v>0.75</x:v>
      </x:c>
      <x:c r="C26" s="20" t="str">
        <x:v>annual share of new buyers</x:v>
      </x:c>
      <x:c r="D26" s="20" t="str">
        <x:v>Hypothesis; replace by actual channel mix.</x:v>
      </x:c>
      <x:c r="E26" s="20" t="str">
        <x:v>C04</x:v>
      </x:c>
      <x:c r="F26" s="20" t="str">
        <x:v>Attenlo_PDF_Monetization_and_Growth_Plan_2026-09-27.md; Attenlo_PDF_36_Month_Growth_Notes.md</x:v>
      </x:c>
    </x:row>
    <x:row r="27" ht="38" customHeight="1">
      <x:c r="A27" s="20" t="str">
        <x:v>cac_share</x:v>
      </x:c>
      <x:c r="B27" s="30" t="n">
        <x:v>0.3</x:v>
      </x:c>
      <x:c r="C27" s="20" t="str">
        <x:v>share of committed contribution</x:v>
      </x:c>
      <x:c r="D27" s="20" t="str">
        <x:v>Risk policy, not an observed market CAC.</x:v>
      </x:c>
      <x:c r="E27" s="20" t="str">
        <x:v>Proposal</x:v>
      </x:c>
      <x:c r="F27" s="20" t="str">
        <x:v>Management proposal; 28 September 2026</x:v>
      </x:c>
    </x:row>
    <x:row r="28" ht="38" customHeight="1">
      <x:c r="A28" s="20" t="str">
        <x:v>ad_tax</x:v>
      </x:c>
      <x:c r="B28" s="30" t="n">
        <x:v>0.18</x:v>
      </x:c>
      <x:c r="C28" s="20" t="str">
        <x:v>nonrecoverable ad cash tax / fee</x:v>
      </x:c>
      <x:c r="D28" s="20" t="str">
        <x:v>Accountant-review placeholder; included within cash cap.</x:v>
      </x:c>
      <x:c r="E28" s="20" t="str">
        <x:v>Proposal</x:v>
      </x:c>
      <x:c r="F28" s="20" t="str">
        <x:v>Management proposal; 28 September 2026</x:v>
      </x:c>
    </x:row>
    <x:row r="29" ht="38" customHeight="1">
      <x:c r="A29" s="20" t="str">
        <x:v>creative_rate</x:v>
      </x:c>
      <x:c r="B29" s="30" t="n">
        <x:v>0.25</x:v>
      </x:c>
      <x:c r="C29" s="20" t="str">
        <x:v>share of delivered media</x:v>
      </x:c>
      <x:c r="D29" s="20" t="str">
        <x:v>Illustrative proportional creative burden for CPC boundary.</x:v>
      </x:c>
      <x:c r="E29" s="20" t="str">
        <x:v>Proposal</x:v>
      </x:c>
      <x:c r="F29" s="20" t="str">
        <x:v>Management proposal; 28 September 2026</x:v>
      </x:c>
    </x:row>
    <x:row r="30" ht="38" customHeight="1">
      <x:c r="A30" s="20" t="str">
        <x:v>diagnostic</x:v>
      </x:c>
      <x:c r="B30" s="26" t="n">
        <x:v>4000</x:v>
      </x:c>
      <x:c r="C30" s="20" t="str">
        <x:v>INR gross cash media</x:v>
      </x:c>
      <x:c r="D30" s="20" t="str">
        <x:v>Approval required; tax/fees inside.</x:v>
      </x:c>
      <x:c r="E30" s="20" t="str">
        <x:v>Proposal</x:v>
      </x:c>
      <x:c r="F30" s="20" t="str">
        <x:v>Management proposal; 28 September 2026</x:v>
      </x:c>
    </x:row>
    <x:row r="31" ht="38" customHeight="1">
      <x:c r="A31" s="20" t="str">
        <x:v>replication</x:v>
      </x:c>
      <x:c r="B31" s="26" t="n">
        <x:v>8000</x:v>
      </x:c>
      <x:c r="C31" s="20" t="str">
        <x:v>INR gross cash media</x:v>
      </x:c>
      <x:c r="D31" s="20" t="str">
        <x:v>Conditional release only.</x:v>
      </x:c>
      <x:c r="E31" s="20" t="str">
        <x:v>Proposal</x:v>
      </x:c>
      <x:c r="F31" s="20" t="str">
        <x:v>Management proposal; 28 September 2026</x:v>
      </x:c>
    </x:row>
    <x:row r="32" ht="38" customHeight="1">
      <x:c r="A32" s="20" t="str">
        <x:v>expansion</x:v>
      </x:c>
      <x:c r="B32" s="26" t="n">
        <x:v>12000</x:v>
      </x:c>
      <x:c r="C32" s="20" t="str">
        <x:v>INR gross cash media</x:v>
      </x:c>
      <x:c r="D32" s="20" t="str">
        <x:v>Conditional release only.</x:v>
      </x:c>
      <x:c r="E32" s="20" t="str">
        <x:v>Proposal</x:v>
      </x:c>
      <x:c r="F32" s="20" t="str">
        <x:v>Management proposal; 28 September 2026</x:v>
      </x:c>
    </x:row>
    <x:row r="33" ht="38" customHeight="1">
      <x:c r="A33" s="20" t="str">
        <x:v>creative_cash</x:v>
      </x:c>
      <x:c r="B33" s="26" t="n">
        <x:v>8000</x:v>
      </x:c>
      <x:c r="C33" s="20" t="str">
        <x:v>INR gross cash</x:v>
      </x:c>
      <x:c r="D33" s="20" t="str">
        <x:v>Production/research budget ceiling.</x:v>
      </x:c>
      <x:c r="E33" s="20" t="str">
        <x:v>Proposal</x:v>
      </x:c>
      <x:c r="F33" s="20" t="str">
        <x:v>Management proposal; 28 September 2026</x:v>
      </x:c>
    </x:row>
    <x:row r="34" ht="38" customHeight="1">
      <x:c r="A34" s="20" t="str">
        <x:v>reserve_cash</x:v>
      </x:c>
      <x:c r="B34" s="26" t="n">
        <x:v>8000</x:v>
      </x:c>
      <x:c r="C34" s="20" t="str">
        <x:v>INR unspent contingency</x:v>
      </x:c>
      <x:c r="D34" s="20" t="str">
        <x:v>Not expense until specifically approved and spent.</x:v>
      </x:c>
      <x:c r="E34" s="20" t="str">
        <x:v>Proposal</x:v>
      </x:c>
      <x:c r="F34" s="20" t="str">
        <x:v>Management proposal; 28 September 2026</x:v>
      </x:c>
    </x:row>
    <x:row r="35" ht="38" customHeight="1">
      <x:c r="A35" s="20" t="str">
        <x:v>cvr</x:v>
      </x:c>
      <x:c r="B35" s="30" t="n">
        <x:v>0.02</x:v>
      </x:c>
      <x:c r="C35" s="20" t="str">
        <x:v>click-to-first-paid</x:v>
      </x:c>
      <x:c r="D35" s="20" t="str">
        <x:v>Hypothesis; not activation rate.</x:v>
      </x:c>
      <x:c r="E35" s="20" t="str">
        <x:v>Proposal</x:v>
      </x:c>
      <x:c r="F35" s="20" t="str">
        <x:v>Management proposal; 28 September 2026</x:v>
      </x:c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  <x:row r="44">
      <x:c r="A44" s="2"/>
      <x:c r="B44" s="2"/>
      <x:c r="C44" s="2"/>
      <x:c r="D44" s="2"/>
      <x:c r="E44" s="2"/>
      <x:c r="F44" s="2"/>
    </x:row>
    <x:row r="45">
      <x:c r="A45" s="2"/>
      <x:c r="B45" s="2"/>
      <x:c r="C45" s="2"/>
      <x:c r="D45" s="2"/>
      <x:c r="E45" s="2"/>
      <x:c r="F45" s="2"/>
    </x:row>
    <x:row r="46">
      <x:c r="A46" s="2"/>
      <x:c r="B46" s="2"/>
      <x:c r="C46" s="2"/>
      <x:c r="D46" s="2"/>
      <x:c r="E46" s="2"/>
      <x:c r="F46" s="2"/>
    </x:row>
    <x:row r="47">
      <x:c r="A47" s="2"/>
      <x:c r="B47" s="2"/>
      <x:c r="C47" s="2"/>
      <x:c r="D47" s="2"/>
      <x:c r="E47" s="2"/>
      <x:c r="F47" s="2"/>
    </x:row>
    <x:row r="48">
      <x:c r="A48" s="2"/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  <x:row r="61">
      <x:c r="A61" s="2"/>
      <x:c r="B61" s="2"/>
      <x:c r="C61" s="2"/>
      <x:c r="D61" s="2"/>
      <x:c r="E61" s="2"/>
      <x:c r="F61" s="2"/>
    </x:row>
    <x:row r="62">
      <x:c r="A62" s="2"/>
      <x:c r="B62" s="2"/>
      <x:c r="C62" s="2"/>
      <x:c r="D62" s="2"/>
      <x:c r="E62" s="2"/>
      <x:c r="F62" s="2"/>
    </x:row>
    <x:row r="63">
      <x:c r="A63" s="2"/>
      <x:c r="B63" s="2"/>
      <x:c r="C63" s="2"/>
      <x:c r="D63" s="2"/>
      <x:c r="E63" s="2"/>
      <x:c r="F63" s="2"/>
    </x:row>
    <x:row r="64">
      <x:c r="A64" s="2"/>
      <x:c r="B64" s="2"/>
      <x:c r="C64" s="2"/>
      <x:c r="D64" s="2"/>
      <x:c r="E64" s="2"/>
      <x:c r="F64" s="2"/>
    </x:row>
    <x:row r="65">
      <x:c r="A65" s="2"/>
      <x:c r="B65" s="2"/>
      <x:c r="C65" s="2"/>
      <x:c r="D65" s="2"/>
      <x:c r="E65" s="2"/>
      <x:c r="F65" s="2"/>
    </x:row>
    <x:row r="66">
      <x:c r="A66" s="2"/>
      <x:c r="B66" s="2"/>
      <x:c r="C66" s="2"/>
      <x:c r="D66" s="2"/>
      <x:c r="E66" s="2"/>
      <x:c r="F66" s="2"/>
    </x:row>
    <x:row r="67">
      <x:c r="A67" s="2"/>
      <x:c r="B67" s="2"/>
      <x:c r="C67" s="2"/>
      <x:c r="D67" s="2"/>
      <x:c r="E67" s="2"/>
      <x:c r="F67" s="2"/>
    </x:row>
    <x:row r="68">
      <x:c r="A68" s="2"/>
      <x:c r="B68" s="2"/>
      <x:c r="C68" s="2"/>
      <x:c r="D68" s="2"/>
      <x:c r="E68" s="2"/>
      <x:c r="F68" s="2"/>
    </x:row>
    <x:row r="69">
      <x:c r="A69" s="2"/>
      <x:c r="B69" s="2"/>
      <x:c r="C69" s="2"/>
      <x:c r="D69" s="2"/>
      <x:c r="E69" s="2"/>
      <x:c r="F69" s="2"/>
    </x:row>
    <x:row r="70">
      <x:c r="A70" s="2"/>
      <x:c r="B70" s="2"/>
      <x:c r="C70" s="2"/>
      <x:c r="D70" s="2"/>
      <x:c r="E70" s="2"/>
      <x:c r="F70" s="2"/>
    </x:row>
    <x:row r="71">
      <x:c r="A71" s="2"/>
      <x:c r="B71" s="2"/>
      <x:c r="C71" s="2"/>
      <x:c r="D71" s="2"/>
      <x:c r="E71" s="2"/>
      <x:c r="F71" s="2"/>
    </x:row>
    <x:row r="72">
      <x:c r="A72" s="2"/>
      <x:c r="B72" s="2"/>
      <x:c r="C72" s="2"/>
      <x:c r="D72" s="2"/>
      <x:c r="E72" s="2"/>
      <x:c r="F72" s="2"/>
    </x:row>
    <x:row r="73">
      <x:c r="A73" s="2"/>
      <x:c r="B73" s="2"/>
      <x:c r="C73" s="2"/>
      <x:c r="D73" s="2"/>
      <x:c r="E73" s="2"/>
      <x:c r="F73" s="2"/>
    </x:row>
    <x:row r="74">
      <x:c r="A74" s="2"/>
      <x:c r="B74" s="2"/>
      <x:c r="C74" s="2"/>
      <x:c r="D74" s="2"/>
      <x:c r="E74" s="2"/>
      <x:c r="F74" s="2"/>
    </x:row>
    <x:row r="75">
      <x:c r="A75" s="2"/>
      <x:c r="B75" s="2"/>
      <x:c r="C75" s="2"/>
      <x:c r="D75" s="2"/>
      <x:c r="E75" s="2"/>
      <x:c r="F75" s="2"/>
    </x:row>
    <x:row r="76">
      <x:c r="A76" s="2"/>
      <x:c r="B76" s="2"/>
      <x:c r="C76" s="2"/>
      <x:c r="D76" s="2"/>
      <x:c r="E76" s="2"/>
      <x:c r="F76" s="2"/>
    </x:row>
    <x:row r="77">
      <x:c r="A77" s="2"/>
      <x:c r="B77" s="2"/>
      <x:c r="C77" s="2"/>
      <x:c r="D77" s="2"/>
      <x:c r="E77" s="2"/>
      <x:c r="F77" s="2"/>
    </x:row>
    <x:row r="78">
      <x:c r="A78" s="2"/>
      <x:c r="B78" s="2"/>
      <x:c r="C78" s="2"/>
      <x:c r="D78" s="2"/>
      <x:c r="E78" s="2"/>
      <x:c r="F78" s="2"/>
    </x:row>
    <x:row r="79">
      <x:c r="A79" s="2"/>
      <x:c r="B79" s="2"/>
      <x:c r="C79" s="2"/>
      <x:c r="D79" s="2"/>
      <x:c r="E79" s="2"/>
      <x:c r="F79" s="2"/>
    </x:row>
    <x:row r="80">
      <x:c r="A80" s="2"/>
      <x:c r="B80" s="2"/>
      <x:c r="C80" s="2"/>
      <x:c r="D80" s="2"/>
      <x:c r="E80" s="2"/>
      <x:c r="F80" s="2"/>
    </x:row>
    <x:row r="81">
      <x:c r="A81" s="2"/>
      <x:c r="B81" s="2"/>
      <x:c r="C81" s="2"/>
      <x:c r="D81" s="2"/>
      <x:c r="E81" s="2"/>
      <x:c r="F81" s="2"/>
    </x:row>
    <x:row r="82">
      <x:c r="A82" s="2"/>
      <x:c r="B82" s="2"/>
      <x:c r="C82" s="2"/>
      <x:c r="D82" s="2"/>
      <x:c r="E82" s="2"/>
      <x:c r="F82" s="2"/>
    </x:row>
    <x:row r="83">
      <x:c r="A83" s="2"/>
      <x:c r="B83" s="2"/>
      <x:c r="C83" s="2"/>
      <x:c r="D83" s="2"/>
      <x:c r="E83" s="2"/>
      <x:c r="F83" s="2"/>
    </x:row>
    <x:row r="84">
      <x:c r="A84" s="2"/>
      <x:c r="B84" s="2"/>
      <x:c r="C84" s="2"/>
      <x:c r="D84" s="2"/>
      <x:c r="E84" s="2"/>
      <x:c r="F84" s="2"/>
    </x:row>
    <x:row r="85">
      <x:c r="A85" s="2"/>
      <x:c r="B85" s="2"/>
      <x:c r="C85" s="2"/>
      <x:c r="D85" s="2"/>
      <x:c r="E85" s="2"/>
      <x:c r="F85" s="2"/>
    </x:row>
    <x:row r="86">
      <x:c r="A86" s="2"/>
      <x:c r="B86" s="2"/>
      <x:c r="C86" s="2"/>
      <x:c r="D86" s="2"/>
      <x:c r="E86" s="2"/>
      <x:c r="F86" s="2"/>
    </x:row>
    <x:row r="87">
      <x:c r="A87" s="2"/>
      <x:c r="B87" s="2"/>
      <x:c r="C87" s="2"/>
      <x:c r="D87" s="2"/>
      <x:c r="E87" s="2"/>
      <x:c r="F87" s="2"/>
    </x:row>
    <x:row r="88">
      <x:c r="A88" s="2"/>
      <x:c r="B88" s="2"/>
      <x:c r="C88" s="2"/>
      <x:c r="D88" s="2"/>
      <x:c r="E88" s="2"/>
      <x:c r="F88" s="2"/>
    </x:row>
    <x:row r="89">
      <x:c r="A89" s="2"/>
      <x:c r="B89" s="2"/>
      <x:c r="C89" s="2"/>
      <x:c r="D89" s="2"/>
      <x:c r="E89" s="2"/>
      <x:c r="F89" s="2"/>
    </x:row>
    <x:row r="90">
      <x:c r="A90" s="2"/>
      <x:c r="B90" s="2"/>
      <x:c r="C90" s="2"/>
      <x:c r="D90" s="2"/>
      <x:c r="E90" s="2"/>
      <x:c r="F90" s="2"/>
    </x:row>
    <x:row r="91">
      <x:c r="A91" s="2"/>
      <x:c r="B91" s="2"/>
      <x:c r="C91" s="2"/>
      <x:c r="D91" s="2"/>
      <x:c r="E91" s="2"/>
      <x:c r="F91" s="2"/>
    </x:row>
    <x:row r="92">
      <x:c r="A92" s="2"/>
      <x:c r="B92" s="2"/>
      <x:c r="C92" s="2"/>
      <x:c r="D92" s="2"/>
      <x:c r="E92" s="2"/>
      <x:c r="F92" s="2"/>
    </x:row>
    <x:row r="93">
      <x:c r="A93" s="2"/>
      <x:c r="B93" s="2"/>
      <x:c r="C93" s="2"/>
      <x:c r="D93" s="2"/>
      <x:c r="E93" s="2"/>
      <x:c r="F93" s="2"/>
    </x:row>
    <x:row r="94">
      <x:c r="A94" s="2"/>
      <x:c r="B94" s="2"/>
      <x:c r="C94" s="2"/>
      <x:c r="D94" s="2"/>
      <x:c r="E94" s="2"/>
      <x:c r="F94" s="2"/>
    </x:row>
    <x:row r="95">
      <x:c r="A95" s="2"/>
      <x:c r="B95" s="2"/>
      <x:c r="C95" s="2"/>
      <x:c r="D95" s="2"/>
      <x:c r="E95" s="2"/>
      <x:c r="F95" s="2"/>
    </x:row>
    <x:row r="96">
      <x:c r="A96" s="2"/>
      <x:c r="B96" s="2"/>
      <x:c r="C96" s="2"/>
      <x:c r="D96" s="2"/>
      <x:c r="E96" s="2"/>
      <x:c r="F96" s="2"/>
    </x:row>
    <x:row r="97">
      <x:c r="A97" s="2"/>
      <x:c r="B97" s="2"/>
      <x:c r="C97" s="2"/>
      <x:c r="D97" s="2"/>
      <x:c r="E97" s="2"/>
      <x:c r="F97" s="2"/>
    </x:row>
    <x:row r="98">
      <x:c r="A98" s="2"/>
      <x:c r="B98" s="2"/>
      <x:c r="C98" s="2"/>
      <x:c r="D98" s="2"/>
      <x:c r="E98" s="2"/>
      <x:c r="F98" s="2"/>
    </x:row>
    <x:row r="99">
      <x:c r="A99" s="2"/>
      <x:c r="B99" s="2"/>
      <x:c r="C99" s="2"/>
      <x:c r="D99" s="2"/>
      <x:c r="E99" s="2"/>
      <x:c r="F99" s="2"/>
    </x:row>
    <x:row r="100">
      <x:c r="A100" s="2"/>
      <x:c r="B100" s="2"/>
      <x:c r="C100" s="2"/>
      <x:c r="D100" s="2"/>
      <x:c r="E100" s="2"/>
      <x:c r="F100" s="2"/>
    </x:row>
    <x:row r="101">
      <x:c r="A101" s="2"/>
      <x:c r="B101" s="2"/>
      <x:c r="C101" s="2"/>
      <x:c r="D101" s="2"/>
      <x:c r="E101" s="2"/>
      <x:c r="F101" s="2"/>
    </x:row>
    <x:row r="102">
      <x:c r="A102" s="2"/>
      <x:c r="B102" s="2"/>
      <x:c r="C102" s="2"/>
      <x:c r="D102" s="2"/>
      <x:c r="E102" s="2"/>
      <x:c r="F102" s="2"/>
    </x:row>
    <x:row r="103">
      <x:c r="A103" s="2"/>
      <x:c r="B103" s="2"/>
      <x:c r="C103" s="2"/>
      <x:c r="D103" s="2"/>
      <x:c r="E103" s="2"/>
      <x:c r="F103" s="2"/>
    </x:row>
    <x:row r="104">
      <x:c r="A104" s="2"/>
      <x:c r="B104" s="2"/>
      <x:c r="C104" s="2"/>
      <x:c r="D104" s="2"/>
      <x:c r="E104" s="2"/>
      <x:c r="F104" s="2"/>
    </x:row>
    <x:row r="105">
      <x:c r="A105" s="2"/>
      <x:c r="B105" s="2"/>
      <x:c r="C105" s="2"/>
      <x:c r="D105" s="2"/>
      <x:c r="E105" s="2"/>
      <x:c r="F105" s="2"/>
    </x:row>
    <x:row r="106">
      <x:c r="A106" s="2"/>
      <x:c r="B106" s="2"/>
      <x:c r="C106" s="2"/>
      <x:c r="D106" s="2"/>
      <x:c r="E106" s="2"/>
      <x:c r="F106" s="2"/>
    </x:row>
    <x:row r="107">
      <x:c r="A107" s="2"/>
      <x:c r="B107" s="2"/>
      <x:c r="C107" s="2"/>
      <x:c r="D107" s="2"/>
      <x:c r="E107" s="2"/>
      <x:c r="F107" s="2"/>
    </x:row>
    <x:row r="108">
      <x:c r="A108" s="2"/>
      <x:c r="B108" s="2"/>
      <x:c r="C108" s="2"/>
      <x:c r="D108" s="2"/>
      <x:c r="E108" s="2"/>
      <x:c r="F108" s="2"/>
    </x:row>
    <x:row r="109">
      <x:c r="A109" s="2"/>
      <x:c r="B109" s="2"/>
      <x:c r="C109" s="2"/>
      <x:c r="D109" s="2"/>
      <x:c r="E109" s="2"/>
      <x:c r="F109" s="2"/>
    </x:row>
    <x:row r="110">
      <x:c r="A110" s="2"/>
      <x:c r="B110" s="2"/>
      <x:c r="C110" s="2"/>
      <x:c r="D110" s="2"/>
      <x:c r="E110" s="2"/>
      <x:c r="F110" s="2"/>
    </x:row>
    <x:row r="111">
      <x:c r="A111" s="2"/>
      <x:c r="B111" s="2"/>
      <x:c r="C111" s="2"/>
      <x:c r="D111" s="2"/>
      <x:c r="E111" s="2"/>
      <x:c r="F111" s="2"/>
    </x:row>
    <x:row r="112">
      <x:c r="A112" s="2"/>
      <x:c r="B112" s="2"/>
      <x:c r="C112" s="2"/>
      <x:c r="D112" s="2"/>
      <x:c r="E112" s="2"/>
      <x:c r="F112" s="2"/>
    </x:row>
    <x:row r="113">
      <x:c r="A113" s="2"/>
      <x:c r="B113" s="2"/>
      <x:c r="C113" s="2"/>
      <x:c r="D113" s="2"/>
      <x:c r="E113" s="2"/>
      <x:c r="F113" s="2"/>
    </x:row>
    <x:row r="114">
      <x:c r="A114" s="2"/>
      <x:c r="B114" s="2"/>
      <x:c r="C114" s="2"/>
      <x:c r="D114" s="2"/>
      <x:c r="E114" s="2"/>
      <x:c r="F114" s="2"/>
    </x:row>
    <x:row r="115">
      <x:c r="A115" s="2"/>
      <x:c r="B115" s="2"/>
      <x:c r="C115" s="2"/>
      <x:c r="D115" s="2"/>
      <x:c r="E115" s="2"/>
      <x:c r="F115" s="2"/>
    </x:row>
    <x:row r="116">
      <x:c r="A116" s="2"/>
      <x:c r="B116" s="2"/>
      <x:c r="C116" s="2"/>
      <x:c r="D116" s="2"/>
      <x:c r="E116" s="2"/>
      <x:c r="F116" s="2"/>
    </x:row>
    <x:row r="117">
      <x:c r="A117" s="2"/>
      <x:c r="B117" s="2"/>
      <x:c r="C117" s="2"/>
      <x:c r="D117" s="2"/>
      <x:c r="E117" s="2"/>
      <x:c r="F117" s="2"/>
    </x:row>
    <x:row r="118">
      <x:c r="A118" s="2"/>
      <x:c r="B118" s="2"/>
      <x:c r="C118" s="2"/>
      <x:c r="D118" s="2"/>
      <x:c r="E118" s="2"/>
      <x:c r="F118" s="2"/>
    </x:row>
    <x:row r="119">
      <x:c r="A119" s="2"/>
      <x:c r="B119" s="2"/>
      <x:c r="C119" s="2"/>
      <x:c r="D119" s="2"/>
      <x:c r="E119" s="2"/>
      <x:c r="F119" s="2"/>
    </x:row>
    <x:row r="120">
      <x:c r="A120" s="2"/>
      <x:c r="B120" s="2"/>
      <x:c r="C120" s="2"/>
      <x:c r="D120" s="2"/>
      <x:c r="E120" s="2"/>
      <x:c r="F120" s="2"/>
    </x:row>
  </x:sheetData>
  <x:mergeCells>
    <x:mergeCell ref="A1:F2"/>
    <x:mergeCell ref="A3:F4"/>
  </x:mergeCells>
  <x:pageMargins left="0.7" right="0.7" top="0.75" bottom="0.75" header="0.3" footer="0.3"/>
  <x:legacyDrawing xmlns:r="http://schemas.openxmlformats.org/officeDocument/2006/relationships" r:id="R6213d400b72b4f2c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5" customHeight="1">
      <x:c r="A1" s="6" t="str">
        <x:v>ACQUISITION LIMITS</x:v>
      </x:c>
      <x:c r="B1" s="6"/>
      <x:c r="C1" s="6"/>
      <x:c r="D1" s="6"/>
      <x:c r="E1" s="6"/>
    </x:row>
    <x:row r="2" ht="25" customHeight="1">
      <x:c r="A2" s="6"/>
      <x:c r="B2" s="6"/>
      <x:c r="C2" s="6"/>
      <x:c r="D2" s="6"/>
      <x:c r="E2" s="6"/>
    </x:row>
    <x:row r="3" ht="23" customHeight="1">
      <x:c r="A3" s="11" t="str">
        <x:v>First-commitment contribution: annual service reserved for 12 months; monthly buyers count only the first payment. No speculative renewal LTV.</x:v>
      </x:c>
      <x:c r="B3" s="11"/>
      <x:c r="C3" s="11"/>
      <x:c r="D3" s="11"/>
      <x:c r="E3" s="11"/>
    </x:row>
    <x:row r="4" ht="23" customHeight="1">
      <x:c r="A4" s="11"/>
      <x:c r="B4" s="11"/>
      <x:c r="C4" s="11"/>
      <x:c r="D4" s="11"/>
      <x:c r="E4" s="11"/>
    </x:row>
    <x:row r="5">
      <x:c r="A5" s="2"/>
      <x:c r="B5" s="2"/>
      <x:c r="C5" s="2"/>
      <x:c r="D5" s="2"/>
      <x:c r="E5" s="2"/>
    </x:row>
    <x:row r="6">
      <x:c r="A6" s="2"/>
      <x:c r="B6" s="2"/>
      <x:c r="C6" s="2"/>
      <x:c r="D6" s="2"/>
      <x:c r="E6" s="2"/>
    </x:row>
    <x:row r="7" ht="24" customHeight="1">
      <x:c r="A7" s="15" t="str">
        <x:v>INR unless stated</x:v>
      </x:c>
      <x:c r="B7" s="15" t="str">
        <x:v>India web</x:v>
      </x:c>
      <x:c r="C7" s="15" t="str">
        <x:v>India store</x:v>
      </x:c>
      <x:c r="D7" s="15" t="str">
        <x:v>Global web</x:v>
      </x:c>
      <x:c r="E7" s="15" t="str">
        <x:v>Global store</x:v>
      </x:c>
    </x:row>
    <x:row r="8" ht="24" customHeight="1">
      <x:c r="A8" s="20"/>
      <x:c r="B8" s="20"/>
      <x:c r="C8" s="20"/>
      <x:c r="D8" s="20"/>
      <x:c r="E8" s="20"/>
    </x:row>
    <x:row r="9" ht="24" customHeight="1">
      <x:c r="A9" s="20"/>
      <x:c r="B9" s="20"/>
      <x:c r="C9" s="20"/>
      <x:c r="D9" s="20"/>
      <x:c r="E9" s="20"/>
    </x:row>
    <x:row r="10" ht="24" customHeight="1">
      <x:c r="A10" s="20" t="str">
        <x:v>Annual sticker, INR</x:v>
      </x:c>
      <x:c r="B10" s="56" t="n">
        <x:f>'Inputs'!$B$9</x:f>
        <x:v>1999</x:v>
      </x:c>
      <x:c r="C10" s="56" t="n">
        <x:f>'Inputs'!$B$9</x:f>
        <x:v>1999</x:v>
      </x:c>
      <x:c r="D10" s="56" t="n">
        <x:f>'Inputs'!$B$11*'Inputs'!$B$8</x:f>
        <x:v>3599.1000000000004</x:v>
      </x:c>
      <x:c r="E10" s="56" t="n">
        <x:f>'Inputs'!$B$11*'Inputs'!$B$8</x:f>
        <x:v>3599.1000000000004</x:v>
      </x:c>
    </x:row>
    <x:row r="11" ht="24" customHeight="1">
      <x:c r="A11" s="20" t="str">
        <x:v>Annual revenue ex tax</x:v>
      </x:c>
      <x:c r="B11" s="56" t="n">
        <x:f>B10/(1+'Inputs'!$B$13)</x:f>
        <x:v>1694.0677966101696</x:v>
      </x:c>
      <x:c r="C11" s="56" t="n">
        <x:f>C10/(1+'Inputs'!$B$13)</x:f>
        <x:v>1694.0677966101696</x:v>
      </x:c>
      <x:c r="D11" s="57" t="n">
        <x:f>D10</x:f>
        <x:v>3599.1000000000004</x:v>
      </x:c>
      <x:c r="E11" s="57" t="n">
        <x:f>E10</x:f>
        <x:v>3599.1000000000004</x:v>
      </x:c>
    </x:row>
    <x:row r="12" ht="24" customHeight="1">
      <x:c r="A12" s="20" t="str">
        <x:v>Payment / store fee</x:v>
      </x:c>
      <x:c r="B12" s="56" t="n">
        <x:f>B10*'Inputs'!$B$16</x:f>
        <x:v>47.1764</x:v>
      </x:c>
      <x:c r="C12" s="56" t="n">
        <x:f>C11*'Inputs'!$B$19</x:f>
        <x:v>254.11016949152543</x:v>
      </x:c>
      <x:c r="D12" s="56" t="n">
        <x:f>D10*'Inputs'!$B$17+'Inputs'!$B$18*'Inputs'!$B$8</x:f>
        <x:v>224.95500000000004</x:v>
      </x:c>
      <x:c r="E12" s="56" t="n">
        <x:f>E11*'Inputs'!$B$19</x:f>
        <x:v>539.865</x:v>
      </x:c>
    </x:row>
    <x:row r="13" ht="24" customHeight="1">
      <x:c r="A13" s="20" t="str">
        <x:v>Refund reserve</x:v>
      </x:c>
      <x:c r="B13" s="56" t="n">
        <x:f>B11*'Inputs'!$B$14</x:f>
        <x:v>50.82203389830509</x:v>
      </x:c>
      <x:c r="C13" s="56" t="n">
        <x:f>C11*'Inputs'!$B$14</x:f>
        <x:v>50.82203389830509</x:v>
      </x:c>
      <x:c r="D13" s="56" t="n">
        <x:f>D11*'Inputs'!$B$14</x:f>
        <x:v>107.97300000000001</x:v>
      </x:c>
      <x:c r="E13" s="56" t="n">
        <x:f>E11*'Inputs'!$B$14</x:f>
        <x:v>107.97300000000001</x:v>
      </x:c>
    </x:row>
    <x:row r="14" ht="24" customHeight="1">
      <x:c r="A14" s="20" t="str">
        <x:v>Subscription tooling</x:v>
      </x:c>
      <x:c r="B14" s="56" t="n">
        <x:f>B10*'Inputs'!$B$15</x:f>
        <x:v>19.990000000000002</x:v>
      </x:c>
      <x:c r="C14" s="56" t="n">
        <x:f>C10*'Inputs'!$B$15</x:f>
        <x:v>19.990000000000002</x:v>
      </x:c>
      <x:c r="D14" s="56" t="n">
        <x:f>D10*'Inputs'!$B$15</x:f>
        <x:v>35.99100000000001</x:v>
      </x:c>
      <x:c r="E14" s="56" t="n">
        <x:f>E10*'Inputs'!$B$15</x:f>
        <x:v>35.99100000000001</x:v>
      </x:c>
    </x:row>
    <x:row r="15" ht="24" customHeight="1">
      <x:c r="A15" s="20" t="str">
        <x:v>Paid-user AI reserve</x:v>
      </x:c>
      <x:c r="B15" s="56" t="n">
        <x:f>'Inputs'!$B$20*'Inputs'!$B$21*'Inputs'!$B$25</x:f>
        <x:v>77.22</x:v>
      </x:c>
      <x:c r="C15" s="56" t="n">
        <x:f>'Inputs'!$B$20*'Inputs'!$B$21*'Inputs'!$B$25</x:f>
        <x:v>77.22</x:v>
      </x:c>
      <x:c r="D15" s="56" t="n">
        <x:f>'Inputs'!$B$20*'Inputs'!$B$21*'Inputs'!$B$25</x:f>
        <x:v>77.22</x:v>
      </x:c>
      <x:c r="E15" s="56" t="n">
        <x:f>'Inputs'!$B$20*'Inputs'!$B$21*'Inputs'!$B$25</x:f>
        <x:v>77.22</x:v>
      </x:c>
    </x:row>
    <x:row r="16" ht="24" customHeight="1">
      <x:c r="A16" s="20" t="str">
        <x:v>Free-user AI allocation</x:v>
      </x:c>
      <x:c r="B16" s="56" t="n">
        <x:f>'Inputs'!$B$20*'Inputs'!$B$23*'Inputs'!$B$22*'Inputs'!$B$25</x:f>
        <x:v>92.66399999999999</x:v>
      </x:c>
      <x:c r="C16" s="56" t="n">
        <x:f>'Inputs'!$B$20*'Inputs'!$B$23*'Inputs'!$B$22*'Inputs'!$B$25</x:f>
        <x:v>92.66399999999999</x:v>
      </x:c>
      <x:c r="D16" s="56" t="n">
        <x:f>'Inputs'!$B$20*'Inputs'!$B$23*'Inputs'!$B$22*'Inputs'!$B$25</x:f>
        <x:v>92.66399999999999</x:v>
      </x:c>
      <x:c r="E16" s="56" t="n">
        <x:f>'Inputs'!$B$20*'Inputs'!$B$23*'Inputs'!$B$22*'Inputs'!$B$25</x:f>
        <x:v>92.66399999999999</x:v>
      </x:c>
    </x:row>
    <x:row r="17" ht="24" customHeight="1">
      <x:c r="A17" s="20" t="str">
        <x:v>Support reserve</x:v>
      </x:c>
      <x:c r="B17" s="56" t="n">
        <x:f>'Inputs'!$B$24*'Inputs'!$B$25</x:f>
        <x:v>60</x:v>
      </x:c>
      <x:c r="C17" s="56" t="n">
        <x:f>'Inputs'!$B$24*'Inputs'!$B$25</x:f>
        <x:v>60</x:v>
      </x:c>
      <x:c r="D17" s="56" t="n">
        <x:f>'Inputs'!$B$24*'Inputs'!$B$25</x:f>
        <x:v>60</x:v>
      </x:c>
      <x:c r="E17" s="56" t="n">
        <x:f>'Inputs'!$B$24*'Inputs'!$B$25</x:f>
        <x:v>60</x:v>
      </x:c>
    </x:row>
    <x:row r="18" ht="24" customHeight="1">
      <x:c r="A18" s="58" t="str">
        <x:v>Annual contribution before CAC</x:v>
      </x:c>
      <x:c r="B18" s="59" t="n">
        <x:f>B11-SUM(B12:B17)</x:f>
        <x:v>1346.1953627118646</x:v>
      </x:c>
      <x:c r="C18" s="59" t="n">
        <x:f>C11-SUM(C12:C17)</x:f>
        <x:v>1139.261593220339</x:v>
      </x:c>
      <x:c r="D18" s="59" t="n">
        <x:f>D11-SUM(D12:D17)</x:f>
        <x:v>3000.2970000000005</x:v>
      </x:c>
      <x:c r="E18" s="59" t="n">
        <x:f>E11-SUM(E12:E17)</x:f>
        <x:v>2685.3870000000006</x:v>
      </x:c>
    </x:row>
    <x:row r="19" ht="24" customHeight="1">
      <x:c r="A19" s="20"/>
      <x:c r="B19" s="60"/>
      <x:c r="C19" s="60"/>
      <x:c r="D19" s="60"/>
      <x:c r="E19" s="60"/>
    </x:row>
    <x:row r="20" ht="24" customHeight="1">
      <x:c r="A20" s="20" t="str">
        <x:v>Monthly sticker, INR</x:v>
      </x:c>
      <x:c r="B20" s="56" t="n">
        <x:f>'Inputs'!$B$10</x:f>
        <x:v>249</x:v>
      </x:c>
      <x:c r="C20" s="56" t="n">
        <x:f>'Inputs'!$B$10</x:f>
        <x:v>249</x:v>
      </x:c>
      <x:c r="D20" s="56" t="n">
        <x:f>'Inputs'!$B$12*'Inputs'!$B$8</x:f>
        <x:v>539.1</x:v>
      </x:c>
      <x:c r="E20" s="56" t="n">
        <x:f>'Inputs'!$B$12*'Inputs'!$B$8</x:f>
        <x:v>539.1</x:v>
      </x:c>
    </x:row>
    <x:row r="21" ht="24" customHeight="1">
      <x:c r="A21" s="20" t="str">
        <x:v>Monthly revenue ex tax</x:v>
      </x:c>
      <x:c r="B21" s="56" t="n">
        <x:f>B20/(1+'Inputs'!$B$13)</x:f>
        <x:v>211.0169491525424</x:v>
      </x:c>
      <x:c r="C21" s="56" t="n">
        <x:f>C20/(1+'Inputs'!$B$13)</x:f>
        <x:v>211.0169491525424</x:v>
      </x:c>
      <x:c r="D21" s="57" t="n">
        <x:f>D20</x:f>
        <x:v>539.1</x:v>
      </x:c>
      <x:c r="E21" s="57" t="n">
        <x:f>E20</x:f>
        <x:v>539.1</x:v>
      </x:c>
    </x:row>
    <x:row r="22" ht="24" customHeight="1">
      <x:c r="A22" s="20" t="str">
        <x:v>Payment / store fee</x:v>
      </x:c>
      <x:c r="B22" s="56" t="n">
        <x:f>B20*'Inputs'!$B$16</x:f>
        <x:v>5.8764</x:v>
      </x:c>
      <x:c r="C22" s="56" t="n">
        <x:f>C21*'Inputs'!$B$19</x:f>
        <x:v>31.652542372881356</x:v>
      </x:c>
      <x:c r="D22" s="56" t="n">
        <x:f>D20*'Inputs'!$B$17+'Inputs'!$B$18*'Inputs'!$B$8</x:f>
        <x:v>71.955</x:v>
      </x:c>
      <x:c r="E22" s="56" t="n">
        <x:f>E21*'Inputs'!$B$19</x:f>
        <x:v>80.865</x:v>
      </x:c>
    </x:row>
    <x:row r="23" ht="24" customHeight="1">
      <x:c r="A23" s="20" t="str">
        <x:v>Refund reserve</x:v>
      </x:c>
      <x:c r="B23" s="56" t="n">
        <x:f>B21*'Inputs'!$B$14</x:f>
        <x:v>6.330508474576272</x:v>
      </x:c>
      <x:c r="C23" s="56" t="n">
        <x:f>C21*'Inputs'!$B$14</x:f>
        <x:v>6.330508474576272</x:v>
      </x:c>
      <x:c r="D23" s="56" t="n">
        <x:f>D21*'Inputs'!$B$14</x:f>
        <x:v>16.173000000000002</x:v>
      </x:c>
      <x:c r="E23" s="56" t="n">
        <x:f>E21*'Inputs'!$B$14</x:f>
        <x:v>16.173000000000002</x:v>
      </x:c>
    </x:row>
    <x:row r="24" ht="24" customHeight="1">
      <x:c r="A24" s="20" t="str">
        <x:v>Subscription tooling</x:v>
      </x:c>
      <x:c r="B24" s="56" t="n">
        <x:f>B20*'Inputs'!$B$15</x:f>
        <x:v>2.49</x:v>
      </x:c>
      <x:c r="C24" s="56" t="n">
        <x:f>C20*'Inputs'!$B$15</x:f>
        <x:v>2.49</x:v>
      </x:c>
      <x:c r="D24" s="56" t="n">
        <x:f>D20*'Inputs'!$B$15</x:f>
        <x:v>5.391</x:v>
      </x:c>
      <x:c r="E24" s="56" t="n">
        <x:f>E20*'Inputs'!$B$15</x:f>
        <x:v>5.391</x:v>
      </x:c>
    </x:row>
    <x:row r="25" ht="24" customHeight="1">
      <x:c r="A25" s="20" t="str">
        <x:v>Paid-user AI reserve</x:v>
      </x:c>
      <x:c r="B25" s="56" t="n">
        <x:f>'Inputs'!$B$20*'Inputs'!$B$21*1</x:f>
        <x:v>6.4350000000000005</x:v>
      </x:c>
      <x:c r="C25" s="56" t="n">
        <x:f>'Inputs'!$B$20*'Inputs'!$B$21*1</x:f>
        <x:v>6.4350000000000005</x:v>
      </x:c>
      <x:c r="D25" s="56" t="n">
        <x:f>'Inputs'!$B$20*'Inputs'!$B$21*1</x:f>
        <x:v>6.4350000000000005</x:v>
      </x:c>
      <x:c r="E25" s="56" t="n">
        <x:f>'Inputs'!$B$20*'Inputs'!$B$21*1</x:f>
        <x:v>6.4350000000000005</x:v>
      </x:c>
    </x:row>
    <x:row r="26" ht="24" customHeight="1">
      <x:c r="A26" s="20" t="str">
        <x:v>Free-user AI allocation</x:v>
      </x:c>
      <x:c r="B26" s="56" t="n">
        <x:f>'Inputs'!$B$20*'Inputs'!$B$23*'Inputs'!$B$22*1</x:f>
        <x:v>7.7219999999999995</x:v>
      </x:c>
      <x:c r="C26" s="56" t="n">
        <x:f>'Inputs'!$B$20*'Inputs'!$B$23*'Inputs'!$B$22*1</x:f>
        <x:v>7.7219999999999995</x:v>
      </x:c>
      <x:c r="D26" s="56" t="n">
        <x:f>'Inputs'!$B$20*'Inputs'!$B$23*'Inputs'!$B$22*1</x:f>
        <x:v>7.7219999999999995</x:v>
      </x:c>
      <x:c r="E26" s="56" t="n">
        <x:f>'Inputs'!$B$20*'Inputs'!$B$23*'Inputs'!$B$22*1</x:f>
        <x:v>7.7219999999999995</x:v>
      </x:c>
    </x:row>
    <x:row r="27" ht="24" customHeight="1">
      <x:c r="A27" s="20" t="str">
        <x:v>Support reserve</x:v>
      </x:c>
      <x:c r="B27" s="56" t="n">
        <x:f>'Inputs'!$B$24*1</x:f>
        <x:v>5</x:v>
      </x:c>
      <x:c r="C27" s="56" t="n">
        <x:f>'Inputs'!$B$24*1</x:f>
        <x:v>5</x:v>
      </x:c>
      <x:c r="D27" s="56" t="n">
        <x:f>'Inputs'!$B$24*1</x:f>
        <x:v>5</x:v>
      </x:c>
      <x:c r="E27" s="56" t="n">
        <x:f>'Inputs'!$B$24*1</x:f>
        <x:v>5</x:v>
      </x:c>
    </x:row>
    <x:row r="28" ht="24" customHeight="1">
      <x:c r="A28" s="58" t="str">
        <x:v>First monthly contribution</x:v>
      </x:c>
      <x:c r="B28" s="59" t="n">
        <x:f>B21-SUM(B22:B27)</x:f>
        <x:v>177.16304067796614</x:v>
      </x:c>
      <x:c r="C28" s="59" t="n">
        <x:f>C21-SUM(C22:C27)</x:f>
        <x:v>151.38689830508477</x:v>
      </x:c>
      <x:c r="D28" s="59" t="n">
        <x:f>D21-SUM(D22:D27)</x:f>
        <x:v>426.42400000000004</x:v>
      </x:c>
      <x:c r="E28" s="59" t="n">
        <x:f>E21-SUM(E22:E27)</x:f>
        <x:v>417.514</x:v>
      </x:c>
    </x:row>
    <x:row r="29" ht="24" customHeight="1">
      <x:c r="A29" s="20"/>
      <x:c r="B29" s="60"/>
      <x:c r="C29" s="60"/>
      <x:c r="D29" s="60"/>
      <x:c r="E29" s="60"/>
    </x:row>
    <x:row r="30" ht="24" customHeight="1">
      <x:c r="A30" s="20" t="str">
        <x:v>Annual share of new buyers</x:v>
      </x:c>
      <x:c r="B30" s="61" t="n">
        <x:f>'Inputs'!$B$26</x:f>
        <x:v>0.75</x:v>
      </x:c>
      <x:c r="C30" s="61" t="n">
        <x:f>'Inputs'!$B$26</x:f>
        <x:v>0.75</x:v>
      </x:c>
      <x:c r="D30" s="61" t="n">
        <x:f>'Inputs'!$B$26</x:f>
        <x:v>0.75</x:v>
      </x:c>
      <x:c r="E30" s="61" t="n">
        <x:f>'Inputs'!$B$26</x:f>
        <x:v>0.75</x:v>
      </x:c>
    </x:row>
    <x:row r="31" ht="24" customHeight="1">
      <x:c r="A31" s="58" t="str">
        <x:v>Mixed first-commitment contribution</x:v>
      </x:c>
      <x:c r="B31" s="59" t="n">
        <x:f>B18*B30+B28*(1-B30)</x:f>
        <x:v>1053.93728220339</x:v>
      </x:c>
      <x:c r="C31" s="59" t="n">
        <x:f>C18*C30+C28*(1-C30)</x:f>
        <x:v>892.2929194915254</x:v>
      </x:c>
      <x:c r="D31" s="59" t="n">
        <x:f>D18*D30+D28*(1-D30)</x:f>
        <x:v>2356.8287500000006</x:v>
      </x:c>
      <x:c r="E31" s="59" t="n">
        <x:f>E18*E30+E28*(1-E30)</x:f>
        <x:v>2118.4187500000003</x:v>
      </x:c>
    </x:row>
    <x:row r="32" ht="24" customHeight="1">
      <x:c r="A32" s="20" t="str">
        <x:v>Annual-only target cash CAC</x:v>
      </x:c>
      <x:c r="B32" s="56" t="n">
        <x:f>B18*'Inputs'!$B$27</x:f>
        <x:v>403.8586088135594</x:v>
      </x:c>
      <x:c r="C32" s="56" t="n">
        <x:f>C18*'Inputs'!$B$27</x:f>
        <x:v>341.77847796610166</x:v>
      </x:c>
      <x:c r="D32" s="56" t="n">
        <x:f>D18*'Inputs'!$B$27</x:f>
        <x:v>900.0891000000001</x:v>
      </x:c>
      <x:c r="E32" s="56" t="n">
        <x:f>E18*'Inputs'!$B$27</x:f>
        <x:v>805.6161000000002</x:v>
      </x:c>
    </x:row>
    <x:row r="33" ht="24" customHeight="1">
      <x:c r="A33" s="20" t="str">
        <x:v>Monthly-only target cash CAC</x:v>
      </x:c>
      <x:c r="B33" s="56" t="n">
        <x:f>B28*'Inputs'!$B$27</x:f>
        <x:v>53.14891220338984</x:v>
      </x:c>
      <x:c r="C33" s="56" t="n">
        <x:f>C28*'Inputs'!$B$27</x:f>
        <x:v>45.41606949152543</x:v>
      </x:c>
      <x:c r="D33" s="56" t="n">
        <x:f>D28*'Inputs'!$B$27</x:f>
        <x:v>127.9272</x:v>
      </x:c>
      <x:c r="E33" s="56" t="n">
        <x:f>E28*'Inputs'!$B$27</x:f>
        <x:v>125.2542</x:v>
      </x:c>
    </x:row>
    <x:row r="34" ht="24" customHeight="1">
      <x:c r="A34" s="58" t="str">
        <x:v>Mixed target cash CAC</x:v>
      </x:c>
      <x:c r="B34" s="62" t="n">
        <x:f>B31*'Inputs'!$B$27</x:f>
        <x:v>316.18118466101697</x:v>
      </x:c>
      <x:c r="C34" s="62" t="n">
        <x:f>C31*'Inputs'!$B$27</x:f>
        <x:v>267.6878758474576</x:v>
      </x:c>
      <x:c r="D34" s="62" t="n">
        <x:f>D31*'Inputs'!$B$27</x:f>
        <x:v>707.0486250000001</x:v>
      </x:c>
      <x:c r="E34" s="62" t="n">
        <x:f>E31*'Inputs'!$B$27</x:f>
        <x:v>635.5256250000001</x:v>
      </x:c>
    </x:row>
    <x:row r="35" ht="24" customHeight="1">
      <x:c r="A35" s="20"/>
      <x:c r="B35" s="60"/>
      <x:c r="C35" s="60"/>
      <x:c r="D35" s="60"/>
      <x:c r="E35" s="60"/>
    </x:row>
    <x:row r="36" ht="24" customHeight="1">
      <x:c r="A36" s="20" t="str">
        <x:v>Max CPC at input CVR</x:v>
      </x:c>
      <x:c r="B36" s="56" t="n">
        <x:f>B34*'Inputs'!$B$35/(1+'Inputs'!$B$28+'Inputs'!$B$29)</x:f>
        <x:v>4.4221144707834545</x:v>
      </x:c>
      <x:c r="C36" s="56" t="n">
        <x:f>C34*'Inputs'!$B$35/(1+'Inputs'!$B$28+'Inputs'!$B$29)</x:f>
        <x:v>3.7438863754889176</x:v>
      </x:c>
      <x:c r="D36" s="56" t="n">
        <x:f>D34*'Inputs'!$B$35/(1+'Inputs'!$B$28+'Inputs'!$B$29)</x:f>
        <x:v>9.888791958041962</x:v>
      </x:c>
      <x:c r="E36" s="56" t="n">
        <x:f>E34*'Inputs'!$B$35/(1+'Inputs'!$B$28+'Inputs'!$B$29)</x:f>
        <x:v>8.88847027972028</x:v>
      </x:c>
    </x:row>
    <x:row r="37" ht="24" customHeight="1">
      <x:c r="A37" s="20" t="str">
        <x:v>CPC constraint includes ad tax + creative rate</x:v>
      </x:c>
      <x:c r="B37" s="20"/>
      <x:c r="C37" s="20"/>
      <x:c r="D37" s="20"/>
      <x:c r="E37" s="20"/>
    </x:row>
    <x:row r="38" ht="24" customHeight="1">
      <x:c r="A38" s="20"/>
      <x:c r="B38" s="20"/>
      <x:c r="C38" s="20"/>
      <x:c r="D38" s="20"/>
      <x:c r="E38" s="20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  <x:row r="59">
      <x:c r="A59" s="2"/>
      <x:c r="B59" s="2"/>
      <x:c r="C59" s="2"/>
      <x:c r="D59" s="2"/>
      <x:c r="E59" s="2"/>
    </x:row>
    <x:row r="60">
      <x:c r="A60" s="2"/>
      <x:c r="B60" s="2"/>
      <x:c r="C60" s="2"/>
      <x:c r="D60" s="2"/>
      <x:c r="E60" s="2"/>
    </x:row>
    <x:row r="61">
      <x:c r="A61" s="2"/>
      <x:c r="B61" s="2"/>
      <x:c r="C61" s="2"/>
      <x:c r="D61" s="2"/>
      <x:c r="E61" s="2"/>
    </x:row>
    <x:row r="62">
      <x:c r="A62" s="2"/>
      <x:c r="B62" s="2"/>
      <x:c r="C62" s="2"/>
      <x:c r="D62" s="2"/>
      <x:c r="E62" s="2"/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>
      <x:c r="A65" s="2"/>
      <x:c r="B65" s="2"/>
      <x:c r="C65" s="2"/>
      <x:c r="D65" s="2"/>
      <x:c r="E65" s="2"/>
    </x:row>
    <x:row r="66">
      <x:c r="A66" s="2"/>
      <x:c r="B66" s="2"/>
      <x:c r="C66" s="2"/>
      <x:c r="D66" s="2"/>
      <x:c r="E66" s="2"/>
    </x:row>
    <x:row r="67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  <x:row r="71">
      <x:c r="A71" s="2"/>
      <x:c r="B71" s="2"/>
      <x:c r="C71" s="2"/>
      <x:c r="D71" s="2"/>
      <x:c r="E71" s="2"/>
    </x:row>
    <x:row r="72">
      <x:c r="A72" s="2"/>
      <x:c r="B72" s="2"/>
      <x:c r="C72" s="2"/>
      <x:c r="D72" s="2"/>
      <x:c r="E72" s="2"/>
    </x:row>
    <x:row r="73">
      <x:c r="A73" s="2"/>
      <x:c r="B73" s="2"/>
      <x:c r="C73" s="2"/>
      <x:c r="D73" s="2"/>
      <x:c r="E73" s="2"/>
    </x:row>
    <x:row r="74">
      <x:c r="A74" s="2"/>
      <x:c r="B74" s="2"/>
      <x:c r="C74" s="2"/>
      <x:c r="D74" s="2"/>
      <x:c r="E74" s="2"/>
    </x:row>
    <x:row r="75">
      <x:c r="A75" s="2"/>
      <x:c r="B75" s="2"/>
      <x:c r="C75" s="2"/>
      <x:c r="D75" s="2"/>
      <x:c r="E75" s="2"/>
    </x:row>
    <x:row r="76">
      <x:c r="A76" s="2"/>
      <x:c r="B76" s="2"/>
      <x:c r="C76" s="2"/>
      <x:c r="D76" s="2"/>
      <x:c r="E76" s="2"/>
    </x:row>
    <x:row r="77">
      <x:c r="A77" s="2"/>
      <x:c r="B77" s="2"/>
      <x:c r="C77" s="2"/>
      <x:c r="D77" s="2"/>
      <x:c r="E77" s="2"/>
    </x:row>
    <x:row r="78">
      <x:c r="A78" s="2"/>
      <x:c r="B78" s="2"/>
      <x:c r="C78" s="2"/>
      <x:c r="D78" s="2"/>
      <x:c r="E78" s="2"/>
    </x:row>
    <x:row r="79">
      <x:c r="A79" s="2"/>
      <x:c r="B79" s="2"/>
      <x:c r="C79" s="2"/>
      <x:c r="D79" s="2"/>
      <x:c r="E79" s="2"/>
    </x:row>
    <x:row r="80">
      <x:c r="A80" s="2"/>
      <x:c r="B80" s="2"/>
      <x:c r="C80" s="2"/>
      <x:c r="D80" s="2"/>
      <x:c r="E80" s="2"/>
    </x:row>
    <x:row r="81">
      <x:c r="A81" s="2"/>
      <x:c r="B81" s="2"/>
      <x:c r="C81" s="2"/>
      <x:c r="D81" s="2"/>
      <x:c r="E81" s="2"/>
    </x:row>
    <x:row r="82">
      <x:c r="A82" s="2"/>
      <x:c r="B82" s="2"/>
      <x:c r="C82" s="2"/>
      <x:c r="D82" s="2"/>
      <x:c r="E82" s="2"/>
    </x:row>
    <x:row r="83">
      <x:c r="A83" s="2"/>
      <x:c r="B83" s="2"/>
      <x:c r="C83" s="2"/>
      <x:c r="D83" s="2"/>
      <x:c r="E83" s="2"/>
    </x:row>
    <x:row r="84">
      <x:c r="A84" s="2"/>
      <x:c r="B84" s="2"/>
      <x:c r="C84" s="2"/>
      <x:c r="D84" s="2"/>
      <x:c r="E84" s="2"/>
    </x:row>
    <x:row r="85">
      <x:c r="A85" s="2"/>
      <x:c r="B85" s="2"/>
      <x:c r="C85" s="2"/>
      <x:c r="D85" s="2"/>
      <x:c r="E85" s="2"/>
    </x:row>
    <x:row r="86">
      <x:c r="A86" s="2"/>
      <x:c r="B86" s="2"/>
      <x:c r="C86" s="2"/>
      <x:c r="D86" s="2"/>
      <x:c r="E86" s="2"/>
    </x:row>
    <x:row r="87">
      <x:c r="A87" s="2"/>
      <x:c r="B87" s="2"/>
      <x:c r="C87" s="2"/>
      <x:c r="D87" s="2"/>
      <x:c r="E87" s="2"/>
    </x:row>
    <x:row r="88">
      <x:c r="A88" s="2"/>
      <x:c r="B88" s="2"/>
      <x:c r="C88" s="2"/>
      <x:c r="D88" s="2"/>
      <x:c r="E88" s="2"/>
    </x:row>
    <x:row r="89">
      <x:c r="A89" s="2"/>
      <x:c r="B89" s="2"/>
      <x:c r="C89" s="2"/>
      <x:c r="D89" s="2"/>
      <x:c r="E89" s="2"/>
    </x:row>
    <x:row r="90">
      <x:c r="A90" s="2"/>
      <x:c r="B90" s="2"/>
      <x:c r="C90" s="2"/>
      <x:c r="D90" s="2"/>
      <x:c r="E90" s="2"/>
    </x:row>
    <x:row r="91">
      <x:c r="A91" s="2"/>
      <x:c r="B91" s="2"/>
      <x:c r="C91" s="2"/>
      <x:c r="D91" s="2"/>
      <x:c r="E91" s="2"/>
    </x:row>
    <x:row r="92">
      <x:c r="A92" s="2"/>
      <x:c r="B92" s="2"/>
      <x:c r="C92" s="2"/>
      <x:c r="D92" s="2"/>
      <x:c r="E92" s="2"/>
    </x:row>
    <x:row r="93">
      <x:c r="A93" s="2"/>
      <x:c r="B93" s="2"/>
      <x:c r="C93" s="2"/>
      <x:c r="D93" s="2"/>
      <x:c r="E93" s="2"/>
    </x:row>
    <x:row r="94">
      <x:c r="A94" s="2"/>
      <x:c r="B94" s="2"/>
      <x:c r="C94" s="2"/>
      <x:c r="D94" s="2"/>
      <x:c r="E94" s="2"/>
    </x:row>
    <x:row r="95">
      <x:c r="A95" s="2"/>
      <x:c r="B95" s="2"/>
      <x:c r="C95" s="2"/>
      <x:c r="D95" s="2"/>
      <x:c r="E95" s="2"/>
    </x:row>
    <x:row r="96">
      <x:c r="A96" s="2"/>
      <x:c r="B96" s="2"/>
      <x:c r="C96" s="2"/>
      <x:c r="D96" s="2"/>
      <x:c r="E96" s="2"/>
    </x:row>
    <x:row r="97">
      <x:c r="A97" s="2"/>
      <x:c r="B97" s="2"/>
      <x:c r="C97" s="2"/>
      <x:c r="D97" s="2"/>
      <x:c r="E97" s="2"/>
    </x:row>
    <x:row r="98">
      <x:c r="A98" s="2"/>
      <x:c r="B98" s="2"/>
      <x:c r="C98" s="2"/>
      <x:c r="D98" s="2"/>
      <x:c r="E98" s="2"/>
    </x:row>
    <x:row r="99">
      <x:c r="A99" s="2"/>
      <x:c r="B99" s="2"/>
      <x:c r="C99" s="2"/>
      <x:c r="D99" s="2"/>
      <x:c r="E99" s="2"/>
    </x:row>
    <x:row r="100">
      <x:c r="A100" s="2"/>
      <x:c r="B100" s="2"/>
      <x:c r="C100" s="2"/>
      <x:c r="D100" s="2"/>
      <x:c r="E100" s="2"/>
    </x:row>
    <x:row r="101">
      <x:c r="A101" s="2"/>
      <x:c r="B101" s="2"/>
      <x:c r="C101" s="2"/>
      <x:c r="D101" s="2"/>
      <x:c r="E101" s="2"/>
    </x:row>
    <x:row r="102">
      <x:c r="A102" s="2"/>
      <x:c r="B102" s="2"/>
      <x:c r="C102" s="2"/>
      <x:c r="D102" s="2"/>
      <x:c r="E102" s="2"/>
    </x:row>
    <x:row r="103">
      <x:c r="A103" s="2"/>
      <x:c r="B103" s="2"/>
      <x:c r="C103" s="2"/>
      <x:c r="D103" s="2"/>
      <x:c r="E103" s="2"/>
    </x:row>
    <x:row r="104">
      <x:c r="A104" s="2"/>
      <x:c r="B104" s="2"/>
      <x:c r="C104" s="2"/>
      <x:c r="D104" s="2"/>
      <x:c r="E104" s="2"/>
    </x:row>
    <x:row r="105">
      <x:c r="A105" s="2"/>
      <x:c r="B105" s="2"/>
      <x:c r="C105" s="2"/>
      <x:c r="D105" s="2"/>
      <x:c r="E105" s="2"/>
    </x:row>
    <x:row r="106">
      <x:c r="A106" s="2"/>
      <x:c r="B106" s="2"/>
      <x:c r="C106" s="2"/>
      <x:c r="D106" s="2"/>
      <x:c r="E106" s="2"/>
    </x:row>
    <x:row r="107">
      <x:c r="A107" s="2"/>
      <x:c r="B107" s="2"/>
      <x:c r="C107" s="2"/>
      <x:c r="D107" s="2"/>
      <x:c r="E107" s="2"/>
    </x:row>
    <x:row r="108">
      <x:c r="A108" s="2"/>
      <x:c r="B108" s="2"/>
      <x:c r="C108" s="2"/>
      <x:c r="D108" s="2"/>
      <x:c r="E108" s="2"/>
    </x:row>
    <x:row r="109">
      <x:c r="A109" s="2"/>
      <x:c r="B109" s="2"/>
      <x:c r="C109" s="2"/>
      <x:c r="D109" s="2"/>
      <x:c r="E109" s="2"/>
    </x:row>
    <x:row r="110">
      <x:c r="A110" s="2"/>
      <x:c r="B110" s="2"/>
      <x:c r="C110" s="2"/>
      <x:c r="D110" s="2"/>
      <x:c r="E110" s="2"/>
    </x:row>
    <x:row r="111">
      <x:c r="A111" s="2"/>
      <x:c r="B111" s="2"/>
      <x:c r="C111" s="2"/>
      <x:c r="D111" s="2"/>
      <x:c r="E111" s="2"/>
    </x:row>
    <x:row r="112">
      <x:c r="A112" s="2"/>
      <x:c r="B112" s="2"/>
      <x:c r="C112" s="2"/>
      <x:c r="D112" s="2"/>
      <x:c r="E112" s="2"/>
    </x:row>
    <x:row r="113">
      <x:c r="A113" s="2"/>
      <x:c r="B113" s="2"/>
      <x:c r="C113" s="2"/>
      <x:c r="D113" s="2"/>
      <x:c r="E113" s="2"/>
    </x:row>
    <x:row r="114">
      <x:c r="A114" s="2"/>
      <x:c r="B114" s="2"/>
      <x:c r="C114" s="2"/>
      <x:c r="D114" s="2"/>
      <x:c r="E114" s="2"/>
    </x:row>
    <x:row r="115">
      <x:c r="A115" s="2"/>
      <x:c r="B115" s="2"/>
      <x:c r="C115" s="2"/>
      <x:c r="D115" s="2"/>
      <x:c r="E115" s="2"/>
    </x:row>
    <x:row r="116">
      <x:c r="A116" s="2"/>
      <x:c r="B116" s="2"/>
      <x:c r="C116" s="2"/>
      <x:c r="D116" s="2"/>
      <x:c r="E116" s="2"/>
    </x:row>
    <x:row r="117">
      <x:c r="A117" s="2"/>
      <x:c r="B117" s="2"/>
      <x:c r="C117" s="2"/>
      <x:c r="D117" s="2"/>
      <x:c r="E117" s="2"/>
    </x:row>
    <x:row r="118">
      <x:c r="A118" s="2"/>
      <x:c r="B118" s="2"/>
      <x:c r="C118" s="2"/>
      <x:c r="D118" s="2"/>
      <x:c r="E118" s="2"/>
    </x:row>
    <x:row r="119">
      <x:c r="A119" s="2"/>
      <x:c r="B119" s="2"/>
      <x:c r="C119" s="2"/>
      <x:c r="D119" s="2"/>
      <x:c r="E119" s="2"/>
    </x:row>
    <x:row r="120">
      <x:c r="A120" s="2"/>
      <x:c r="B120" s="2"/>
      <x:c r="C120" s="2"/>
      <x:c r="D120" s="2"/>
      <x:c r="E120" s="2"/>
    </x:row>
  </x:sheetData>
  <x:mergeCells>
    <x:mergeCell ref="A1:E2"/>
    <x:mergeCell ref="A3:E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48" hidden="0" customWidth="1"/>
  </x:cols>
  <x:sheetData>
    <x:row r="1" ht="25" customHeight="1">
      <x:c r="A1" s="6" t="str">
        <x:v>SIX-WEEK CASH ENVELOPE</x:v>
      </x:c>
      <x:c r="B1" s="6"/>
      <x:c r="C1" s="6"/>
      <x:c r="D1" s="6"/>
      <x:c r="E1" s="6"/>
      <x:c r="F1" s="6"/>
      <x:c r="G1" s="6"/>
    </x:row>
    <x:row r="2" ht="25" customHeight="1">
      <x:c r="A2" s="6"/>
      <x:c r="B2" s="6"/>
      <x:c r="C2" s="6"/>
      <x:c r="D2" s="6"/>
      <x:c r="E2" s="6"/>
      <x:c r="F2" s="6"/>
      <x:c r="G2" s="6"/>
    </x:row>
    <x:row r="3" ht="23" customHeight="1">
      <x:c r="A3" s="11" t="str">
        <x:v>Approval required. Media ceilings INCLUDE the editable ad-bill cash tax/fee assumption. Held contingency is not acquisition expense.</x:v>
      </x:c>
      <x:c r="B3" s="11"/>
      <x:c r="C3" s="11"/>
      <x:c r="D3" s="11"/>
      <x:c r="E3" s="11"/>
      <x:c r="F3" s="11"/>
      <x:c r="G3" s="11"/>
    </x:row>
    <x:row r="4" ht="23" customHeight="1">
      <x:c r="A4" s="11"/>
      <x:c r="B4" s="11"/>
      <x:c r="C4" s="11"/>
      <x:c r="D4" s="11"/>
      <x:c r="E4" s="11"/>
      <x:c r="F4" s="11"/>
      <x:c r="G4" s="11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36" customHeight="1">
      <x:c r="A7" s="15" t="str">
        <x:v>Tranche</x:v>
      </x:c>
      <x:c r="B7" s="15" t="str">
        <x:v>Gross cash INR</x:v>
      </x:c>
      <x:c r="C7" s="15" t="str">
        <x:v>Release status</x:v>
      </x:c>
      <x:c r="D7" s="15" t="str">
        <x:v>Ad tax/fee rate</x:v>
      </x:c>
      <x:c r="E7" s="15" t="str">
        <x:v>Delivered media INR</x:v>
      </x:c>
      <x:c r="F7" s="15" t="str">
        <x:v>Tax/fee reserve INR</x:v>
      </x:c>
      <x:c r="G7" s="15" t="str">
        <x:v>Condition</x:v>
      </x:c>
    </x:row>
    <x:row r="8" ht="43" customHeight="1">
      <x:c r="A8" s="20" t="str">
        <x:v>Production / research</x:v>
      </x:c>
      <x:c r="B8" s="56" t="n">
        <x:f>'Inputs'!$B$33</x:f>
        <x:v>8000</x:v>
      </x:c>
      <x:c r="C8" s="60" t="str">
        <x:v>Draft</x:v>
      </x:c>
      <x:c r="D8" s="72" t="n">
        <x:v>0</x:v>
      </x:c>
      <x:c r="E8" s="60" t="n">
        <x:v>0</x:v>
      </x:c>
      <x:c r="F8" s="60" t="n">
        <x:v>0</x:v>
      </x:c>
      <x:c r="G8" s="20" t="str">
        <x:v>Up to 3 original ads first</x:v>
      </x:c>
    </x:row>
    <x:row r="9" ht="43" customHeight="1">
      <x:c r="A9" s="20" t="str">
        <x:v>Diagnostic media</x:v>
      </x:c>
      <x:c r="B9" s="56" t="n">
        <x:f>'Inputs'!$B$30</x:f>
        <x:v>4000</x:v>
      </x:c>
      <x:c r="C9" s="60" t="str">
        <x:v>Not approved</x:v>
      </x:c>
      <x:c r="D9" s="61" t="n">
        <x:f>'Inputs'!$B$28</x:f>
        <x:v>0.18</x:v>
      </x:c>
      <x:c r="E9" s="57" t="n">
        <x:f>B9/(1+D9)</x:f>
        <x:v>3389.8305084745766</x:v>
      </x:c>
      <x:c r="F9" s="57" t="n">
        <x:f>B9-E9</x:f>
        <x:v>610.1694915254234</x:v>
      </x:c>
      <x:c r="G9" s="20" t="str">
        <x:v>Functional funnel + founder approval</x:v>
      </x:c>
    </x:row>
    <x:row r="10" ht="43" customHeight="1">
      <x:c r="A10" s="20" t="str">
        <x:v>Replication media</x:v>
      </x:c>
      <x:c r="B10" s="56" t="n">
        <x:f>'Inputs'!$B$31</x:f>
        <x:v>8000</x:v>
      </x:c>
      <x:c r="C10" s="60" t="str">
        <x:v>Not approved</x:v>
      </x:c>
      <x:c r="D10" s="61" t="n">
        <x:f>'Inputs'!$B$28</x:f>
        <x:v>0.18</x:v>
      </x:c>
      <x:c r="E10" s="57" t="n">
        <x:f>B10/(1+D10)</x:f>
        <x:v>6779.661016949153</x:v>
      </x:c>
      <x:c r="F10" s="57" t="n">
        <x:f>B10-E10</x:f>
        <x:v>1220.3389830508468</x:v>
      </x:c>
      <x:c r="G10" s="20" t="str">
        <x:v>Diagnostic evidence supports another test</x:v>
      </x:c>
    </x:row>
    <x:row r="11" ht="43" customHeight="1">
      <x:c r="A11" s="20" t="str">
        <x:v>Expansion media</x:v>
      </x:c>
      <x:c r="B11" s="56" t="n">
        <x:f>'Inputs'!$B$32</x:f>
        <x:v>12000</x:v>
      </x:c>
      <x:c r="C11" s="60" t="str">
        <x:v>Not approved</x:v>
      </x:c>
      <x:c r="D11" s="61" t="n">
        <x:f>'Inputs'!$B$28</x:f>
        <x:v>0.18</x:v>
      </x:c>
      <x:c r="E11" s="57" t="n">
        <x:f>B11/(1+D11)</x:f>
        <x:v>10169.49152542373</x:v>
      </x:c>
      <x:c r="F11" s="57" t="n">
        <x:f>B11-E11</x:f>
        <x:v>1830.5084745762706</x:v>
      </x:c>
      <x:c r="G11" s="20" t="str">
        <x:v>Contribution, repeatability and approval</x:v>
      </x:c>
    </x:row>
    <x:row r="12" ht="43" customHeight="1">
      <x:c r="A12" s="20" t="str">
        <x:v>Held contingency</x:v>
      </x:c>
      <x:c r="B12" s="56" t="n">
        <x:f>'Inputs'!$B$34</x:f>
        <x:v>8000</x:v>
      </x:c>
      <x:c r="C12" s="60" t="str">
        <x:v>Unspent</x:v>
      </x:c>
      <x:c r="D12" s="72" t="n">
        <x:v>0</x:v>
      </x:c>
      <x:c r="E12" s="60" t="n">
        <x:v>0</x:v>
      </x:c>
      <x:c r="F12" s="60" t="n">
        <x:v>0</x:v>
      </x:c>
      <x:c r="G12" s="20" t="str">
        <x:v>Explicit approval before any draw</x:v>
      </x:c>
    </x:row>
    <x:row r="13">
      <x:c r="A13" s="2"/>
      <x:c r="B13" s="38"/>
      <x:c r="C13" s="38"/>
      <x:c r="D13" s="38"/>
      <x:c r="E13" s="38"/>
      <x:c r="F13" s="38"/>
      <x:c r="G13" s="2"/>
    </x:row>
    <x:row r="14">
      <x:c r="A14" s="2" t="str">
        <x:v>Total envelope</x:v>
      </x:c>
      <x:c r="B14" s="37" t="n">
        <x:f>SUM(B8:B12)</x:f>
        <x:v>40000</x:v>
      </x:c>
      <x:c r="C14" s="38"/>
      <x:c r="D14" s="38"/>
      <x:c r="E14" s="38"/>
      <x:c r="F14" s="38"/>
      <x:c r="G14" s="2"/>
    </x:row>
    <x:row r="15">
      <x:c r="A15" s="2" t="str">
        <x:v>Gross media envelope</x:v>
      </x:c>
      <x:c r="B15" s="37" t="n">
        <x:f>SUM(B9:B11)</x:f>
        <x:v>24000</x:v>
      </x:c>
      <x:c r="C15" s="38"/>
      <x:c r="D15" s="38"/>
      <x:c r="E15" s="38"/>
      <x:c r="F15" s="38"/>
      <x:c r="G15" s="2"/>
    </x:row>
    <x:row r="16">
      <x:c r="A16" s="2" t="str">
        <x:v>Delivered media</x:v>
      </x:c>
      <x:c r="B16" s="37" t="n">
        <x:f>SUM(E9:E11)</x:f>
        <x:v>20338.98305084746</x:v>
      </x:c>
      <x:c r="C16" s="38"/>
      <x:c r="D16" s="38"/>
      <x:c r="E16" s="38"/>
      <x:c r="F16" s="38"/>
      <x:c r="G16" s="2"/>
    </x:row>
    <x:row r="17">
      <x:c r="A17" s="44" t="str">
        <x:v>Planned acquisition cash</x:v>
      </x:c>
      <x:c r="B17" s="45" t="n">
        <x:f>SUM(B8:B11)</x:f>
        <x:v>32000</x:v>
      </x:c>
      <x:c r="C17" s="38"/>
      <x:c r="D17" s="38"/>
      <x:c r="E17" s="38"/>
      <x:c r="F17" s="38"/>
      <x:c r="G17" s="2"/>
    </x:row>
    <x:row r="18">
      <x:c r="A18" s="44" t="str">
        <x:v>Held, not spent</x:v>
      </x:c>
      <x:c r="B18" s="45" t="n">
        <x:f>B12</x:f>
        <x:v>8000</x:v>
      </x:c>
      <x:c r="C18" s="38"/>
      <x:c r="D18" s="38"/>
      <x:c r="E18" s="38"/>
      <x:c r="F18" s="38"/>
      <x:c r="G18" s="2"/>
    </x:row>
    <x:row r="19">
      <x:c r="A19" s="2"/>
      <x:c r="B19" s="38"/>
      <x:c r="C19" s="38"/>
      <x:c r="D19" s="38"/>
      <x:c r="E19" s="38"/>
      <x:c r="F19" s="38"/>
      <x:c r="G19" s="2"/>
    </x:row>
    <x:row r="20">
      <x:c r="A20" s="2" t="str">
        <x:v>Cash/auction media factor</x:v>
      </x:c>
      <x:c r="B20" s="37" t="n">
        <x:f>B17/B16</x:f>
        <x:v>1.5733333333333333</x:v>
      </x:c>
      <x:c r="C20" s="38"/>
      <x:c r="D20" s="38"/>
      <x:c r="E20" s="38"/>
      <x:c r="F20" s="38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  <x:row r="36">
      <x:c r="A36" s="2"/>
      <x:c r="B36" s="2"/>
      <x:c r="C36" s="2"/>
      <x:c r="D36" s="2"/>
      <x:c r="E36" s="2"/>
      <x:c r="F36" s="2"/>
      <x:c r="G36" s="2"/>
    </x:row>
    <x:row r="37">
      <x:c r="A37" s="2"/>
      <x:c r="B37" s="2"/>
      <x:c r="C37" s="2"/>
      <x:c r="D37" s="2"/>
      <x:c r="E37" s="2"/>
      <x:c r="F37" s="2"/>
      <x:c r="G37" s="2"/>
    </x:row>
    <x:row r="38">
      <x:c r="A38" s="2"/>
      <x:c r="B38" s="2"/>
      <x:c r="C38" s="2"/>
      <x:c r="D38" s="2"/>
      <x:c r="E38" s="2"/>
      <x:c r="F38" s="2"/>
      <x:c r="G38" s="2"/>
    </x:row>
    <x:row r="39">
      <x:c r="A39" s="2"/>
      <x:c r="B39" s="2"/>
      <x:c r="C39" s="2"/>
      <x:c r="D39" s="2"/>
      <x:c r="E39" s="2"/>
      <x:c r="F39" s="2"/>
      <x:c r="G39" s="2"/>
    </x:row>
    <x:row r="40">
      <x:c r="A40" s="2"/>
      <x:c r="B40" s="2"/>
      <x:c r="C40" s="2"/>
      <x:c r="D40" s="2"/>
      <x:c r="E40" s="2"/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  <x:row r="43">
      <x:c r="A43" s="2"/>
      <x:c r="B43" s="2"/>
      <x:c r="C43" s="2"/>
      <x:c r="D43" s="2"/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  <x:row r="81">
      <x:c r="A81" s="2"/>
      <x:c r="B81" s="2"/>
      <x:c r="C81" s="2"/>
      <x:c r="D81" s="2"/>
      <x:c r="E81" s="2"/>
      <x:c r="F81" s="2"/>
      <x:c r="G81" s="2"/>
    </x:row>
    <x:row r="82">
      <x:c r="A82" s="2"/>
      <x:c r="B82" s="2"/>
      <x:c r="C82" s="2"/>
      <x:c r="D82" s="2"/>
      <x:c r="E82" s="2"/>
      <x:c r="F82" s="2"/>
      <x:c r="G82" s="2"/>
    </x:row>
    <x:row r="83">
      <x:c r="A83" s="2"/>
      <x:c r="B83" s="2"/>
      <x:c r="C83" s="2"/>
      <x:c r="D83" s="2"/>
      <x:c r="E83" s="2"/>
      <x:c r="F83" s="2"/>
      <x:c r="G83" s="2"/>
    </x:row>
    <x:row r="84">
      <x:c r="A84" s="2"/>
      <x:c r="B84" s="2"/>
      <x:c r="C84" s="2"/>
      <x:c r="D84" s="2"/>
      <x:c r="E84" s="2"/>
      <x:c r="F84" s="2"/>
      <x:c r="G84" s="2"/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  <x:row r="91">
      <x:c r="A91" s="2"/>
      <x:c r="B91" s="2"/>
      <x:c r="C91" s="2"/>
      <x:c r="D91" s="2"/>
      <x:c r="E91" s="2"/>
      <x:c r="F91" s="2"/>
      <x:c r="G91" s="2"/>
    </x:row>
    <x:row r="92">
      <x:c r="A92" s="2"/>
      <x:c r="B92" s="2"/>
      <x:c r="C92" s="2"/>
      <x:c r="D92" s="2"/>
      <x:c r="E92" s="2"/>
      <x:c r="F92" s="2"/>
      <x:c r="G92" s="2"/>
    </x:row>
    <x:row r="93">
      <x:c r="A93" s="2"/>
      <x:c r="B93" s="2"/>
      <x:c r="C93" s="2"/>
      <x:c r="D93" s="2"/>
      <x:c r="E93" s="2"/>
      <x:c r="F93" s="2"/>
      <x:c r="G93" s="2"/>
    </x:row>
    <x:row r="94">
      <x:c r="A94" s="2"/>
      <x:c r="B94" s="2"/>
      <x:c r="C94" s="2"/>
      <x:c r="D94" s="2"/>
      <x:c r="E94" s="2"/>
      <x:c r="F94" s="2"/>
      <x:c r="G94" s="2"/>
    </x:row>
    <x:row r="95">
      <x:c r="A95" s="2"/>
      <x:c r="B95" s="2"/>
      <x:c r="C95" s="2"/>
      <x:c r="D95" s="2"/>
      <x:c r="E95" s="2"/>
      <x:c r="F95" s="2"/>
      <x:c r="G95" s="2"/>
    </x:row>
    <x:row r="96">
      <x:c r="A96" s="2"/>
      <x:c r="B96" s="2"/>
      <x:c r="C96" s="2"/>
      <x:c r="D96" s="2"/>
      <x:c r="E96" s="2"/>
      <x:c r="F96" s="2"/>
      <x:c r="G96" s="2"/>
    </x:row>
    <x:row r="97">
      <x:c r="A97" s="2"/>
      <x:c r="B97" s="2"/>
      <x:c r="C97" s="2"/>
      <x:c r="D97" s="2"/>
      <x:c r="E97" s="2"/>
      <x:c r="F97" s="2"/>
      <x:c r="G97" s="2"/>
    </x:row>
    <x:row r="98">
      <x:c r="A98" s="2"/>
      <x:c r="B98" s="2"/>
      <x:c r="C98" s="2"/>
      <x:c r="D98" s="2"/>
      <x:c r="E98" s="2"/>
      <x:c r="F98" s="2"/>
      <x:c r="G98" s="2"/>
    </x:row>
    <x:row r="99">
      <x:c r="A99" s="2"/>
      <x:c r="B99" s="2"/>
      <x:c r="C99" s="2"/>
      <x:c r="D99" s="2"/>
      <x:c r="E99" s="2"/>
      <x:c r="F99" s="2"/>
      <x:c r="G99" s="2"/>
    </x:row>
    <x:row r="100">
      <x:c r="A100" s="2"/>
      <x:c r="B100" s="2"/>
      <x:c r="C100" s="2"/>
      <x:c r="D100" s="2"/>
      <x:c r="E100" s="2"/>
      <x:c r="F100" s="2"/>
      <x:c r="G100" s="2"/>
    </x:row>
    <x:row r="101">
      <x:c r="A101" s="2"/>
      <x:c r="B101" s="2"/>
      <x:c r="C101" s="2"/>
      <x:c r="D101" s="2"/>
      <x:c r="E101" s="2"/>
      <x:c r="F101" s="2"/>
      <x:c r="G101" s="2"/>
    </x:row>
    <x:row r="102">
      <x:c r="A102" s="2"/>
      <x:c r="B102" s="2"/>
      <x:c r="C102" s="2"/>
      <x:c r="D102" s="2"/>
      <x:c r="E102" s="2"/>
      <x:c r="F102" s="2"/>
      <x:c r="G102" s="2"/>
    </x:row>
    <x:row r="103">
      <x:c r="A103" s="2"/>
      <x:c r="B103" s="2"/>
      <x:c r="C103" s="2"/>
      <x:c r="D103" s="2"/>
      <x:c r="E103" s="2"/>
      <x:c r="F103" s="2"/>
      <x:c r="G103" s="2"/>
    </x:row>
    <x:row r="104">
      <x:c r="A104" s="2"/>
      <x:c r="B104" s="2"/>
      <x:c r="C104" s="2"/>
      <x:c r="D104" s="2"/>
      <x:c r="E104" s="2"/>
      <x:c r="F104" s="2"/>
      <x:c r="G104" s="2"/>
    </x:row>
    <x:row r="105">
      <x:c r="A105" s="2"/>
      <x:c r="B105" s="2"/>
      <x:c r="C105" s="2"/>
      <x:c r="D105" s="2"/>
      <x:c r="E105" s="2"/>
      <x:c r="F105" s="2"/>
      <x:c r="G105" s="2"/>
    </x:row>
    <x:row r="106">
      <x:c r="A106" s="2"/>
      <x:c r="B106" s="2"/>
      <x:c r="C106" s="2"/>
      <x:c r="D106" s="2"/>
      <x:c r="E106" s="2"/>
      <x:c r="F106" s="2"/>
      <x:c r="G106" s="2"/>
    </x:row>
    <x:row r="107">
      <x:c r="A107" s="2"/>
      <x:c r="B107" s="2"/>
      <x:c r="C107" s="2"/>
      <x:c r="D107" s="2"/>
      <x:c r="E107" s="2"/>
      <x:c r="F107" s="2"/>
      <x:c r="G107" s="2"/>
    </x:row>
    <x:row r="108">
      <x:c r="A108" s="2"/>
      <x:c r="B108" s="2"/>
      <x:c r="C108" s="2"/>
      <x:c r="D108" s="2"/>
      <x:c r="E108" s="2"/>
      <x:c r="F108" s="2"/>
      <x:c r="G108" s="2"/>
    </x:row>
    <x:row r="109">
      <x:c r="A109" s="2"/>
      <x:c r="B109" s="2"/>
      <x:c r="C109" s="2"/>
      <x:c r="D109" s="2"/>
      <x:c r="E109" s="2"/>
      <x:c r="F109" s="2"/>
      <x:c r="G109" s="2"/>
    </x:row>
    <x:row r="110">
      <x:c r="A110" s="2"/>
      <x:c r="B110" s="2"/>
      <x:c r="C110" s="2"/>
      <x:c r="D110" s="2"/>
      <x:c r="E110" s="2"/>
      <x:c r="F110" s="2"/>
      <x:c r="G110" s="2"/>
    </x:row>
    <x:row r="111">
      <x:c r="A111" s="2"/>
      <x:c r="B111" s="2"/>
      <x:c r="C111" s="2"/>
      <x:c r="D111" s="2"/>
      <x:c r="E111" s="2"/>
      <x:c r="F111" s="2"/>
      <x:c r="G111" s="2"/>
    </x:row>
    <x:row r="112">
      <x:c r="A112" s="2"/>
      <x:c r="B112" s="2"/>
      <x:c r="C112" s="2"/>
      <x:c r="D112" s="2"/>
      <x:c r="E112" s="2"/>
      <x:c r="F112" s="2"/>
      <x:c r="G112" s="2"/>
    </x:row>
    <x:row r="113">
      <x:c r="A113" s="2"/>
      <x:c r="B113" s="2"/>
      <x:c r="C113" s="2"/>
      <x:c r="D113" s="2"/>
      <x:c r="E113" s="2"/>
      <x:c r="F113" s="2"/>
      <x:c r="G113" s="2"/>
    </x:row>
    <x:row r="114">
      <x:c r="A114" s="2"/>
      <x:c r="B114" s="2"/>
      <x:c r="C114" s="2"/>
      <x:c r="D114" s="2"/>
      <x:c r="E114" s="2"/>
      <x:c r="F114" s="2"/>
      <x:c r="G114" s="2"/>
    </x:row>
    <x:row r="115">
      <x:c r="A115" s="2"/>
      <x:c r="B115" s="2"/>
      <x:c r="C115" s="2"/>
      <x:c r="D115" s="2"/>
      <x:c r="E115" s="2"/>
      <x:c r="F115" s="2"/>
      <x:c r="G115" s="2"/>
    </x:row>
    <x:row r="116">
      <x:c r="A116" s="2"/>
      <x:c r="B116" s="2"/>
      <x:c r="C116" s="2"/>
      <x:c r="D116" s="2"/>
      <x:c r="E116" s="2"/>
      <x:c r="F116" s="2"/>
      <x:c r="G116" s="2"/>
    </x:row>
    <x:row r="117">
      <x:c r="A117" s="2"/>
      <x:c r="B117" s="2"/>
      <x:c r="C117" s="2"/>
      <x:c r="D117" s="2"/>
      <x:c r="E117" s="2"/>
      <x:c r="F117" s="2"/>
      <x:c r="G117" s="2"/>
    </x:row>
    <x:row r="118">
      <x:c r="A118" s="2"/>
      <x:c r="B118" s="2"/>
      <x:c r="C118" s="2"/>
      <x:c r="D118" s="2"/>
      <x:c r="E118" s="2"/>
      <x:c r="F118" s="2"/>
      <x:c r="G118" s="2"/>
    </x:row>
    <x:row r="119">
      <x:c r="A119" s="2"/>
      <x:c r="B119" s="2"/>
      <x:c r="C119" s="2"/>
      <x:c r="D119" s="2"/>
      <x:c r="E119" s="2"/>
      <x:c r="F119" s="2"/>
      <x:c r="G119" s="2"/>
    </x:row>
    <x:row r="120">
      <x:c r="A120" s="2"/>
      <x:c r="B120" s="2"/>
      <x:c r="C120" s="2"/>
      <x:c r="D120" s="2"/>
      <x:c r="E120" s="2"/>
      <x:c r="F120" s="2"/>
      <x:c r="G120" s="2"/>
    </x:row>
  </x:sheetData>
  <x:mergeCells>
    <x:mergeCell ref="A1:G2"/>
    <x:mergeCell ref="A3:G4"/>
  </x:mergeCells>
  <x:dataValidations count="1">
    <x:dataValidation type="list" sqref="C8:C12">
      <x:formula1>"Draft,Not approved,Approved,Live,Paused,Completed,Unspent"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 ht="25" customHeight="1">
      <x:c r="A1" s="6" t="str">
        <x:v>WHAT THE TEST WOULD NEED TO DELIVER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3" customHeight="1">
      <x:c r="A3" s="11" t="str">
        <x:v>Hypothetical US web funnels, not CPC forecasts. Contribution is for committed service periods, not immediate monthly profit.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2" customHeight="1">
      <x:c r="A7" s="15" t="str">
        <x:v>Scenario</x:v>
      </x:c>
      <x:c r="B7" s="15" t="str">
        <x:v>CPC INR</x:v>
      </x:c>
      <x:c r="C7" s="15" t="str">
        <x:v>Click to paid</x:v>
      </x:c>
      <x:c r="D7" s="15" t="str">
        <x:v>Net media INR</x:v>
      </x:c>
      <x:c r="E7" s="15" t="str">
        <x:v>Clicks</x:v>
      </x:c>
      <x:c r="F7" s="15" t="str">
        <x:v>New first buyers</x:v>
      </x:c>
      <x:c r="G7" s="15" t="str">
        <x:v>Acquisition cash INR</x:v>
      </x:c>
      <x:c r="H7" s="15" t="str">
        <x:v>Cash CAC INR</x:v>
      </x:c>
      <x:c r="I7" s="15" t="str">
        <x:v>Per-buyer contribution</x:v>
      </x:c>
      <x:c r="J7" s="15" t="str">
        <x:v>After-CAC contribution</x:v>
      </x:c>
      <x:c r="K7" s="15" t="str">
        <x:v>Decision vs target</x:v>
      </x:c>
    </x:row>
    <x:row r="8" ht="42" customHeight="1">
      <x:c r="A8" s="21" t="str">
        <x:v>Weak</x:v>
      </x:c>
      <x:c r="B8" s="24" t="n">
        <x:v>30</x:v>
      </x:c>
      <x:c r="C8" s="28" t="n">
        <x:v>0.01</x:v>
      </x:c>
      <x:c r="D8" s="56" t="n">
        <x:f>'Launch Budget'!$B$16</x:f>
        <x:v>20338.98305084746</x:v>
      </x:c>
      <x:c r="E8" s="57" t="n">
        <x:f>D8/B8</x:f>
        <x:v>677.9661016949153</x:v>
      </x:c>
      <x:c r="F8" s="57" t="n">
        <x:f>E8*C8</x:f>
        <x:v>6.779661016949153</x:v>
      </x:c>
      <x:c r="G8" s="56" t="n">
        <x:f>'Launch Budget'!$B$17</x:f>
        <x:v>32000</x:v>
      </x:c>
      <x:c r="H8" s="57" t="n">
        <x:f>G8/F8</x:f>
        <x:v>4720</x:v>
      </x:c>
      <x:c r="I8" s="56" t="n">
        <x:f>'Unit Economics'!$D$31</x:f>
        <x:v>2356.8287500000006</x:v>
      </x:c>
      <x:c r="J8" s="57" t="n">
        <x:f>F8*I8-G8</x:f>
        <x:v>-16021.499999999995</x:v>
      </x:c>
      <x:c r="K8" s="78" t="str">
        <x:f>IF(H8&lt;='Unit Economics'!$D$34,"Within target","Above target")</x:f>
        <x:v>Above target</x:v>
      </x:c>
    </x:row>
    <x:row r="9" ht="42" customHeight="1">
      <x:c r="A9" s="21" t="str">
        <x:v>Learning</x:v>
      </x:c>
      <x:c r="B9" s="24" t="n">
        <x:v>20</x:v>
      </x:c>
      <x:c r="C9" s="28" t="n">
        <x:v>0.02</x:v>
      </x:c>
      <x:c r="D9" s="56" t="n">
        <x:f>'Launch Budget'!$B$16</x:f>
        <x:v>20338.98305084746</x:v>
      </x:c>
      <x:c r="E9" s="57" t="n">
        <x:f>D9/B9</x:f>
        <x:v>1016.949152542373</x:v>
      </x:c>
      <x:c r="F9" s="57" t="n">
        <x:f>E9*C9</x:f>
        <x:v>20.33898305084746</x:v>
      </x:c>
      <x:c r="G9" s="56" t="n">
        <x:f>'Launch Budget'!$B$17</x:f>
        <x:v>32000</x:v>
      </x:c>
      <x:c r="H9" s="57" t="n">
        <x:f>G9/F9</x:f>
        <x:v>1573.333333333333</x:v>
      </x:c>
      <x:c r="I9" s="56" t="n">
        <x:f>'Unit Economics'!$D$31</x:f>
        <x:v>2356.8287500000006</x:v>
      </x:c>
      <x:c r="J9" s="57" t="n">
        <x:f>F9*I9-G9</x:f>
        <x:v>15935.500000000015</x:v>
      </x:c>
      <x:c r="K9" s="78" t="str">
        <x:f>IF(H9&lt;='Unit Economics'!$D$34,"Within target","Above target")</x:f>
        <x:v>Above target</x:v>
      </x:c>
    </x:row>
    <x:row r="10" ht="42" customHeight="1">
      <x:c r="A10" s="21" t="str">
        <x:v>Promising</x:v>
      </x:c>
      <x:c r="B10" s="24" t="n">
        <x:v>12</x:v>
      </x:c>
      <x:c r="C10" s="28" t="n">
        <x:v>0.03</x:v>
      </x:c>
      <x:c r="D10" s="56" t="n">
        <x:f>'Launch Budget'!$B$16</x:f>
        <x:v>20338.98305084746</x:v>
      </x:c>
      <x:c r="E10" s="57" t="n">
        <x:f>D10/B10</x:f>
        <x:v>1694.9152542372883</x:v>
      </x:c>
      <x:c r="F10" s="57" t="n">
        <x:f>E10*C10</x:f>
        <x:v>50.84745762711865</x:v>
      </x:c>
      <x:c r="G10" s="56" t="n">
        <x:f>'Launch Budget'!$B$17</x:f>
        <x:v>32000</x:v>
      </x:c>
      <x:c r="H10" s="57" t="n">
        <x:f>G10/F10</x:f>
        <x:v>629.3333333333333</x:v>
      </x:c>
      <x:c r="I10" s="56" t="n">
        <x:f>'Unit Economics'!$D$31</x:f>
        <x:v>2356.8287500000006</x:v>
      </x:c>
      <x:c r="J10" s="57" t="n">
        <x:f>F10*I10-G10</x:f>
        <x:v>87838.75000000004</x:v>
      </x:c>
      <x:c r="K10" s="78" t="str">
        <x:f>IF(H10&lt;='Unit Economics'!$D$34,"Within target","Above target")</x:f>
        <x:v>Within target</x:v>
      </x:c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0" t="str">
        <x:v>The middle scenario can generate positive commitment contribution and still miss the acquisition target. Keep these measures separate. Fixed overhead, founder time and income tax are extra.</x:v>
      </x:c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</x:sheetData>
  <x:mergeCells>
    <x:mergeCell ref="A1:K2"/>
    <x:mergeCell ref="A3:K4"/>
    <x:mergeCell ref="A13:K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26" hidden="0" customWidth="1"/>
  </x:cols>
  <x:sheetData>
    <x:row r="1" ht="25" customHeight="1">
      <x:c r="A1" s="6" t="str">
        <x:v>ACTUALS / ENTER MATURE COHORT DATA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</x:row>
    <x:row r="2" ht="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23" customHeight="1">
      <x:c r="A3" s="11" t="str">
        <x:v>Blank inputs are not results. Count every first buyer once; refunds are already reflected in pre-CAC contribution. Compare equal observation windows.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36" customHeight="1">
      <x:c r="A7" s="15" t="str">
        <x:v>Week / cohort</x:v>
      </x:c>
      <x:c r="B7" s="15" t="str">
        <x:v>Market</x:v>
      </x:c>
      <x:c r="C7" s="15" t="str">
        <x:v>Channel</x:v>
      </x:c>
      <x:c r="D7" s="15" t="str">
        <x:v>Media cash INR</x:v>
      </x:c>
      <x:c r="E7" s="15" t="str">
        <x:v>Creative cash INR</x:v>
      </x:c>
      <x:c r="F7" s="15" t="str">
        <x:v>Other acquisition INR</x:v>
      </x:c>
      <x:c r="G7" s="15" t="str">
        <x:v>Outbound clicks</x:v>
      </x:c>
      <x:c r="H7" s="15" t="str">
        <x:v>Landing prospects</x:v>
      </x:c>
      <x:c r="I7" s="15" t="str">
        <x:v>First real results</x:v>
      </x:c>
      <x:c r="J7" s="15" t="str">
        <x:v>First buyers</x:v>
      </x:c>
      <x:c r="K7" s="15" t="str">
        <x:v>Annual buyers</x:v>
      </x:c>
      <x:c r="L7" s="15" t="str">
        <x:v>Ex-tax cash receipts</x:v>
      </x:c>
      <x:c r="M7" s="15" t="str">
        <x:v>Refund cash INR</x:v>
      </x:c>
      <x:c r="N7" s="15" t="str">
        <x:v>Pre-CAC contribution INR</x:v>
      </x:c>
      <x:c r="O7" s="15" t="str">
        <x:v>Second-job buyers 30d</x:v>
      </x:c>
      <x:c r="P7" s="15" t="str">
        <x:v>Total acquisition INR</x:v>
      </x:c>
      <x:c r="Q7" s="15" t="str">
        <x:v>Cash CAC INR</x:v>
      </x:c>
      <x:c r="R7" s="15" t="str">
        <x:v>Click-to-paid</x:v>
      </x:c>
      <x:c r="S7" s="15" t="str">
        <x:v>Annual mix</x:v>
      </x:c>
      <x:c r="T7" s="15" t="str">
        <x:v>After-CAC contribution</x:v>
      </x:c>
      <x:c r="U7" s="15" t="str">
        <x:v>Target cash CAC INR</x:v>
      </x:c>
      <x:c r="V7" s="15" t="str">
        <x:v>Review</x:v>
      </x:c>
    </x:row>
    <x:row r="8">
      <x:c r="A8" s="18"/>
      <x:c r="B8" s="18"/>
      <x:c r="C8" s="18"/>
      <x:c r="D8" s="74"/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  <x:c r="P8" s="37" t="str">
        <x:f>IF(COUNT(D8:F8)=0,"",SUM(D8:F8))</x:f>
      </x:c>
      <x:c r="Q8" s="37" t="str">
        <x:f>IF(OR(J8="",J8=0),"",P8/J8)</x:f>
      </x:c>
      <x:c r="R8" s="80" t="str">
        <x:f>IF(OR(G8="",G8=0),"",J8/G8)</x:f>
      </x:c>
      <x:c r="S8" s="80" t="str">
        <x:f>IF(OR(J8="",J8=0),"",K8/J8)</x:f>
      </x:c>
      <x:c r="T8" s="37" t="str">
        <x:f>IF(OR(N8="",P8=""),"",N8-P8)</x:f>
      </x:c>
      <x:c r="U8" s="36" t="str">
        <x:f>IF(OR(J8="",J8=0),"",IF(B8="India",('Unit Economics'!$B$18*S8+'Unit Economics'!$B$28*(1-S8))*'Inputs'!$B$27,IF(B8="Global",('Unit Economics'!$D$18*S8+'Unit Economics'!$D$28*(1-S8))*'Inputs'!$B$27,"")))</x:f>
      </x:c>
      <x:c r="V8" s="34" t="str">
        <x:f>IF(OR(Q8="",U8=""),"Await data",IF(Q8&lt;=U8,"Review for replication","Above target"))</x:f>
        <x:v>Await data</x:v>
      </x:c>
    </x:row>
    <x:row r="9">
      <x:c r="A9" s="18"/>
      <x:c r="B9" s="18"/>
      <x:c r="C9" s="18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37" t="str">
        <x:f>IF(COUNT(D9:F9)=0,"",SUM(D9:F9))</x:f>
      </x:c>
      <x:c r="Q9" s="37" t="str">
        <x:f>IF(OR(J9="",J9=0),"",P9/J9)</x:f>
      </x:c>
      <x:c r="R9" s="80" t="str">
        <x:f>IF(OR(G9="",G9=0),"",J9/G9)</x:f>
      </x:c>
      <x:c r="S9" s="80" t="str">
        <x:f>IF(OR(J9="",J9=0),"",K9/J9)</x:f>
      </x:c>
      <x:c r="T9" s="37" t="str">
        <x:f>IF(OR(N9="",P9=""),"",N9-P9)</x:f>
      </x:c>
      <x:c r="U9" s="36" t="str">
        <x:f>IF(OR(J9="",J9=0),"",IF(B9="India",('Unit Economics'!$B$18*S9+'Unit Economics'!$B$28*(1-S9))*'Inputs'!$B$27,IF(B9="Global",('Unit Economics'!$D$18*S9+'Unit Economics'!$D$28*(1-S9))*'Inputs'!$B$27,"")))</x:f>
      </x:c>
      <x:c r="V9" s="34" t="str">
        <x:f>IF(OR(Q9="",U9=""),"Await data",IF(Q9&lt;=U9,"Review for replication","Above target"))</x:f>
        <x:v>Await data</x:v>
      </x:c>
    </x:row>
    <x:row r="10">
      <x:c r="A10" s="18"/>
      <x:c r="B10" s="18"/>
      <x:c r="C10" s="18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37" t="str">
        <x:f>IF(COUNT(D10:F10)=0,"",SUM(D10:F10))</x:f>
      </x:c>
      <x:c r="Q10" s="37" t="str">
        <x:f>IF(OR(J10="",J10=0),"",P10/J10)</x:f>
      </x:c>
      <x:c r="R10" s="80" t="str">
        <x:f>IF(OR(G10="",G10=0),"",J10/G10)</x:f>
      </x:c>
      <x:c r="S10" s="80" t="str">
        <x:f>IF(OR(J10="",J10=0),"",K10/J10)</x:f>
      </x:c>
      <x:c r="T10" s="37" t="str">
        <x:f>IF(OR(N10="",P10=""),"",N10-P10)</x:f>
      </x:c>
      <x:c r="U10" s="36" t="str">
        <x:f>IF(OR(J10="",J10=0),"",IF(B10="India",('Unit Economics'!$B$18*S10+'Unit Economics'!$B$28*(1-S10))*'Inputs'!$B$27,IF(B10="Global",('Unit Economics'!$D$18*S10+'Unit Economics'!$D$28*(1-S10))*'Inputs'!$B$27,"")))</x:f>
      </x:c>
      <x:c r="V10" s="34" t="str">
        <x:f>IF(OR(Q10="",U10=""),"Await data",IF(Q10&lt;=U10,"Review for replication","Above target"))</x:f>
        <x:v>Await data</x:v>
      </x:c>
    </x:row>
    <x:row r="11">
      <x:c r="A11" s="18"/>
      <x:c r="B11" s="18"/>
      <x:c r="C11" s="18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37" t="str">
        <x:f>IF(COUNT(D11:F11)=0,"",SUM(D11:F11))</x:f>
      </x:c>
      <x:c r="Q11" s="37" t="str">
        <x:f>IF(OR(J11="",J11=0),"",P11/J11)</x:f>
      </x:c>
      <x:c r="R11" s="80" t="str">
        <x:f>IF(OR(G11="",G11=0),"",J11/G11)</x:f>
      </x:c>
      <x:c r="S11" s="80" t="str">
        <x:f>IF(OR(J11="",J11=0),"",K11/J11)</x:f>
      </x:c>
      <x:c r="T11" s="37" t="str">
        <x:f>IF(OR(N11="",P11=""),"",N11-P11)</x:f>
      </x:c>
      <x:c r="U11" s="36" t="str">
        <x:f>IF(OR(J11="",J11=0),"",IF(B11="India",('Unit Economics'!$B$18*S11+'Unit Economics'!$B$28*(1-S11))*'Inputs'!$B$27,IF(B11="Global",('Unit Economics'!$D$18*S11+'Unit Economics'!$D$28*(1-S11))*'Inputs'!$B$27,"")))</x:f>
      </x:c>
      <x:c r="V11" s="34" t="str">
        <x:f>IF(OR(Q11="",U11=""),"Await data",IF(Q11&lt;=U11,"Review for replication","Above target"))</x:f>
        <x:v>Await data</x:v>
      </x:c>
    </x:row>
    <x:row r="12">
      <x:c r="A12" s="18"/>
      <x:c r="B12" s="18"/>
      <x:c r="C12" s="18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37" t="str">
        <x:f>IF(COUNT(D12:F12)=0,"",SUM(D12:F12))</x:f>
      </x:c>
      <x:c r="Q12" s="37" t="str">
        <x:f>IF(OR(J12="",J12=0),"",P12/J12)</x:f>
      </x:c>
      <x:c r="R12" s="80" t="str">
        <x:f>IF(OR(G12="",G12=0),"",J12/G12)</x:f>
      </x:c>
      <x:c r="S12" s="80" t="str">
        <x:f>IF(OR(J12="",J12=0),"",K12/J12)</x:f>
      </x:c>
      <x:c r="T12" s="37" t="str">
        <x:f>IF(OR(N12="",P12=""),"",N12-P12)</x:f>
      </x:c>
      <x:c r="U12" s="36" t="str">
        <x:f>IF(OR(J12="",J12=0),"",IF(B12="India",('Unit Economics'!$B$18*S12+'Unit Economics'!$B$28*(1-S12))*'Inputs'!$B$27,IF(B12="Global",('Unit Economics'!$D$18*S12+'Unit Economics'!$D$28*(1-S12))*'Inputs'!$B$27,"")))</x:f>
      </x:c>
      <x:c r="V12" s="34" t="str">
        <x:f>IF(OR(Q12="",U12=""),"Await data",IF(Q12&lt;=U12,"Review for replication","Above target"))</x:f>
        <x:v>Await data</x:v>
      </x:c>
    </x:row>
    <x:row r="13">
      <x:c r="A13" s="18"/>
      <x:c r="B13" s="18"/>
      <x:c r="C13" s="18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37" t="str">
        <x:f>IF(COUNT(D13:F13)=0,"",SUM(D13:F13))</x:f>
      </x:c>
      <x:c r="Q13" s="37" t="str">
        <x:f>IF(OR(J13="",J13=0),"",P13/J13)</x:f>
      </x:c>
      <x:c r="R13" s="80" t="str">
        <x:f>IF(OR(G13="",G13=0),"",J13/G13)</x:f>
      </x:c>
      <x:c r="S13" s="80" t="str">
        <x:f>IF(OR(J13="",J13=0),"",K13/J13)</x:f>
      </x:c>
      <x:c r="T13" s="37" t="str">
        <x:f>IF(OR(N13="",P13=""),"",N13-P13)</x:f>
      </x:c>
      <x:c r="U13" s="36" t="str">
        <x:f>IF(OR(J13="",J13=0),"",IF(B13="India",('Unit Economics'!$B$18*S13+'Unit Economics'!$B$28*(1-S13))*'Inputs'!$B$27,IF(B13="Global",('Unit Economics'!$D$18*S13+'Unit Economics'!$D$28*(1-S13))*'Inputs'!$B$27,"")))</x:f>
      </x:c>
      <x:c r="V13" s="34" t="str">
        <x:f>IF(OR(Q13="",U13=""),"Await data",IF(Q13&lt;=U13,"Review for replication","Above target"))</x:f>
        <x:v>Await data</x:v>
      </x:c>
    </x:row>
    <x:row r="14">
      <x:c r="A14" s="18"/>
      <x:c r="B14" s="18"/>
      <x:c r="C14" s="18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37" t="str">
        <x:f>IF(COUNT(D14:F14)=0,"",SUM(D14:F14))</x:f>
      </x:c>
      <x:c r="Q14" s="37" t="str">
        <x:f>IF(OR(J14="",J14=0),"",P14/J14)</x:f>
      </x:c>
      <x:c r="R14" s="80" t="str">
        <x:f>IF(OR(G14="",G14=0),"",J14/G14)</x:f>
      </x:c>
      <x:c r="S14" s="80" t="str">
        <x:f>IF(OR(J14="",J14=0),"",K14/J14)</x:f>
      </x:c>
      <x:c r="T14" s="37" t="str">
        <x:f>IF(OR(N14="",P14=""),"",N14-P14)</x:f>
      </x:c>
      <x:c r="U14" s="36" t="str">
        <x:f>IF(OR(J14="",J14=0),"",IF(B14="India",('Unit Economics'!$B$18*S14+'Unit Economics'!$B$28*(1-S14))*'Inputs'!$B$27,IF(B14="Global",('Unit Economics'!$D$18*S14+'Unit Economics'!$D$28*(1-S14))*'Inputs'!$B$27,"")))</x:f>
      </x:c>
      <x:c r="V14" s="34" t="str">
        <x:f>IF(OR(Q14="",U14=""),"Await data",IF(Q14&lt;=U14,"Review for replication","Above target"))</x:f>
        <x:v>Await data</x:v>
      </x:c>
    </x:row>
    <x:row r="15">
      <x:c r="A15" s="18"/>
      <x:c r="B15" s="18"/>
      <x:c r="C15" s="18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37" t="str">
        <x:f>IF(COUNT(D15:F15)=0,"",SUM(D15:F15))</x:f>
      </x:c>
      <x:c r="Q15" s="37" t="str">
        <x:f>IF(OR(J15="",J15=0),"",P15/J15)</x:f>
      </x:c>
      <x:c r="R15" s="80" t="str">
        <x:f>IF(OR(G15="",G15=0),"",J15/G15)</x:f>
      </x:c>
      <x:c r="S15" s="80" t="str">
        <x:f>IF(OR(J15="",J15=0),"",K15/J15)</x:f>
      </x:c>
      <x:c r="T15" s="37" t="str">
        <x:f>IF(OR(N15="",P15=""),"",N15-P15)</x:f>
      </x:c>
      <x:c r="U15" s="36" t="str">
        <x:f>IF(OR(J15="",J15=0),"",IF(B15="India",('Unit Economics'!$B$18*S15+'Unit Economics'!$B$28*(1-S15))*'Inputs'!$B$27,IF(B15="Global",('Unit Economics'!$D$18*S15+'Unit Economics'!$D$28*(1-S15))*'Inputs'!$B$27,"")))</x:f>
      </x:c>
      <x:c r="V15" s="34" t="str">
        <x:f>IF(OR(Q15="",U15=""),"Await data",IF(Q15&lt;=U15,"Review for replication","Above target"))</x:f>
        <x:v>Await data</x:v>
      </x:c>
    </x:row>
    <x:row r="16">
      <x:c r="A16" s="18"/>
      <x:c r="B16" s="18"/>
      <x:c r="C16" s="18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37" t="str">
        <x:f>IF(COUNT(D16:F16)=0,"",SUM(D16:F16))</x:f>
      </x:c>
      <x:c r="Q16" s="37" t="str">
        <x:f>IF(OR(J16="",J16=0),"",P16/J16)</x:f>
      </x:c>
      <x:c r="R16" s="80" t="str">
        <x:f>IF(OR(G16="",G16=0),"",J16/G16)</x:f>
      </x:c>
      <x:c r="S16" s="80" t="str">
        <x:f>IF(OR(J16="",J16=0),"",K16/J16)</x:f>
      </x:c>
      <x:c r="T16" s="37" t="str">
        <x:f>IF(OR(N16="",P16=""),"",N16-P16)</x:f>
      </x:c>
      <x:c r="U16" s="36" t="str">
        <x:f>IF(OR(J16="",J16=0),"",IF(B16="India",('Unit Economics'!$B$18*S16+'Unit Economics'!$B$28*(1-S16))*'Inputs'!$B$27,IF(B16="Global",('Unit Economics'!$D$18*S16+'Unit Economics'!$D$28*(1-S16))*'Inputs'!$B$27,"")))</x:f>
      </x:c>
      <x:c r="V16" s="34" t="str">
        <x:f>IF(OR(Q16="",U16=""),"Await data",IF(Q16&lt;=U16,"Review for replication","Above target"))</x:f>
        <x:v>Await data</x:v>
      </x:c>
    </x:row>
    <x:row r="17">
      <x:c r="A17" s="18"/>
      <x:c r="B17" s="18"/>
      <x:c r="C17" s="18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37" t="str">
        <x:f>IF(COUNT(D17:F17)=0,"",SUM(D17:F17))</x:f>
      </x:c>
      <x:c r="Q17" s="37" t="str">
        <x:f>IF(OR(J17="",J17=0),"",P17/J17)</x:f>
      </x:c>
      <x:c r="R17" s="80" t="str">
        <x:f>IF(OR(G17="",G17=0),"",J17/G17)</x:f>
      </x:c>
      <x:c r="S17" s="80" t="str">
        <x:f>IF(OR(J17="",J17=0),"",K17/J17)</x:f>
      </x:c>
      <x:c r="T17" s="37" t="str">
        <x:f>IF(OR(N17="",P17=""),"",N17-P17)</x:f>
      </x:c>
      <x:c r="U17" s="36" t="str">
        <x:f>IF(OR(J17="",J17=0),"",IF(B17="India",('Unit Economics'!$B$18*S17+'Unit Economics'!$B$28*(1-S17))*'Inputs'!$B$27,IF(B17="Global",('Unit Economics'!$D$18*S17+'Unit Economics'!$D$28*(1-S17))*'Inputs'!$B$27,"")))</x:f>
      </x:c>
      <x:c r="V17" s="34" t="str">
        <x:f>IF(OR(Q17="",U17=""),"Await data",IF(Q17&lt;=U17,"Review for replication","Above target"))</x:f>
        <x:v>Await data</x:v>
      </x:c>
    </x:row>
    <x:row r="18">
      <x:c r="A18" s="18"/>
      <x:c r="B18" s="18"/>
      <x:c r="C18" s="18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37" t="str">
        <x:f>IF(COUNT(D18:F18)=0,"",SUM(D18:F18))</x:f>
      </x:c>
      <x:c r="Q18" s="37" t="str">
        <x:f>IF(OR(J18="",J18=0),"",P18/J18)</x:f>
      </x:c>
      <x:c r="R18" s="80" t="str">
        <x:f>IF(OR(G18="",G18=0),"",J18/G18)</x:f>
      </x:c>
      <x:c r="S18" s="80" t="str">
        <x:f>IF(OR(J18="",J18=0),"",K18/J18)</x:f>
      </x:c>
      <x:c r="T18" s="37" t="str">
        <x:f>IF(OR(N18="",P18=""),"",N18-P18)</x:f>
      </x:c>
      <x:c r="U18" s="36" t="str">
        <x:f>IF(OR(J18="",J18=0),"",IF(B18="India",('Unit Economics'!$B$18*S18+'Unit Economics'!$B$28*(1-S18))*'Inputs'!$B$27,IF(B18="Global",('Unit Economics'!$D$18*S18+'Unit Economics'!$D$28*(1-S18))*'Inputs'!$B$27,"")))</x:f>
      </x:c>
      <x:c r="V18" s="34" t="str">
        <x:f>IF(OR(Q18="",U18=""),"Await data",IF(Q18&lt;=U18,"Review for replication","Above target"))</x:f>
        <x:v>Await data</x:v>
      </x:c>
    </x:row>
    <x:row r="19">
      <x:c r="A19" s="18"/>
      <x:c r="B19" s="18"/>
      <x:c r="C19" s="18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37" t="str">
        <x:f>IF(COUNT(D19:F19)=0,"",SUM(D19:F19))</x:f>
      </x:c>
      <x:c r="Q19" s="37" t="str">
        <x:f>IF(OR(J19="",J19=0),"",P19/J19)</x:f>
      </x:c>
      <x:c r="R19" s="80" t="str">
        <x:f>IF(OR(G19="",G19=0),"",J19/G19)</x:f>
      </x:c>
      <x:c r="S19" s="80" t="str">
        <x:f>IF(OR(J19="",J19=0),"",K19/J19)</x:f>
      </x:c>
      <x:c r="T19" s="37" t="str">
        <x:f>IF(OR(N19="",P19=""),"",N19-P19)</x:f>
      </x:c>
      <x:c r="U19" s="36" t="str">
        <x:f>IF(OR(J19="",J19=0),"",IF(B19="India",('Unit Economics'!$B$18*S19+'Unit Economics'!$B$28*(1-S19))*'Inputs'!$B$27,IF(B19="Global",('Unit Economics'!$D$18*S19+'Unit Economics'!$D$28*(1-S19))*'Inputs'!$B$27,"")))</x:f>
      </x:c>
      <x:c r="V19" s="34" t="str">
        <x:f>IF(OR(Q19="",U19=""),"Await data",IF(Q19&lt;=U19,"Review for replication","Above target"))</x:f>
        <x:v>Await data</x:v>
      </x:c>
    </x:row>
    <x:row r="20">
      <x:c r="A20" s="18"/>
      <x:c r="B20" s="18"/>
      <x:c r="C20" s="18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37" t="str">
        <x:f>IF(COUNT(D20:F20)=0,"",SUM(D20:F20))</x:f>
      </x:c>
      <x:c r="Q20" s="37" t="str">
        <x:f>IF(OR(J20="",J20=0),"",P20/J20)</x:f>
      </x:c>
      <x:c r="R20" s="80" t="str">
        <x:f>IF(OR(G20="",G20=0),"",J20/G20)</x:f>
      </x:c>
      <x:c r="S20" s="80" t="str">
        <x:f>IF(OR(J20="",J20=0),"",K20/J20)</x:f>
      </x:c>
      <x:c r="T20" s="37" t="str">
        <x:f>IF(OR(N20="",P20=""),"",N20-P20)</x:f>
      </x:c>
      <x:c r="U20" s="36" t="str">
        <x:f>IF(OR(J20="",J20=0),"",IF(B20="India",('Unit Economics'!$B$18*S20+'Unit Economics'!$B$28*(1-S20))*'Inputs'!$B$27,IF(B20="Global",('Unit Economics'!$D$18*S20+'Unit Economics'!$D$28*(1-S20))*'Inputs'!$B$27,"")))</x:f>
      </x:c>
      <x:c r="V20" s="34" t="str">
        <x:f>IF(OR(Q20="",U20=""),"Await data",IF(Q20&lt;=U20,"Review for replication","Above target"))</x:f>
        <x:v>Await data</x:v>
      </x:c>
    </x:row>
    <x:row r="21">
      <x:c r="A21" s="18"/>
      <x:c r="B21" s="18"/>
      <x:c r="C21" s="18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37" t="str">
        <x:f>IF(COUNT(D21:F21)=0,"",SUM(D21:F21))</x:f>
      </x:c>
      <x:c r="Q21" s="37" t="str">
        <x:f>IF(OR(J21="",J21=0),"",P21/J21)</x:f>
      </x:c>
      <x:c r="R21" s="80" t="str">
        <x:f>IF(OR(G21="",G21=0),"",J21/G21)</x:f>
      </x:c>
      <x:c r="S21" s="80" t="str">
        <x:f>IF(OR(J21="",J21=0),"",K21/J21)</x:f>
      </x:c>
      <x:c r="T21" s="37" t="str">
        <x:f>IF(OR(N21="",P21=""),"",N21-P21)</x:f>
      </x:c>
      <x:c r="U21" s="36" t="str">
        <x:f>IF(OR(J21="",J21=0),"",IF(B21="India",('Unit Economics'!$B$18*S21+'Unit Economics'!$B$28*(1-S21))*'Inputs'!$B$27,IF(B21="Global",('Unit Economics'!$D$18*S21+'Unit Economics'!$D$28*(1-S21))*'Inputs'!$B$27,"")))</x:f>
      </x:c>
      <x:c r="V21" s="34" t="str">
        <x:f>IF(OR(Q21="",U21=""),"Await data",IF(Q21&lt;=U21,"Review for replication","Above target"))</x:f>
        <x:v>Await data</x:v>
      </x:c>
    </x:row>
    <x:row r="22">
      <x:c r="A22" s="18"/>
      <x:c r="B22" s="18"/>
      <x:c r="C22" s="18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37" t="str">
        <x:f>IF(COUNT(D22:F22)=0,"",SUM(D22:F22))</x:f>
      </x:c>
      <x:c r="Q22" s="37" t="str">
        <x:f>IF(OR(J22="",J22=0),"",P22/J22)</x:f>
      </x:c>
      <x:c r="R22" s="80" t="str">
        <x:f>IF(OR(G22="",G22=0),"",J22/G22)</x:f>
      </x:c>
      <x:c r="S22" s="80" t="str">
        <x:f>IF(OR(J22="",J22=0),"",K22/J22)</x:f>
      </x:c>
      <x:c r="T22" s="37" t="str">
        <x:f>IF(OR(N22="",P22=""),"",N22-P22)</x:f>
      </x:c>
      <x:c r="U22" s="36" t="str">
        <x:f>IF(OR(J22="",J22=0),"",IF(B22="India",('Unit Economics'!$B$18*S22+'Unit Economics'!$B$28*(1-S22))*'Inputs'!$B$27,IF(B22="Global",('Unit Economics'!$D$18*S22+'Unit Economics'!$D$28*(1-S22))*'Inputs'!$B$27,"")))</x:f>
      </x:c>
      <x:c r="V22" s="34" t="str">
        <x:f>IF(OR(Q22="",U22=""),"Await data",IF(Q22&lt;=U22,"Review for replication","Above target"))</x:f>
        <x:v>Await data</x:v>
      </x:c>
    </x:row>
    <x:row r="23">
      <x:c r="A23" s="18"/>
      <x:c r="B23" s="18"/>
      <x:c r="C23" s="18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37" t="str">
        <x:f>IF(COUNT(D23:F23)=0,"",SUM(D23:F23))</x:f>
      </x:c>
      <x:c r="Q23" s="37" t="str">
        <x:f>IF(OR(J23="",J23=0),"",P23/J23)</x:f>
      </x:c>
      <x:c r="R23" s="80" t="str">
        <x:f>IF(OR(G23="",G23=0),"",J23/G23)</x:f>
      </x:c>
      <x:c r="S23" s="80" t="str">
        <x:f>IF(OR(J23="",J23=0),"",K23/J23)</x:f>
      </x:c>
      <x:c r="T23" s="37" t="str">
        <x:f>IF(OR(N23="",P23=""),"",N23-P23)</x:f>
      </x:c>
      <x:c r="U23" s="36" t="str">
        <x:f>IF(OR(J23="",J23=0),"",IF(B23="India",('Unit Economics'!$B$18*S23+'Unit Economics'!$B$28*(1-S23))*'Inputs'!$B$27,IF(B23="Global",('Unit Economics'!$D$18*S23+'Unit Economics'!$D$28*(1-S23))*'Inputs'!$B$27,"")))</x:f>
      </x:c>
      <x:c r="V23" s="34" t="str">
        <x:f>IF(OR(Q23="",U23=""),"Await data",IF(Q23&lt;=U23,"Review for replication","Above target"))</x:f>
        <x:v>Await data</x:v>
      </x:c>
    </x:row>
    <x:row r="24">
      <x:c r="A24" s="18"/>
      <x:c r="B24" s="18"/>
      <x:c r="C24" s="18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37" t="str">
        <x:f>IF(COUNT(D24:F24)=0,"",SUM(D24:F24))</x:f>
      </x:c>
      <x:c r="Q24" s="37" t="str">
        <x:f>IF(OR(J24="",J24=0),"",P24/J24)</x:f>
      </x:c>
      <x:c r="R24" s="80" t="str">
        <x:f>IF(OR(G24="",G24=0),"",J24/G24)</x:f>
      </x:c>
      <x:c r="S24" s="80" t="str">
        <x:f>IF(OR(J24="",J24=0),"",K24/J24)</x:f>
      </x:c>
      <x:c r="T24" s="37" t="str">
        <x:f>IF(OR(N24="",P24=""),"",N24-P24)</x:f>
      </x:c>
      <x:c r="U24" s="36" t="str">
        <x:f>IF(OR(J24="",J24=0),"",IF(B24="India",('Unit Economics'!$B$18*S24+'Unit Economics'!$B$28*(1-S24))*'Inputs'!$B$27,IF(B24="Global",('Unit Economics'!$D$18*S24+'Unit Economics'!$D$28*(1-S24))*'Inputs'!$B$27,"")))</x:f>
      </x:c>
      <x:c r="V24" s="34" t="str">
        <x:f>IF(OR(Q24="",U24=""),"Await data",IF(Q24&lt;=U24,"Review for replication","Above target"))</x:f>
        <x:v>Await data</x:v>
      </x:c>
    </x:row>
    <x:row r="25">
      <x:c r="A25" s="18"/>
      <x:c r="B25" s="18"/>
      <x:c r="C25" s="18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37" t="str">
        <x:f>IF(COUNT(D25:F25)=0,"",SUM(D25:F25))</x:f>
      </x:c>
      <x:c r="Q25" s="37" t="str">
        <x:f>IF(OR(J25="",J25=0),"",P25/J25)</x:f>
      </x:c>
      <x:c r="R25" s="80" t="str">
        <x:f>IF(OR(G25="",G25=0),"",J25/G25)</x:f>
      </x:c>
      <x:c r="S25" s="80" t="str">
        <x:f>IF(OR(J25="",J25=0),"",K25/J25)</x:f>
      </x:c>
      <x:c r="T25" s="37" t="str">
        <x:f>IF(OR(N25="",P25=""),"",N25-P25)</x:f>
      </x:c>
      <x:c r="U25" s="36" t="str">
        <x:f>IF(OR(J25="",J25=0),"",IF(B25="India",('Unit Economics'!$B$18*S25+'Unit Economics'!$B$28*(1-S25))*'Inputs'!$B$27,IF(B25="Global",('Unit Economics'!$D$18*S25+'Unit Economics'!$D$28*(1-S25))*'Inputs'!$B$27,"")))</x:f>
      </x:c>
      <x:c r="V25" s="34" t="str">
        <x:f>IF(OR(Q25="",U25=""),"Await data",IF(Q25&lt;=U25,"Review for replication","Above target"))</x:f>
        <x:v>Await data</x:v>
      </x:c>
    </x:row>
    <x:row r="26">
      <x:c r="A26" s="18"/>
      <x:c r="B26" s="18"/>
      <x:c r="C26" s="18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37" t="str">
        <x:f>IF(COUNT(D26:F26)=0,"",SUM(D26:F26))</x:f>
      </x:c>
      <x:c r="Q26" s="37" t="str">
        <x:f>IF(OR(J26="",J26=0),"",P26/J26)</x:f>
      </x:c>
      <x:c r="R26" s="80" t="str">
        <x:f>IF(OR(G26="",G26=0),"",J26/G26)</x:f>
      </x:c>
      <x:c r="S26" s="80" t="str">
        <x:f>IF(OR(J26="",J26=0),"",K26/J26)</x:f>
      </x:c>
      <x:c r="T26" s="37" t="str">
        <x:f>IF(OR(N26="",P26=""),"",N26-P26)</x:f>
      </x:c>
      <x:c r="U26" s="36" t="str">
        <x:f>IF(OR(J26="",J26=0),"",IF(B26="India",('Unit Economics'!$B$18*S26+'Unit Economics'!$B$28*(1-S26))*'Inputs'!$B$27,IF(B26="Global",('Unit Economics'!$D$18*S26+'Unit Economics'!$D$28*(1-S26))*'Inputs'!$B$27,"")))</x:f>
      </x:c>
      <x:c r="V26" s="34" t="str">
        <x:f>IF(OR(Q26="",U26=""),"Await data",IF(Q26&lt;=U26,"Review for replication","Above target"))</x:f>
        <x:v>Await data</x:v>
      </x:c>
    </x:row>
    <x:row r="27">
      <x:c r="A27" s="18"/>
      <x:c r="B27" s="18"/>
      <x:c r="C27" s="18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37" t="str">
        <x:f>IF(COUNT(D27:F27)=0,"",SUM(D27:F27))</x:f>
      </x:c>
      <x:c r="Q27" s="37" t="str">
        <x:f>IF(OR(J27="",J27=0),"",P27/J27)</x:f>
      </x:c>
      <x:c r="R27" s="80" t="str">
        <x:f>IF(OR(G27="",G27=0),"",J27/G27)</x:f>
      </x:c>
      <x:c r="S27" s="80" t="str">
        <x:f>IF(OR(J27="",J27=0),"",K27/J27)</x:f>
      </x:c>
      <x:c r="T27" s="37" t="str">
        <x:f>IF(OR(N27="",P27=""),"",N27-P27)</x:f>
      </x:c>
      <x:c r="U27" s="36" t="str">
        <x:f>IF(OR(J27="",J27=0),"",IF(B27="India",('Unit Economics'!$B$18*S27+'Unit Economics'!$B$28*(1-S27))*'Inputs'!$B$27,IF(B27="Global",('Unit Economics'!$D$18*S27+'Unit Economics'!$D$28*(1-S27))*'Inputs'!$B$27,"")))</x:f>
      </x:c>
      <x:c r="V27" s="34" t="str">
        <x:f>IF(OR(Q27="",U27=""),"Await data",IF(Q27&lt;=U27,"Review for replication","Above target"))</x:f>
        <x:v>Await data</x:v>
      </x:c>
    </x:row>
    <x:row r="28">
      <x:c r="A28" s="18"/>
      <x:c r="B28" s="18"/>
      <x:c r="C28" s="18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37" t="str">
        <x:f>IF(COUNT(D28:F28)=0,"",SUM(D28:F28))</x:f>
      </x:c>
      <x:c r="Q28" s="37" t="str">
        <x:f>IF(OR(J28="",J28=0),"",P28/J28)</x:f>
      </x:c>
      <x:c r="R28" s="80" t="str">
        <x:f>IF(OR(G28="",G28=0),"",J28/G28)</x:f>
      </x:c>
      <x:c r="S28" s="80" t="str">
        <x:f>IF(OR(J28="",J28=0),"",K28/J28)</x:f>
      </x:c>
      <x:c r="T28" s="37" t="str">
        <x:f>IF(OR(N28="",P28=""),"",N28-P28)</x:f>
      </x:c>
      <x:c r="U28" s="36" t="str">
        <x:f>IF(OR(J28="",J28=0),"",IF(B28="India",('Unit Economics'!$B$18*S28+'Unit Economics'!$B$28*(1-S28))*'Inputs'!$B$27,IF(B28="Global",('Unit Economics'!$D$18*S28+'Unit Economics'!$D$28*(1-S28))*'Inputs'!$B$27,"")))</x:f>
      </x:c>
      <x:c r="V28" s="34" t="str">
        <x:f>IF(OR(Q28="",U28=""),"Await data",IF(Q28&lt;=U28,"Review for replication","Above target"))</x:f>
        <x:v>Await data</x:v>
      </x:c>
    </x:row>
    <x:row r="29">
      <x:c r="A29" s="18"/>
      <x:c r="B29" s="18"/>
      <x:c r="C29" s="18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37" t="str">
        <x:f>IF(COUNT(D29:F29)=0,"",SUM(D29:F29))</x:f>
      </x:c>
      <x:c r="Q29" s="37" t="str">
        <x:f>IF(OR(J29="",J29=0),"",P29/J29)</x:f>
      </x:c>
      <x:c r="R29" s="80" t="str">
        <x:f>IF(OR(G29="",G29=0),"",J29/G29)</x:f>
      </x:c>
      <x:c r="S29" s="80" t="str">
        <x:f>IF(OR(J29="",J29=0),"",K29/J29)</x:f>
      </x:c>
      <x:c r="T29" s="37" t="str">
        <x:f>IF(OR(N29="",P29=""),"",N29-P29)</x:f>
      </x:c>
      <x:c r="U29" s="36" t="str">
        <x:f>IF(OR(J29="",J29=0),"",IF(B29="India",('Unit Economics'!$B$18*S29+'Unit Economics'!$B$28*(1-S29))*'Inputs'!$B$27,IF(B29="Global",('Unit Economics'!$D$18*S29+'Unit Economics'!$D$28*(1-S29))*'Inputs'!$B$27,"")))</x:f>
      </x:c>
      <x:c r="V29" s="34" t="str">
        <x:f>IF(OR(Q29="",U29=""),"Await data",IF(Q29&lt;=U29,"Review for replication","Above target"))</x:f>
        <x:v>Await data</x:v>
      </x:c>
    </x:row>
    <x:row r="30">
      <x:c r="A30" s="18"/>
      <x:c r="B30" s="18"/>
      <x:c r="C30" s="18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37" t="str">
        <x:f>IF(COUNT(D30:F30)=0,"",SUM(D30:F30))</x:f>
      </x:c>
      <x:c r="Q30" s="37" t="str">
        <x:f>IF(OR(J30="",J30=0),"",P30/J30)</x:f>
      </x:c>
      <x:c r="R30" s="80" t="str">
        <x:f>IF(OR(G30="",G30=0),"",J30/G30)</x:f>
      </x:c>
      <x:c r="S30" s="80" t="str">
        <x:f>IF(OR(J30="",J30=0),"",K30/J30)</x:f>
      </x:c>
      <x:c r="T30" s="37" t="str">
        <x:f>IF(OR(N30="",P30=""),"",N30-P30)</x:f>
      </x:c>
      <x:c r="U30" s="36" t="str">
        <x:f>IF(OR(J30="",J30=0),"",IF(B30="India",('Unit Economics'!$B$18*S30+'Unit Economics'!$B$28*(1-S30))*'Inputs'!$B$27,IF(B30="Global",('Unit Economics'!$D$18*S30+'Unit Economics'!$D$28*(1-S30))*'Inputs'!$B$27,"")))</x:f>
      </x:c>
      <x:c r="V30" s="34" t="str">
        <x:f>IF(OR(Q30="",U30=""),"Await data",IF(Q30&lt;=U30,"Review for replication","Above target"))</x:f>
        <x:v>Await data</x:v>
      </x:c>
    </x:row>
    <x:row r="31">
      <x:c r="A31" s="18"/>
      <x:c r="B31" s="18"/>
      <x:c r="C31" s="18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37" t="str">
        <x:f>IF(COUNT(D31:F31)=0,"",SUM(D31:F31))</x:f>
      </x:c>
      <x:c r="Q31" s="37" t="str">
        <x:f>IF(OR(J31="",J31=0),"",P31/J31)</x:f>
      </x:c>
      <x:c r="R31" s="80" t="str">
        <x:f>IF(OR(G31="",G31=0),"",J31/G31)</x:f>
      </x:c>
      <x:c r="S31" s="80" t="str">
        <x:f>IF(OR(J31="",J31=0),"",K31/J31)</x:f>
      </x:c>
      <x:c r="T31" s="37" t="str">
        <x:f>IF(OR(N31="",P31=""),"",N31-P31)</x:f>
      </x:c>
      <x:c r="U31" s="36" t="str">
        <x:f>IF(OR(J31="",J31=0),"",IF(B31="India",('Unit Economics'!$B$18*S31+'Unit Economics'!$B$28*(1-S31))*'Inputs'!$B$27,IF(B31="Global",('Unit Economics'!$D$18*S31+'Unit Economics'!$D$28*(1-S31))*'Inputs'!$B$27,"")))</x:f>
      </x:c>
      <x:c r="V31" s="34" t="str">
        <x:f>IF(OR(Q31="",U31=""),"Await data",IF(Q31&lt;=U31,"Review for replication","Above target"))</x:f>
        <x:v>Await data</x:v>
      </x:c>
    </x:row>
    <x:row r="32">
      <x:c r="A32" s="18"/>
      <x:c r="B32" s="18"/>
      <x:c r="C32" s="18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37" t="str">
        <x:f>IF(COUNT(D32:F32)=0,"",SUM(D32:F32))</x:f>
      </x:c>
      <x:c r="Q32" s="37" t="str">
        <x:f>IF(OR(J32="",J32=0),"",P32/J32)</x:f>
      </x:c>
      <x:c r="R32" s="80" t="str">
        <x:f>IF(OR(G32="",G32=0),"",J32/G32)</x:f>
      </x:c>
      <x:c r="S32" s="80" t="str">
        <x:f>IF(OR(J32="",J32=0),"",K32/J32)</x:f>
      </x:c>
      <x:c r="T32" s="37" t="str">
        <x:f>IF(OR(N32="",P32=""),"",N32-P32)</x:f>
      </x:c>
      <x:c r="U32" s="36" t="str">
        <x:f>IF(OR(J32="",J32=0),"",IF(B32="India",('Unit Economics'!$B$18*S32+'Unit Economics'!$B$28*(1-S32))*'Inputs'!$B$27,IF(B32="Global",('Unit Economics'!$D$18*S32+'Unit Economics'!$D$28*(1-S32))*'Inputs'!$B$27,"")))</x:f>
      </x:c>
      <x:c r="V32" s="34" t="str">
        <x:f>IF(OR(Q32="",U32=""),"Await data",IF(Q32&lt;=U32,"Review for replication","Above target"))</x:f>
        <x:v>Await data</x:v>
      </x:c>
    </x:row>
    <x:row r="33">
      <x:c r="A33" s="18"/>
      <x:c r="B33" s="18"/>
      <x:c r="C33" s="18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37" t="str">
        <x:f>IF(COUNT(D33:F33)=0,"",SUM(D33:F33))</x:f>
      </x:c>
      <x:c r="Q33" s="37" t="str">
        <x:f>IF(OR(J33="",J33=0),"",P33/J33)</x:f>
      </x:c>
      <x:c r="R33" s="80" t="str">
        <x:f>IF(OR(G33="",G33=0),"",J33/G33)</x:f>
      </x:c>
      <x:c r="S33" s="80" t="str">
        <x:f>IF(OR(J33="",J33=0),"",K33/J33)</x:f>
      </x:c>
      <x:c r="T33" s="37" t="str">
        <x:f>IF(OR(N33="",P33=""),"",N33-P33)</x:f>
      </x:c>
      <x:c r="U33" s="36" t="str">
        <x:f>IF(OR(J33="",J33=0),"",IF(B33="India",('Unit Economics'!$B$18*S33+'Unit Economics'!$B$28*(1-S33))*'Inputs'!$B$27,IF(B33="Global",('Unit Economics'!$D$18*S33+'Unit Economics'!$D$28*(1-S33))*'Inputs'!$B$27,"")))</x:f>
      </x:c>
      <x:c r="V33" s="34" t="str">
        <x:f>IF(OR(Q33="",U33=""),"Await data",IF(Q33&lt;=U33,"Review for replication","Above target"))</x:f>
        <x:v>Await data</x:v>
      </x:c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>
      <x:c r="A36" s="20" t="str">
        <x:v>This tracker is for web/direct routes. Use separately calculated store limits for native campaigns. Media cash includes actual bill taxes/fees. Enter contribution after actual refunds, payment fees and delivery reserve, BEFORE CAC. Never double-deduct refunds.</x:v>
      </x:c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</x:row>
  </x:sheetData>
  <x:mergeCells>
    <x:mergeCell ref="A1:V2"/>
    <x:mergeCell ref="A3:V4"/>
    <x:mergeCell ref="A36:V37"/>
  </x:mergeCells>
  <x:dataValidations count="2">
    <x:dataValidation type="list" sqref="B8:B33">
      <x:formula1>"India,Global"</x:formula1>
    </x:dataValidation>
    <x:dataValidation type="list" sqref="C8:C33">
      <x:formula1>"Meta web,Google web,Creator web,Organic web,Pilot web"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40" hidden="0" customWidth="1"/>
    <x:col min="5" max="5" width="28" hidden="0" customWidth="1"/>
    <x:col min="6" max="6" width="48" hidden="0" customWidth="1"/>
    <x:col min="7" max="7" width="33" hidden="0" customWidth="1"/>
    <x:col min="8" max="8" width="18" hidden="0" customWidth="1"/>
  </x:cols>
  <x:sheetData>
    <x:row r="1" ht="25" customHeight="1">
      <x:c r="A1" s="6" t="str">
        <x:v>CREATIVE TEST QUEUE</x:v>
      </x:c>
      <x:c r="B1" s="6"/>
      <x:c r="C1" s="6"/>
      <x:c r="D1" s="6"/>
      <x:c r="E1" s="6"/>
      <x:c r="F1" s="6"/>
      <x:c r="G1" s="6"/>
      <x:c r="H1" s="6"/>
    </x:row>
    <x:row r="2" ht="25" customHeight="1">
      <x:c r="A2" s="6"/>
      <x:c r="B2" s="6"/>
      <x:c r="C2" s="6"/>
      <x:c r="D2" s="6"/>
      <x:c r="E2" s="6"/>
      <x:c r="F2" s="6"/>
      <x:c r="G2" s="6"/>
      <x:c r="H2" s="6"/>
    </x:row>
    <x:row r="3" ht="23" customHeight="1">
      <x:c r="A3" s="11" t="str">
        <x:v>Produce 3 first. Twelve briefs are an idea inventory, not permission to run twelve simultaneous ads.</x:v>
      </x:c>
      <x:c r="B3" s="11"/>
      <x:c r="C3" s="11"/>
      <x:c r="D3" s="11"/>
      <x:c r="E3" s="11"/>
      <x:c r="F3" s="11"/>
      <x:c r="G3" s="11"/>
      <x:c r="H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6" customHeight="1">
      <x:c r="A7" s="15" t="str">
        <x:v>ID</x:v>
      </x:c>
      <x:c r="B7" s="15" t="str">
        <x:v>Concept</x:v>
      </x:c>
      <x:c r="C7" s="15" t="str">
        <x:v>Execution</x:v>
      </x:c>
      <x:c r="D7" s="15" t="str">
        <x:v>Hook</x:v>
      </x:c>
      <x:c r="E7" s="15" t="str">
        <x:v>Landing</x:v>
      </x:c>
      <x:c r="F7" s="15" t="str">
        <x:v>Proof gate</x:v>
      </x:c>
      <x:c r="G7" s="15" t="str">
        <x:v>Evaluation</x:v>
      </x:c>
      <x:c r="H7" s="15" t="str">
        <x:v>Status</x:v>
      </x:c>
    </x:row>
    <x:row r="8" ht="64" customHeight="1">
      <x:c r="A8" s="20" t="str">
        <x:v>A01</x:v>
      </x:c>
      <x:c r="B8" s="20" t="str">
        <x:v>One instruction</x:v>
      </x:c>
      <x:c r="C8" s="20" t="str">
        <x:v>screen-demo</x:v>
      </x:c>
      <x:c r="D8" s="20" t="str">
        <x:v>This PDF job should be one sentence.</x:v>
      </x:c>
      <x:c r="E8" s="20" t="str">
        <x:v>/document-pack</x:v>
      </x:c>
      <x:c r="F8" s="20" t="str">
        <x:v>Real merge, searchable OCR, compression and follow-up verified</x:v>
      </x:c>
      <x:c r="G8" s="20" t="str">
        <x:v>First paid conversion; annual mix</x:v>
      </x:c>
      <x:c r="H8" s="20" t="str">
        <x:v>Draft</x:v>
      </x:c>
    </x:row>
    <x:row r="9" ht="64" customHeight="1">
      <x:c r="A9" s="20" t="str">
        <x:v>A02</x:v>
      </x:c>
      <x:c r="B9" s="20" t="str">
        <x:v>One instruction</x:v>
      </x:c>
      <x:c r="C9" s="20" t="str">
        <x:v>founder-demo</x:v>
      </x:c>
      <x:c r="D9" s="20" t="str">
        <x:v>I built this because PDFs should not need a tutorial.</x:v>
      </x:c>
      <x:c r="E9" s="20" t="str">
        <x:v>/document-pack</x:v>
      </x:c>
      <x:c r="F9" s="20" t="str">
        <x:v>Same as A01; real founder recording, not synthetic endorsement</x:v>
      </x:c>
      <x:c r="G9" s="20" t="str">
        <x:v>First real-job activation; first paid</x:v>
      </x:c>
      <x:c r="H9" s="20" t="str">
        <x:v>Draft</x:v>
      </x:c>
    </x:row>
    <x:row r="10" ht="64" customHeight="1">
      <x:c r="A10" s="20" t="str">
        <x:v>B01</x:v>
      </x:c>
      <x:c r="B10" s="20" t="str">
        <x:v>Document pack</x:v>
      </x:c>
      <x:c r="C10" s="20" t="str">
        <x:v>screen-demo</x:v>
      </x:c>
      <x:c r="D10" s="20" t="str">
        <x:v>Three files. One ready-to-share pack.</x:v>
      </x:c>
      <x:c r="E10" s="20" t="str">
        <x:v>/document-pack</x:v>
      </x:c>
      <x:c r="F10" s="20" t="str">
        <x:v>Merge and independent page-order validation</x:v>
      </x:c>
      <x:c r="G10" s="20" t="str">
        <x:v>Qualified activation; second real job</x:v>
      </x:c>
      <x:c r="H10" s="20" t="str">
        <x:v>Draft</x:v>
      </x:c>
    </x:row>
    <x:row r="11" ht="64" customHeight="1">
      <x:c r="A11" s="20" t="str">
        <x:v>B02</x:v>
      </x:c>
      <x:c r="B11" s="20" t="str">
        <x:v>Document pack</x:v>
      </x:c>
      <x:c r="C11" s="20" t="str">
        <x:v>creator-walkthrough</x:v>
      </x:c>
      <x:c r="D11" s="20" t="str">
        <x:v>Here is how I prepare a document pack.</x:v>
      </x:c>
      <x:c r="E11" s="20" t="str">
        <x:v>/document-pack</x:v>
      </x:c>
      <x:c r="F11" s="20" t="str">
        <x:v>Genuine creator use and licensed publication/ad rights</x:v>
      </x:c>
      <x:c r="G11" s="20" t="str">
        <x:v>First paid; refund-adjusted CAC</x:v>
      </x:c>
      <x:c r="H11" s="20" t="str">
        <x:v>Draft</x:v>
      </x:c>
    </x:row>
    <x:row r="12" ht="64" customHeight="1">
      <x:c r="A12" s="20" t="str">
        <x:v>C01</x:v>
      </x:c>
      <x:c r="B12" s="20" t="str">
        <x:v>File-size target</x:v>
      </x:c>
      <x:c r="C12" s="20" t="str">
        <x:v>problem-solution</x:v>
      </x:c>
      <x:c r="D12" s="20" t="str">
        <x:v>The form says 5 MB. Your PDF is bigger.</x:v>
      </x:c>
      <x:c r="E12" s="20" t="str">
        <x:v>/smaller-pdf</x:v>
      </x:c>
      <x:c r="F12" s="20" t="str">
        <x:v>Real target result; no universal guarantee; label illustrative portal</x:v>
      </x:c>
      <x:c r="G12" s="20" t="str">
        <x:v>Paid conversion; target-not-met incidence</x:v>
      </x:c>
      <x:c r="H12" s="20" t="str">
        <x:v>Draft</x:v>
      </x:c>
    </x:row>
    <x:row r="13" ht="64" customHeight="1">
      <x:c r="A13" s="20" t="str">
        <x:v>C02</x:v>
      </x:c>
      <x:c r="B13" s="20" t="str">
        <x:v>File-size target</x:v>
      </x:c>
      <x:c r="C13" s="20" t="str">
        <x:v>two-step-demo</x:v>
      </x:c>
      <x:c r="D13" s="20" t="str">
        <x:v>Smaller file. Still readable.</x:v>
      </x:c>
      <x:c r="E13" s="20" t="str">
        <x:v>/smaller-pdf</x:v>
      </x:c>
      <x:c r="F13" s="20" t="str">
        <x:v>Independent output readability verification; no lossless claim without proof</x:v>
      </x:c>
      <x:c r="G13" s="20" t="str">
        <x:v>Qualified activation; refunds</x:v>
      </x:c>
      <x:c r="H13" s="20" t="str">
        <x:v>Draft</x:v>
      </x:c>
    </x:row>
    <x:row r="14" ht="64" customHeight="1">
      <x:c r="A14" s="20" t="str">
        <x:v>D01</x:v>
      </x:c>
      <x:c r="B14" s="20" t="str">
        <x:v>Searchable scan</x:v>
      </x:c>
      <x:c r="C14" s="20" t="str">
        <x:v>screen-demo</x:v>
      </x:c>
      <x:c r="D14" s="20" t="str">
        <x:v>Can you search inside this scan?</x:v>
      </x:c>
      <x:c r="E14" s="20" t="str">
        <x:v>/searchable-pdf</x:v>
      </x:c>
      <x:c r="F14" s="20" t="str">
        <x:v>Text-layer geometry and search verified; supported language shown</x:v>
      </x:c>
      <x:c r="G14" s="20" t="str">
        <x:v>Real activation; second-job use</x:v>
      </x:c>
      <x:c r="H14" s="20" t="str">
        <x:v>Draft</x:v>
      </x:c>
    </x:row>
    <x:row r="15" ht="64" customHeight="1">
      <x:c r="A15" s="20" t="str">
        <x:v>D02</x:v>
      </x:c>
      <x:c r="B15" s="20" t="str">
        <x:v>Searchable scan</x:v>
      </x:c>
      <x:c r="C15" s="20" t="str">
        <x:v>voiceover-demo</x:v>
      </x:c>
      <x:c r="D15" s="20" t="str">
        <x:v>A scan you can actually search.</x:v>
      </x:c>
      <x:c r="E15" s="20" t="str">
        <x:v>/searchable-pdf</x:v>
      </x:c>
      <x:c r="F15" s="20" t="str">
        <x:v>Real selective OCR; original appearance preserved within documented limits</x:v>
      </x:c>
      <x:c r="G15" s="20" t="str">
        <x:v>Real activation; paid conversion</x:v>
      </x:c>
      <x:c r="H15" s="20" t="str">
        <x:v>Draft</x:v>
      </x:c>
    </x:row>
    <x:row r="16" ht="64" customHeight="1">
      <x:c r="A16" s="20" t="str">
        <x:v>E01</x:v>
      </x:c>
      <x:c r="B16" s="20" t="str">
        <x:v>Local processing</x:v>
      </x:c>
      <x:c r="C16" s="20" t="str">
        <x:v>boundary-explainer</x:v>
      </x:c>
      <x:c r="D16" s="20" t="str">
        <x:v>Your PDF does not need to leave your device for processing.</x:v>
      </x:c>
      <x:c r="E16" s="20" t="str">
        <x:v>/private-pdf-processing</x:v>
      </x:c>
      <x:c r="F16" s="20" t="str">
        <x:v>Actual network audit; instruction-cloud disclosure visible</x:v>
      </x:c>
      <x:c r="G16" s="20" t="str">
        <x:v>Qualified paid conversion; trust objections</x:v>
      </x:c>
      <x:c r="H16" s="20" t="str">
        <x:v>Draft</x:v>
      </x:c>
    </x:row>
    <x:row r="17" ht="64" customHeight="1">
      <x:c r="A17" s="20" t="str">
        <x:v>E02</x:v>
      </x:c>
      <x:c r="B17" s="20" t="str">
        <x:v>Local processing</x:v>
      </x:c>
      <x:c r="C17" s="20" t="str">
        <x:v>founder-explainer</x:v>
      </x:c>
      <x:c r="D17" s="20" t="str">
        <x:v>AI understands the job. Your device does the work.</x:v>
      </x:c>
      <x:c r="E17" s="20" t="str">
        <x:v>/private-pdf-processing</x:v>
      </x:c>
      <x:c r="F17" s="20" t="str">
        <x:v>No all-offline or no-data-upload claim; reviewed privacy wording</x:v>
      </x:c>
      <x:c r="G17" s="20" t="str">
        <x:v>Paid conversion; consent comprehension</x:v>
      </x:c>
      <x:c r="H17" s="20" t="str">
        <x:v>Draft</x:v>
      </x:c>
    </x:row>
    <x:row r="18" ht="64" customHeight="1">
      <x:c r="A18" s="20" t="str">
        <x:v>F01</x:v>
      </x:c>
      <x:c r="B18" s="20" t="str">
        <x:v>Repeat recipe</x:v>
      </x:c>
      <x:c r="C18" s="20" t="str">
        <x:v>returning-use-demo</x:v>
      </x:c>
      <x:c r="D18" s="20" t="str">
        <x:v>The same PDF job again? Save the steps.</x:v>
      </x:c>
      <x:c r="E18" s="20" t="str">
        <x:v>/document-pack</x:v>
      </x:c>
      <x:c r="F18" s="20" t="str">
        <x:v>Saved recipes implemented; free/Pro boundary stated</x:v>
      </x:c>
      <x:c r="G18" s="20" t="str">
        <x:v>Paid conversion; second real job</x:v>
      </x:c>
      <x:c r="H18" s="20" t="str">
        <x:v>Draft</x:v>
      </x:c>
    </x:row>
    <x:row r="19" ht="64" customHeight="1">
      <x:c r="A19" s="20" t="str">
        <x:v>F02</x:v>
      </x:c>
      <x:c r="B19" s="20" t="str">
        <x:v>Follow-up</x:v>
      </x:c>
      <x:c r="C19" s="20" t="str">
        <x:v>screen-demo</x:v>
      </x:c>
      <x:c r="D19" s="20" t="str">
        <x:v>Done. Now remove the last page.</x:v>
      </x:c>
      <x:c r="E19" s="20" t="str">
        <x:v>/document-pack</x:v>
      </x:c>
      <x:c r="F19" s="20" t="str">
        <x:v>Correct lineage and version handling, no reimport</x:v>
      </x:c>
      <x:c r="G19" s="20" t="str">
        <x:v>Activation; first paid; support minutes</x:v>
      </x:c>
      <x:c r="H19" s="20" t="str">
        <x:v>Draft</x:v>
      </x:c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</x:sheetData>
  <x:mergeCells>
    <x:mergeCell ref="A1:H2"/>
    <x:mergeCell ref="A3:H4"/>
  </x:mergeCells>
  <x:dataValidations count="1">
    <x:dataValidation type="list" sqref="H8:H19">
      <x:formula1>"Draft,Proof needed,Ready for approval,Approved,Live,Paused,Retired"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58" hidden="0" customWidth="1"/>
    <x:col min="4" max="4" width="28" hidden="0" customWidth="1"/>
    <x:col min="5" max="5" width="70" hidden="0" customWidth="1"/>
    <x:col min="6" max="6" width="24" hidden="0" customWidth="1"/>
  </x:cols>
  <x:sheetData>
    <x:row r="1" ht="25" customHeight="1">
      <x:c r="A1" s="6" t="str">
        <x:v>SOURCES AND LIMITATIONS</x:v>
      </x:c>
      <x:c r="B1" s="6"/>
      <x:c r="C1" s="6"/>
      <x:c r="D1" s="6"/>
      <x:c r="E1" s="6"/>
      <x:c r="F1" s="6"/>
    </x:row>
    <x:row r="2" ht="25" customHeight="1">
      <x:c r="A2" s="6"/>
      <x:c r="B2" s="6"/>
      <x:c r="C2" s="6"/>
      <x:c r="D2" s="6"/>
      <x:c r="E2" s="6"/>
      <x:c r="F2" s="6"/>
    </x:row>
    <x:row r="3" ht="23" customHeight="1">
      <x:c r="A3" s="11" t="str">
        <x:v>Prior research is separated from current source checks. No current ad account, auction quotes or competitor conversion data were inspected.</x:v>
      </x:c>
      <x:c r="B3" s="11"/>
      <x:c r="C3" s="11"/>
      <x:c r="D3" s="11"/>
      <x:c r="E3" s="11"/>
      <x:c r="F3" s="11"/>
    </x:row>
    <x:row r="4" ht="23" customHeight="1">
      <x:c r="A4" s="11"/>
      <x:c r="B4" s="11"/>
      <x:c r="C4" s="11"/>
      <x:c r="D4" s="11"/>
      <x:c r="E4" s="11"/>
      <x:c r="F4" s="11"/>
    </x:row>
    <x:row r="5">
      <x:c r="A5" s="2"/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 ht="36" customHeight="1">
      <x:c r="A7" s="15" t="str">
        <x:v>ID</x:v>
      </x:c>
      <x:c r="B7" s="15" t="str">
        <x:v>Title</x:v>
      </x:c>
      <x:c r="C7" s="15" t="str">
        <x:v>Location</x:v>
      </x:c>
      <x:c r="D7" s="15" t="str">
        <x:v>Date / basis</x:v>
      </x:c>
      <x:c r="E7" s="15" t="str">
        <x:v>Use and limitation</x:v>
      </x:c>
      <x:c r="F7" s="15" t="str">
        <x:v>Status</x:v>
      </x:c>
    </x:row>
    <x:row r="8" ht="68" customHeight="1">
      <x:c r="A8" s="20" t="str">
        <x:v>R01</x:v>
      </x:c>
      <x:c r="B8" s="20" t="str">
        <x:v>Saved Rohan Dave teardown</x:v>
      </x:c>
      <x:c r="C8" s="20" t="str">
        <x:v>Rohan_Dave_Business_Deep_Dive_2026-09-27.md</x:v>
      </x:c>
      <x:c r="D8" s="20" t="str">
        <x:v>Files Library, retrieved 28 Sep 2026</x:v>
      </x:c>
      <x:c r="E8" s="20" t="str">
        <x:v>Prior research, not private campaign accounts. See sections Superly, Romy, acquisition formula, scaling and support.</x:v>
      </x:c>
      <x:c r="F8" s="20" t="str">
        <x:v>saved research</x:v>
      </x:c>
    </x:row>
    <x:row r="9" ht="68" customHeight="1">
      <x:c r="A9" s="20" t="str">
        <x:v>R02</x:v>
      </x:c>
      <x:c r="B9" s="20" t="str">
        <x:v>Rohan Dave: Meta KPI targets</x:v>
      </x:c>
      <x:c r="C9" s="20" t="str">
        <x:v>https://www.linkedin.com/posts/rohan-dave_get-these-metrics-right-to-win-on-meta-ads-activity-7475027302624423936-A3tA</x:v>
      </x:c>
      <x:c r="D9" s="20" t="str">
        <x:v>28 Sep 2026</x:v>
      </x:c>
      <x:c r="E9" s="20" t="str">
        <x:v>Original post accessible. These are the founder's proposed targets, not universal benchmarks or audited results.</x:v>
      </x:c>
      <x:c r="F9" s="20" t="str">
        <x:v>primary checked</x:v>
      </x:c>
    </x:row>
    <x:row r="10" ht="68" customHeight="1">
      <x:c r="A10" s="20" t="str">
        <x:v>R03</x:v>
      </x:c>
      <x:c r="B10" s="20" t="str">
        <x:v>Superly documentation</x:v>
      </x:c>
      <x:c r="C10" s="20" t="str">
        <x:v>https://www.superly.app/docs</x:v>
      </x:c>
      <x:c r="D10" s="20" t="str">
        <x:v>28 Sep 2026</x:v>
      </x:c>
      <x:c r="E10" s="20" t="str">
        <x:v>Supports reference-content plus AI workspace approach. Do not reuse stale pricing or model statements.</x:v>
      </x:c>
      <x:c r="F10" s="20" t="str">
        <x:v>primary checked</x:v>
      </x:c>
    </x:row>
    <x:row r="11" ht="68" customHeight="1">
      <x:c r="A11" s="20" t="str">
        <x:v>R04</x:v>
      </x:c>
      <x:c r="B11" s="20" t="str">
        <x:v>Rohan scaling post</x:v>
      </x:c>
      <x:c r="C11" s="20" t="str">
        <x:v>https://www.linkedin.com/posts/rohan-dave_my-strategy-to-scale-to-100kmo-for-a-new-activity-7487971514483507200-NXf1</x:v>
      </x:c>
      <x:c r="D11" s="20" t="str">
        <x:v>Prior report dated 27 Sep 2026</x:v>
      </x:c>
      <x:c r="E11" s="20" t="str">
        <x:v>Fresh fetch failed. Prior report records founder claim of ROAS declining from 3.5x to 1.9x while scaling. Not independently verified.</x:v>
      </x:c>
      <x:c r="F11" s="20" t="str">
        <x:v>prior-source only</x:v>
      </x:c>
    </x:row>
    <x:row r="12" ht="68" customHeight="1">
      <x:c r="A12" s="20" t="str">
        <x:v>R05</x:v>
      </x:c>
      <x:c r="B12" s="20" t="str">
        <x:v>Rohan reusable-board post</x:v>
      </x:c>
      <x:c r="C12" s="20" t="str">
        <x:v>https://www.linkedin.com/posts/rohan-dave_this-content-hack-helped-me-scale-to-125k-activity-7407527687260602369-Zwyh</x:v>
      </x:c>
      <x:c r="D12" s="20" t="str">
        <x:v>Prior report dated 27 Sep 2026</x:v>
      </x:c>
      <x:c r="E12" s="20" t="str">
        <x:v>Fresh fetch failed. Prior report documents template-board lead magnet. Do not treat as verified conversion results.</x:v>
      </x:c>
      <x:c r="F12" s="20" t="str">
        <x:v>prior-source only</x:v>
      </x:c>
    </x:row>
    <x:row r="13" ht="68" customHeight="1">
      <x:c r="A13" s="20" t="str">
        <x:v>R06</x:v>
      </x:c>
      <x:c r="B13" s="20" t="str">
        <x:v>Romy privacy policy</x:v>
      </x:c>
      <x:c r="C13" s="20" t="str">
        <x:v>https://www.romyapp.com/privacy-policy</x:v>
      </x:c>
      <x:c r="D13" s="20" t="str">
        <x:v>Prior report dated 27 Sep 2026</x:v>
      </x:c>
      <x:c r="E13" s="20" t="str">
        <x:v>Fresh fetch unavailable. Prior report documents web onboarding and vendor disclosures; not proof of actual vendor execution.</x:v>
      </x:c>
      <x:c r="F13" s="20" t="str">
        <x:v>prior-source only</x:v>
      </x:c>
    </x:row>
    <x:row r="14" ht="68" customHeight="1">
      <x:c r="A14" s="20" t="str">
        <x:v>P01</x:v>
      </x:c>
      <x:c r="B14" s="20" t="str">
        <x:v>Google keyword matching</x:v>
      </x:c>
      <x:c r="C14" s="20" t="str">
        <x:v>https://support.google.com/google-ads/answer/7478529?hl=en</x:v>
      </x:c>
      <x:c r="D14" s="20" t="str">
        <x:v>28 Sep 2026</x:v>
      </x:c>
      <x:c r="E14" s="20" t="str">
        <x:v>Exact and phrase are meaning/intent based; inspect search terms, not just entered keywords.</x:v>
      </x:c>
      <x:c r="F14" s="20" t="str">
        <x:v>primary checked</x:v>
      </x:c>
    </x:row>
    <x:row r="15" ht="68" customHeight="1">
      <x:c r="A15" s="20" t="str">
        <x:v>P02</x:v>
      </x:c>
      <x:c r="B15" s="20" t="str">
        <x:v>Google consent mode overview</x:v>
      </x:c>
      <x:c r="C15" s="20" t="str">
        <x:v>https://developers.google.com/tag-platform/security/concepts/consent-mode</x:v>
      </x:c>
      <x:c r="D15" s="20" t="str">
        <x:v>28 Sep 2026</x:v>
      </x:c>
      <x:c r="E15" s="20" t="str">
        <x:v>Basic blocks Google tags until consent; advanced can send cookieless measurements while denied. Proposed Attenlo baseline uses no ad transmission when denied.</x:v>
      </x:c>
      <x:c r="F15" s="20" t="str">
        <x:v>primary checked</x:v>
      </x:c>
    </x:row>
    <x:row r="16" ht="68" customHeight="1">
      <x:c r="A16" s="20" t="str">
        <x:v>P03</x:v>
      </x:c>
      <x:c r="B16" s="20" t="str">
        <x:v>Google EU user consent policy</x:v>
      </x:c>
      <x:c r="C16" s="20" t="str">
        <x:v>https://www.google.com/about/company/user-consent-policy/</x:v>
      </x:c>
      <x:c r="D16" s="20" t="str">
        <x:v>28 Sep 2026</x:v>
      </x:c>
      <x:c r="E16" s="20" t="str">
        <x:v>Consent/disclosure requirements for EEA, UK and Switzerland when covered by this policy. Consent records and revocation matter.</x:v>
      </x:c>
      <x:c r="F16" s="20" t="str">
        <x:v>primary checked</x:v>
      </x:c>
    </x:row>
    <x:row r="17" ht="68" customHeight="1">
      <x:c r="A17" s="20" t="str">
        <x:v>P04</x:v>
      </x:c>
      <x:c r="B17" s="20" t="str">
        <x:v>Apple Ads search results</x:v>
      </x:c>
      <x:c r="C17" s="20" t="str">
        <x:v>https://ads.apple.com/app-store/help/ad-placements/0082-search-results</x:v>
      </x:c>
      <x:c r="D17" s="20" t="str">
        <x:v>28 Sep 2026</x:v>
      </x:c>
      <x:c r="E17" s="20" t="str">
        <x:v>Keyword-based search results; custom product pages and supported deep links. No native paid campaign before product and purchase tracking work.</x:v>
      </x:c>
      <x:c r="F17" s="20" t="str">
        <x:v>primary checked</x:v>
      </x:c>
    </x:row>
    <x:row r="18" ht="68" customHeight="1">
      <x:c r="A18" s="20" t="str">
        <x:v>P05</x:v>
      </x:c>
      <x:c r="B18" s="20" t="str">
        <x:v>Apple privacy and data use</x:v>
      </x:c>
      <x:c r="C18" s="20" t="str">
        <x:v>https://developer.apple.com/app-store/user-privacy-and-data-use/</x:v>
      </x:c>
      <x:c r="D18" s="20" t="str">
        <x:v>28 Sep 2026</x:v>
      </x:c>
      <x:c r="E18" s="20" t="str">
        <x:v>ATT applies to tracking as defined by Apple; server-side matching and fingerprinting are not bypasses.</x:v>
      </x:c>
      <x:c r="F18" s="20" t="str">
        <x:v>primary checked</x:v>
      </x:c>
    </x:row>
    <x:row r="19" ht="68" customHeight="1">
      <x:c r="A19" s="20" t="str">
        <x:v>P06</x:v>
      </x:c>
      <x:c r="B19" s="20" t="str">
        <x:v>FTC influencer disclosures</x:v>
      </x:c>
      <x:c r="C19" s="20" t="str">
        <x:v>https://www.ftc.gov/business-guidance/resources/disclosures-101-social-media-influencers</x:v>
      </x:c>
      <x:c r="D19" s="20" t="str">
        <x:v>28 Sep 2026</x:v>
      </x:c>
      <x:c r="E19" s="20" t="str">
        <x:v>Paid/material connections must be clearly disclosed; endorsements must reflect actual experience.</x:v>
      </x:c>
      <x:c r="F19" s="20" t="str">
        <x:v>primary checked</x:v>
      </x:c>
    </x:row>
    <x:row r="20" ht="68" customHeight="1">
      <x:c r="A20" s="20" t="str">
        <x:v>P07</x:v>
      </x:c>
      <x:c r="B20" s="20" t="str">
        <x:v>Google daily budget behavior</x:v>
      </x:c>
      <x:c r="C20" s="20" t="str">
        <x:v>https://support.google.com/google-ads/answer/1704443?hl=en</x:v>
      </x:c>
      <x:c r="D20" s="20" t="str">
        <x:v>28 Sep 2026</x:v>
      </x:c>
      <x:c r="E20" s="20" t="str">
        <x:v>Average daily budget is not a strict one-day cap. Use cumulative spend controls and actual billing review.</x:v>
      </x:c>
      <x:c r="F20" s="20" t="str">
        <x:v>primary checked</x:v>
      </x:c>
    </x:row>
    <x:row r="21" ht="68" customHeight="1">
      <x:c r="A21" s="20" t="str">
        <x:v>P08</x:v>
      </x:c>
      <x:c r="B21" s="20" t="str">
        <x:v>Meta Ad Library</x:v>
      </x:c>
      <x:c r="C21" s="20" t="str">
        <x:v>https://www.facebook.com/ads/library/</x:v>
      </x:c>
      <x:c r="D21" s="20" t="str">
        <x:v>28 Sep 2026</x:v>
      </x:c>
      <x:c r="E21" s="20" t="str">
        <x:v>Public entrypoint reachable but creative inventory was not available to inspect. Build research queue, not fictitious ad-performance rankings.</x:v>
      </x:c>
      <x:c r="F21" s="20" t="str">
        <x:v>access limited</x:v>
      </x:c>
    </x:row>
    <x:row r="22" ht="68" customHeight="1">
      <x:c r="A22" s="20" t="str">
        <x:v>P09</x:v>
      </x:c>
      <x:c r="B22" s="20" t="str">
        <x:v>Meta CAPI deduplication reference</x:v>
      </x:c>
      <x:c r="C22" s="20" t="str">
        <x:v>https://developers.facebook.com/docs/marketing-api/conversions-api/deduplicate-pixel-and-server-events/</x:v>
      </x:c>
      <x:c r="D22" s="20" t="str">
        <x:v>28 Sep 2026</x:v>
      </x:c>
      <x:c r="E22" s="20" t="str">
        <x:v>Fetch failed. Recheck current provider contract in authenticated docs before implementation; server-only first-purchase dispatch proposed to reduce dual-source duplication.</x:v>
      </x:c>
      <x:c r="F22" s="20" t="str">
        <x:v>must verify</x:v>
      </x:c>
    </x:row>
    <x:row r="23" ht="68" customHeight="1">
      <x:c r="A23" s="20" t="str">
        <x:v>C01</x:v>
      </x:c>
      <x:c r="B23" s="20" t="str">
        <x:v>Paddle pricing</x:v>
      </x:c>
      <x:c r="C23" s="20" t="str">
        <x:v>https://www.paddle.com/pricing</x:v>
      </x:c>
      <x:c r="D23" s="20" t="str">
        <x:v>28 Sep 2026</x:v>
      </x:c>
      <x:c r="E23" s="20" t="str">
        <x:v>Published standard 5% + $0.50; merchant eligibility, tax and custom terms still require confirmation.</x:v>
      </x:c>
      <x:c r="F23" s="20" t="str">
        <x:v>primary checked</x:v>
      </x:c>
    </x:row>
    <x:row r="24" ht="68" customHeight="1">
      <x:c r="A24" s="20" t="str">
        <x:v>C02</x:v>
      </x:c>
      <x:c r="B24" s="20" t="str">
        <x:v>Razorpay pricing</x:v>
      </x:c>
      <x:c r="C24" s="20" t="str">
        <x:v>https://razorpay.com/pricing/</x:v>
      </x:c>
      <x:c r="D24" s="20" t="str">
        <x:v>28 Sep 2026</x:v>
      </x:c>
      <x:c r="E24" s="20" t="str">
        <x:v>Published standard 2% + applicable tax; inherited cash model uses 2.36%. Confirm actual contract and input-tax-credit treatment.</x:v>
      </x:c>
      <x:c r="F24" s="20" t="str">
        <x:v>primary checked</x:v>
      </x:c>
    </x:row>
    <x:row r="25" ht="68" customHeight="1">
      <x:c r="A25" s="20" t="str">
        <x:v>C03</x:v>
      </x:c>
      <x:c r="B25" s="20" t="str">
        <x:v>RevenueCat pricing</x:v>
      </x:c>
      <x:c r="C25" s="20" t="str">
        <x:v>https://www.revenuecat.com/pricing</x:v>
      </x:c>
      <x:c r="D25" s="20" t="str">
        <x:v>28 Sep 2026</x:v>
      </x:c>
      <x:c r="E25" s="20" t="str">
        <x:v>1% reserve retained from financial model. Actual plan/threshold may lower initial expense; not double charged.</x:v>
      </x:c>
      <x:c r="F25" s="20" t="str">
        <x:v>primary checked</x:v>
      </x:c>
    </x:row>
    <x:row r="26" ht="68" customHeight="1">
      <x:c r="A26" s="20" t="str">
        <x:v>C04</x:v>
      </x:c>
      <x:c r="B26" s="20" t="str">
        <x:v>Existing Attenlo economic hypotheses</x:v>
      </x:c>
      <x:c r="C26" s="20" t="str">
        <x:v>Attenlo_PDF_Monetization_and_Growth_Plan_2026-09-27.md; Attenlo_PDF_36_Month_Growth_Notes.md</x:v>
      </x:c>
      <x:c r="D26" s="20" t="str">
        <x:v>Files conversation, retrieved 28 Sep 2026</x:v>
      </x:c>
      <x:c r="E26" s="20" t="str">
        <x:v>Pricing, 0.1287 INR/job, refund and usage hypotheses carried forward. No new market/CAC evidence. No provider-specific model choice validated by this plan.</x:v>
      </x:c>
      <x:c r="F26" s="20" t="str">
        <x:v>inherited hypotheses</x:v>
      </x:c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  <x:row r="44">
      <x:c r="A44" s="2"/>
      <x:c r="B44" s="2"/>
      <x:c r="C44" s="2"/>
      <x:c r="D44" s="2"/>
      <x:c r="E44" s="2"/>
      <x:c r="F44" s="2"/>
    </x:row>
    <x:row r="45">
      <x:c r="A45" s="2"/>
      <x:c r="B45" s="2"/>
      <x:c r="C45" s="2"/>
      <x:c r="D45" s="2"/>
      <x:c r="E45" s="2"/>
      <x:c r="F45" s="2"/>
    </x:row>
    <x:row r="46">
      <x:c r="A46" s="2"/>
      <x:c r="B46" s="2"/>
      <x:c r="C46" s="2"/>
      <x:c r="D46" s="2"/>
      <x:c r="E46" s="2"/>
      <x:c r="F46" s="2"/>
    </x:row>
    <x:row r="47">
      <x:c r="A47" s="2"/>
      <x:c r="B47" s="2"/>
      <x:c r="C47" s="2"/>
      <x:c r="D47" s="2"/>
      <x:c r="E47" s="2"/>
      <x:c r="F47" s="2"/>
    </x:row>
    <x:row r="48">
      <x:c r="A48" s="2"/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  <x:row r="61">
      <x:c r="A61" s="2"/>
      <x:c r="B61" s="2"/>
      <x:c r="C61" s="2"/>
      <x:c r="D61" s="2"/>
      <x:c r="E61" s="2"/>
      <x:c r="F61" s="2"/>
    </x:row>
    <x:row r="62">
      <x:c r="A62" s="2"/>
      <x:c r="B62" s="2"/>
      <x:c r="C62" s="2"/>
      <x:c r="D62" s="2"/>
      <x:c r="E62" s="2"/>
      <x:c r="F62" s="2"/>
    </x:row>
    <x:row r="63">
      <x:c r="A63" s="2"/>
      <x:c r="B63" s="2"/>
      <x:c r="C63" s="2"/>
      <x:c r="D63" s="2"/>
      <x:c r="E63" s="2"/>
      <x:c r="F63" s="2"/>
    </x:row>
    <x:row r="64">
      <x:c r="A64" s="2"/>
      <x:c r="B64" s="2"/>
      <x:c r="C64" s="2"/>
      <x:c r="D64" s="2"/>
      <x:c r="E64" s="2"/>
      <x:c r="F64" s="2"/>
    </x:row>
    <x:row r="65">
      <x:c r="A65" s="2"/>
      <x:c r="B65" s="2"/>
      <x:c r="C65" s="2"/>
      <x:c r="D65" s="2"/>
      <x:c r="E65" s="2"/>
      <x:c r="F65" s="2"/>
    </x:row>
    <x:row r="66">
      <x:c r="A66" s="2"/>
      <x:c r="B66" s="2"/>
      <x:c r="C66" s="2"/>
      <x:c r="D66" s="2"/>
      <x:c r="E66" s="2"/>
      <x:c r="F66" s="2"/>
    </x:row>
    <x:row r="67">
      <x:c r="A67" s="2"/>
      <x:c r="B67" s="2"/>
      <x:c r="C67" s="2"/>
      <x:c r="D67" s="2"/>
      <x:c r="E67" s="2"/>
      <x:c r="F67" s="2"/>
    </x:row>
    <x:row r="68">
      <x:c r="A68" s="2"/>
      <x:c r="B68" s="2"/>
      <x:c r="C68" s="2"/>
      <x:c r="D68" s="2"/>
      <x:c r="E68" s="2"/>
      <x:c r="F68" s="2"/>
    </x:row>
    <x:row r="69">
      <x:c r="A69" s="2"/>
      <x:c r="B69" s="2"/>
      <x:c r="C69" s="2"/>
      <x:c r="D69" s="2"/>
      <x:c r="E69" s="2"/>
      <x:c r="F69" s="2"/>
    </x:row>
    <x:row r="70">
      <x:c r="A70" s="2"/>
      <x:c r="B70" s="2"/>
      <x:c r="C70" s="2"/>
      <x:c r="D70" s="2"/>
      <x:c r="E70" s="2"/>
      <x:c r="F70" s="2"/>
    </x:row>
    <x:row r="71">
      <x:c r="A71" s="2"/>
      <x:c r="B71" s="2"/>
      <x:c r="C71" s="2"/>
      <x:c r="D71" s="2"/>
      <x:c r="E71" s="2"/>
      <x:c r="F71" s="2"/>
    </x:row>
    <x:row r="72">
      <x:c r="A72" s="2"/>
      <x:c r="B72" s="2"/>
      <x:c r="C72" s="2"/>
      <x:c r="D72" s="2"/>
      <x:c r="E72" s="2"/>
      <x:c r="F72" s="2"/>
    </x:row>
    <x:row r="73">
      <x:c r="A73" s="2"/>
      <x:c r="B73" s="2"/>
      <x:c r="C73" s="2"/>
      <x:c r="D73" s="2"/>
      <x:c r="E73" s="2"/>
      <x:c r="F73" s="2"/>
    </x:row>
    <x:row r="74">
      <x:c r="A74" s="2"/>
      <x:c r="B74" s="2"/>
      <x:c r="C74" s="2"/>
      <x:c r="D74" s="2"/>
      <x:c r="E74" s="2"/>
      <x:c r="F74" s="2"/>
    </x:row>
    <x:row r="75">
      <x:c r="A75" s="2"/>
      <x:c r="B75" s="2"/>
      <x:c r="C75" s="2"/>
      <x:c r="D75" s="2"/>
      <x:c r="E75" s="2"/>
      <x:c r="F75" s="2"/>
    </x:row>
    <x:row r="76">
      <x:c r="A76" s="2"/>
      <x:c r="B76" s="2"/>
      <x:c r="C76" s="2"/>
      <x:c r="D76" s="2"/>
      <x:c r="E76" s="2"/>
      <x:c r="F76" s="2"/>
    </x:row>
    <x:row r="77">
      <x:c r="A77" s="2"/>
      <x:c r="B77" s="2"/>
      <x:c r="C77" s="2"/>
      <x:c r="D77" s="2"/>
      <x:c r="E77" s="2"/>
      <x:c r="F77" s="2"/>
    </x:row>
    <x:row r="78">
      <x:c r="A78" s="2"/>
      <x:c r="B78" s="2"/>
      <x:c r="C78" s="2"/>
      <x:c r="D78" s="2"/>
      <x:c r="E78" s="2"/>
      <x:c r="F78" s="2"/>
    </x:row>
    <x:row r="79">
      <x:c r="A79" s="2"/>
      <x:c r="B79" s="2"/>
      <x:c r="C79" s="2"/>
      <x:c r="D79" s="2"/>
      <x:c r="E79" s="2"/>
      <x:c r="F79" s="2"/>
    </x:row>
    <x:row r="80">
      <x:c r="A80" s="2"/>
      <x:c r="B80" s="2"/>
      <x:c r="C80" s="2"/>
      <x:c r="D80" s="2"/>
      <x:c r="E80" s="2"/>
      <x:c r="F80" s="2"/>
    </x:row>
    <x:row r="81">
      <x:c r="A81" s="2"/>
      <x:c r="B81" s="2"/>
      <x:c r="C81" s="2"/>
      <x:c r="D81" s="2"/>
      <x:c r="E81" s="2"/>
      <x:c r="F81" s="2"/>
    </x:row>
    <x:row r="82">
      <x:c r="A82" s="2"/>
      <x:c r="B82" s="2"/>
      <x:c r="C82" s="2"/>
      <x:c r="D82" s="2"/>
      <x:c r="E82" s="2"/>
      <x:c r="F82" s="2"/>
    </x:row>
    <x:row r="83">
      <x:c r="A83" s="2"/>
      <x:c r="B83" s="2"/>
      <x:c r="C83" s="2"/>
      <x:c r="D83" s="2"/>
      <x:c r="E83" s="2"/>
      <x:c r="F83" s="2"/>
    </x:row>
    <x:row r="84">
      <x:c r="A84" s="2"/>
      <x:c r="B84" s="2"/>
      <x:c r="C84" s="2"/>
      <x:c r="D84" s="2"/>
      <x:c r="E84" s="2"/>
      <x:c r="F84" s="2"/>
    </x:row>
    <x:row r="85">
      <x:c r="A85" s="2"/>
      <x:c r="B85" s="2"/>
      <x:c r="C85" s="2"/>
      <x:c r="D85" s="2"/>
      <x:c r="E85" s="2"/>
      <x:c r="F85" s="2"/>
    </x:row>
    <x:row r="86">
      <x:c r="A86" s="2"/>
      <x:c r="B86" s="2"/>
      <x:c r="C86" s="2"/>
      <x:c r="D86" s="2"/>
      <x:c r="E86" s="2"/>
      <x:c r="F86" s="2"/>
    </x:row>
    <x:row r="87">
      <x:c r="A87" s="2"/>
      <x:c r="B87" s="2"/>
      <x:c r="C87" s="2"/>
      <x:c r="D87" s="2"/>
      <x:c r="E87" s="2"/>
      <x:c r="F87" s="2"/>
    </x:row>
    <x:row r="88">
      <x:c r="A88" s="2"/>
      <x:c r="B88" s="2"/>
      <x:c r="C88" s="2"/>
      <x:c r="D88" s="2"/>
      <x:c r="E88" s="2"/>
      <x:c r="F88" s="2"/>
    </x:row>
    <x:row r="89">
      <x:c r="A89" s="2"/>
      <x:c r="B89" s="2"/>
      <x:c r="C89" s="2"/>
      <x:c r="D89" s="2"/>
      <x:c r="E89" s="2"/>
      <x:c r="F89" s="2"/>
    </x:row>
    <x:row r="90">
      <x:c r="A90" s="2"/>
      <x:c r="B90" s="2"/>
      <x:c r="C90" s="2"/>
      <x:c r="D90" s="2"/>
      <x:c r="E90" s="2"/>
      <x:c r="F90" s="2"/>
    </x:row>
    <x:row r="91">
      <x:c r="A91" s="2"/>
      <x:c r="B91" s="2"/>
      <x:c r="C91" s="2"/>
      <x:c r="D91" s="2"/>
      <x:c r="E91" s="2"/>
      <x:c r="F91" s="2"/>
    </x:row>
    <x:row r="92">
      <x:c r="A92" s="2"/>
      <x:c r="B92" s="2"/>
      <x:c r="C92" s="2"/>
      <x:c r="D92" s="2"/>
      <x:c r="E92" s="2"/>
      <x:c r="F92" s="2"/>
    </x:row>
    <x:row r="93">
      <x:c r="A93" s="2"/>
      <x:c r="B93" s="2"/>
      <x:c r="C93" s="2"/>
      <x:c r="D93" s="2"/>
      <x:c r="E93" s="2"/>
      <x:c r="F93" s="2"/>
    </x:row>
    <x:row r="94">
      <x:c r="A94" s="2"/>
      <x:c r="B94" s="2"/>
      <x:c r="C94" s="2"/>
      <x:c r="D94" s="2"/>
      <x:c r="E94" s="2"/>
      <x:c r="F94" s="2"/>
    </x:row>
    <x:row r="95">
      <x:c r="A95" s="2"/>
      <x:c r="B95" s="2"/>
      <x:c r="C95" s="2"/>
      <x:c r="D95" s="2"/>
      <x:c r="E95" s="2"/>
      <x:c r="F95" s="2"/>
    </x:row>
    <x:row r="96">
      <x:c r="A96" s="2"/>
      <x:c r="B96" s="2"/>
      <x:c r="C96" s="2"/>
      <x:c r="D96" s="2"/>
      <x:c r="E96" s="2"/>
      <x:c r="F96" s="2"/>
    </x:row>
    <x:row r="97">
      <x:c r="A97" s="2"/>
      <x:c r="B97" s="2"/>
      <x:c r="C97" s="2"/>
      <x:c r="D97" s="2"/>
      <x:c r="E97" s="2"/>
      <x:c r="F97" s="2"/>
    </x:row>
    <x:row r="98">
      <x:c r="A98" s="2"/>
      <x:c r="B98" s="2"/>
      <x:c r="C98" s="2"/>
      <x:c r="D98" s="2"/>
      <x:c r="E98" s="2"/>
      <x:c r="F98" s="2"/>
    </x:row>
    <x:row r="99">
      <x:c r="A99" s="2"/>
      <x:c r="B99" s="2"/>
      <x:c r="C99" s="2"/>
      <x:c r="D99" s="2"/>
      <x:c r="E99" s="2"/>
      <x:c r="F99" s="2"/>
    </x:row>
    <x:row r="100">
      <x:c r="A100" s="2"/>
      <x:c r="B100" s="2"/>
      <x:c r="C100" s="2"/>
      <x:c r="D100" s="2"/>
      <x:c r="E100" s="2"/>
      <x:c r="F100" s="2"/>
    </x:row>
    <x:row r="101">
      <x:c r="A101" s="2"/>
      <x:c r="B101" s="2"/>
      <x:c r="C101" s="2"/>
      <x:c r="D101" s="2"/>
      <x:c r="E101" s="2"/>
      <x:c r="F101" s="2"/>
    </x:row>
    <x:row r="102">
      <x:c r="A102" s="2"/>
      <x:c r="B102" s="2"/>
      <x:c r="C102" s="2"/>
      <x:c r="D102" s="2"/>
      <x:c r="E102" s="2"/>
      <x:c r="F102" s="2"/>
    </x:row>
    <x:row r="103">
      <x:c r="A103" s="2"/>
      <x:c r="B103" s="2"/>
      <x:c r="C103" s="2"/>
      <x:c r="D103" s="2"/>
      <x:c r="E103" s="2"/>
      <x:c r="F103" s="2"/>
    </x:row>
    <x:row r="104">
      <x:c r="A104" s="2"/>
      <x:c r="B104" s="2"/>
      <x:c r="C104" s="2"/>
      <x:c r="D104" s="2"/>
      <x:c r="E104" s="2"/>
      <x:c r="F104" s="2"/>
    </x:row>
    <x:row r="105">
      <x:c r="A105" s="2"/>
      <x:c r="B105" s="2"/>
      <x:c r="C105" s="2"/>
      <x:c r="D105" s="2"/>
      <x:c r="E105" s="2"/>
      <x:c r="F105" s="2"/>
    </x:row>
    <x:row r="106">
      <x:c r="A106" s="2"/>
      <x:c r="B106" s="2"/>
      <x:c r="C106" s="2"/>
      <x:c r="D106" s="2"/>
      <x:c r="E106" s="2"/>
      <x:c r="F106" s="2"/>
    </x:row>
    <x:row r="107">
      <x:c r="A107" s="2"/>
      <x:c r="B107" s="2"/>
      <x:c r="C107" s="2"/>
      <x:c r="D107" s="2"/>
      <x:c r="E107" s="2"/>
      <x:c r="F107" s="2"/>
    </x:row>
    <x:row r="108">
      <x:c r="A108" s="2"/>
      <x:c r="B108" s="2"/>
      <x:c r="C108" s="2"/>
      <x:c r="D108" s="2"/>
      <x:c r="E108" s="2"/>
      <x:c r="F108" s="2"/>
    </x:row>
    <x:row r="109">
      <x:c r="A109" s="2"/>
      <x:c r="B109" s="2"/>
      <x:c r="C109" s="2"/>
      <x:c r="D109" s="2"/>
      <x:c r="E109" s="2"/>
      <x:c r="F109" s="2"/>
    </x:row>
    <x:row r="110">
      <x:c r="A110" s="2"/>
      <x:c r="B110" s="2"/>
      <x:c r="C110" s="2"/>
      <x:c r="D110" s="2"/>
      <x:c r="E110" s="2"/>
      <x:c r="F110" s="2"/>
    </x:row>
    <x:row r="111">
      <x:c r="A111" s="2"/>
      <x:c r="B111" s="2"/>
      <x:c r="C111" s="2"/>
      <x:c r="D111" s="2"/>
      <x:c r="E111" s="2"/>
      <x:c r="F111" s="2"/>
    </x:row>
    <x:row r="112">
      <x:c r="A112" s="2"/>
      <x:c r="B112" s="2"/>
      <x:c r="C112" s="2"/>
      <x:c r="D112" s="2"/>
      <x:c r="E112" s="2"/>
      <x:c r="F112" s="2"/>
    </x:row>
    <x:row r="113">
      <x:c r="A113" s="2"/>
      <x:c r="B113" s="2"/>
      <x:c r="C113" s="2"/>
      <x:c r="D113" s="2"/>
      <x:c r="E113" s="2"/>
      <x:c r="F113" s="2"/>
    </x:row>
    <x:row r="114">
      <x:c r="A114" s="2"/>
      <x:c r="B114" s="2"/>
      <x:c r="C114" s="2"/>
      <x:c r="D114" s="2"/>
      <x:c r="E114" s="2"/>
      <x:c r="F114" s="2"/>
    </x:row>
    <x:row r="115">
      <x:c r="A115" s="2"/>
      <x:c r="B115" s="2"/>
      <x:c r="C115" s="2"/>
      <x:c r="D115" s="2"/>
      <x:c r="E115" s="2"/>
      <x:c r="F115" s="2"/>
    </x:row>
    <x:row r="116">
      <x:c r="A116" s="2"/>
      <x:c r="B116" s="2"/>
      <x:c r="C116" s="2"/>
      <x:c r="D116" s="2"/>
      <x:c r="E116" s="2"/>
      <x:c r="F116" s="2"/>
    </x:row>
    <x:row r="117">
      <x:c r="A117" s="2"/>
      <x:c r="B117" s="2"/>
      <x:c r="C117" s="2"/>
      <x:c r="D117" s="2"/>
      <x:c r="E117" s="2"/>
      <x:c r="F117" s="2"/>
    </x:row>
    <x:row r="118">
      <x:c r="A118" s="2"/>
      <x:c r="B118" s="2"/>
      <x:c r="C118" s="2"/>
      <x:c r="D118" s="2"/>
      <x:c r="E118" s="2"/>
      <x:c r="F118" s="2"/>
    </x:row>
    <x:row r="119">
      <x:c r="A119" s="2"/>
      <x:c r="B119" s="2"/>
      <x:c r="C119" s="2"/>
      <x:c r="D119" s="2"/>
      <x:c r="E119" s="2"/>
      <x:c r="F119" s="2"/>
    </x:row>
    <x:row r="120">
      <x:c r="A120" s="2"/>
      <x:c r="B120" s="2"/>
      <x:c r="C120" s="2"/>
      <x:c r="D120" s="2"/>
      <x:c r="E120" s="2"/>
      <x:c r="F120" s="2"/>
    </x:row>
  </x:sheetData>
  <x:mergeCells>
    <x:mergeCell ref="A1:F2"/>
    <x:mergeCell ref="A3:F4"/>
  </x:mergeCells>
  <x:pageMargins left="0.7" right="0.7" top="0.75" bottom="0.75" header="0.3" footer="0.3"/>
</x:worksheet>
</file>